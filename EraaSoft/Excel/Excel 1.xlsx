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urh\Downloads\"/>
    </mc:Choice>
  </mc:AlternateContent>
  <xr:revisionPtr revIDLastSave="0" documentId="13_ncr:1_{6DD38966-A69C-4CC3-A37C-5EB39FAB22DD}" xr6:coauthVersionLast="47" xr6:coauthVersionMax="47" xr10:uidLastSave="{00000000-0000-0000-0000-000000000000}"/>
  <bookViews>
    <workbookView xWindow="-108" yWindow="-108" windowWidth="23256" windowHeight="13176" activeTab="1" xr2:uid="{CDD8867F-58F9-4A29-A1BA-6D7DAB64FA83}"/>
  </bookViews>
  <sheets>
    <sheet name="Sheet1" sheetId="1" r:id="rId1"/>
    <sheet name="Tasks" sheetId="2" r:id="rId2"/>
  </sheets>
  <definedNames>
    <definedName name="_xlnm._FilterDatabase" localSheetId="0" hidden="1">Sheet1!$A$1:$O$1001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2" i="2"/>
  <c r="C3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  <c r="L2" i="2" a="1"/>
  <c r="L2" i="2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2" i="2"/>
  <c r="C27" i="2"/>
  <c r="C26" i="2"/>
  <c r="C25" i="2"/>
  <c r="C2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2" i="2"/>
  <c r="C22" i="2"/>
  <c r="C1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2" i="2"/>
  <c r="C19" i="2"/>
  <c r="G2" i="2" a="1"/>
  <c r="G2" i="2" s="1"/>
  <c r="F2" i="2" a="1"/>
  <c r="F2" i="2" s="1"/>
  <c r="E2" i="2" a="1"/>
  <c r="E2" i="2" s="1"/>
  <c r="C15" i="2" l="1"/>
  <c r="C14" i="2"/>
  <c r="C13" i="2"/>
  <c r="C12" i="2"/>
  <c r="C9" i="2"/>
  <c r="C10" i="2"/>
  <c r="C8" i="2"/>
  <c r="C7" i="2"/>
  <c r="C6" i="2"/>
  <c r="C5" i="2"/>
  <c r="C4" i="2"/>
  <c r="C3" i="2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<sst xmlns="http://schemas.openxmlformats.org/spreadsheetml/2006/main" count="7063" uniqueCount="1082">
  <si>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</si>
  <si>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</si>
  <si>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</si>
  <si>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</si>
  <si>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</si>
  <si>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</si>
  <si>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</si>
  <si>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</si>
  <si>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</si>
  <si>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</si>
  <si>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</si>
  <si>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</si>
  <si>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</si>
  <si>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</si>
  <si>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</si>
  <si>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</si>
  <si>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</si>
  <si>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</si>
  <si>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</si>
  <si>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</si>
  <si>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</si>
  <si>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</si>
  <si>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</si>
  <si>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</si>
  <si>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</si>
  <si>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</si>
  <si>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</si>
  <si>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</si>
  <si>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</si>
  <si>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</si>
  <si>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</si>
  <si>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</si>
  <si>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</si>
  <si>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</si>
  <si>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</si>
  <si>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</si>
  <si>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</si>
  <si>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</si>
  <si>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</si>
  <si>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</si>
  <si>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</si>
  <si>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</si>
  <si>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</si>
  <si>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</si>
  <si>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</si>
  <si>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</si>
  <si>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</si>
  <si>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</si>
  <si>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</si>
  <si>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</si>
  <si>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</si>
  <si>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</si>
  <si>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</si>
  <si>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</si>
  <si>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</si>
  <si>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</si>
  <si>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</si>
  <si>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</si>
  <si>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</si>
  <si>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</si>
  <si>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</si>
  <si>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</si>
  <si>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</si>
  <si>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</si>
  <si>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</si>
  <si>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</si>
  <si>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</si>
  <si>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</si>
  <si>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</si>
  <si>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</si>
  <si>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</si>
  <si>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</si>
  <si>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</si>
  <si>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</si>
  <si>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</si>
  <si>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</si>
  <si>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</si>
  <si>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</si>
  <si>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</si>
  <si>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</si>
  <si>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</si>
  <si>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</si>
  <si>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</si>
  <si>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</si>
  <si>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</si>
  <si>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</si>
  <si>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</si>
  <si>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</si>
  <si>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</si>
  <si>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</si>
  <si>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</si>
  <si>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</si>
  <si>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</si>
  <si>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</si>
  <si>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</si>
  <si>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</si>
  <si>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</si>
  <si>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</si>
  <si>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</si>
  <si>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</si>
  <si>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</si>
  <si>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</si>
  <si>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</si>
  <si>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</si>
  <si>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</si>
  <si>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</si>
  <si>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</si>
  <si>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</si>
  <si>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</si>
  <si>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</si>
  <si>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</si>
  <si>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</si>
  <si>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</si>
  <si>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</si>
  <si>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</si>
  <si>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</si>
  <si>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</si>
  <si>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</si>
  <si>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</si>
  <si>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</si>
  <si>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</si>
  <si>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</si>
  <si>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</si>
  <si>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</si>
  <si>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</si>
  <si>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</si>
  <si>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</si>
  <si>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</si>
  <si>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</si>
  <si>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</si>
  <si>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</si>
  <si>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</si>
  <si>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</si>
  <si>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</si>
  <si>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</si>
  <si>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</si>
  <si>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</si>
  <si>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</si>
  <si>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</si>
  <si>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</si>
  <si>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</si>
  <si>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</si>
  <si>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</si>
  <si>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</si>
  <si>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</si>
  <si>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</si>
  <si>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</si>
  <si>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</si>
  <si>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</si>
  <si>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</si>
  <si>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</si>
  <si>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</si>
  <si>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</si>
  <si>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</si>
  <si>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</si>
  <si>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</si>
  <si>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</si>
  <si>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</si>
  <si>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</si>
  <si>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</si>
  <si>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</si>
  <si>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</si>
  <si>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</si>
  <si>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</si>
  <si>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</si>
  <si>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</si>
  <si>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</si>
  <si>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</si>
  <si>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</si>
  <si>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</si>
  <si>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</si>
  <si>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</si>
  <si>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</si>
  <si>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</si>
  <si>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</si>
  <si>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</si>
  <si>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</si>
  <si>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</si>
  <si>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</si>
  <si>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</si>
  <si>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</si>
  <si>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</si>
  <si>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</si>
  <si>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</si>
  <si>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</si>
  <si>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</si>
  <si>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</si>
  <si>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</si>
  <si>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</si>
  <si>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</si>
  <si>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</si>
  <si>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</si>
  <si>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</si>
  <si>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</si>
  <si>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</si>
  <si>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</si>
  <si>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</si>
  <si>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</si>
  <si>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</si>
  <si>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</si>
  <si>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</si>
  <si>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</si>
  <si>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</si>
  <si>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</si>
  <si>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</si>
  <si>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</si>
  <si>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</si>
  <si>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</si>
  <si>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</si>
  <si>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</si>
  <si>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</si>
  <si>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</si>
  <si>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</si>
  <si>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</si>
  <si>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</si>
  <si>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</si>
  <si>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</si>
  <si>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</si>
  <si>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</si>
  <si>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</si>
  <si>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</si>
  <si>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</si>
  <si>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</si>
  <si>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</si>
  <si>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</si>
  <si>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</si>
  <si>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</si>
  <si>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</si>
  <si>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</si>
  <si>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</si>
  <si>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</si>
  <si>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</si>
  <si>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</si>
  <si>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</si>
  <si>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</si>
  <si>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</si>
  <si>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</si>
  <si>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</si>
  <si>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</si>
  <si>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</si>
  <si>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</si>
  <si>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</si>
  <si>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</si>
  <si>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</si>
  <si>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</si>
  <si>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</si>
  <si>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</si>
  <si>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</si>
  <si>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</si>
  <si>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</si>
  <si>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</si>
  <si>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</si>
  <si>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</si>
  <si>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</si>
  <si>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</si>
  <si>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</si>
  <si>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</si>
  <si>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</si>
  <si>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</si>
  <si>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</si>
  <si>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</si>
  <si>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</si>
  <si>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</si>
  <si>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</si>
  <si>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</si>
  <si>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</si>
  <si>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</si>
  <si>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</si>
  <si>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</si>
  <si>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</si>
  <si>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</si>
  <si>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</si>
  <si>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</si>
  <si>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</si>
  <si>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</si>
  <si>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</si>
  <si>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</si>
  <si>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</si>
  <si>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</si>
  <si>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</si>
  <si>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</si>
  <si>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</si>
  <si>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</si>
  <si>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</si>
  <si>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</si>
  <si>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</si>
  <si>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</si>
  <si>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</si>
  <si>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</si>
  <si>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</si>
  <si>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</si>
  <si>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</si>
  <si>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</si>
  <si>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</si>
  <si>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</si>
  <si>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</si>
  <si>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</si>
  <si>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</si>
  <si>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</si>
  <si>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</si>
  <si>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</si>
  <si>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</si>
  <si>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</si>
  <si>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</si>
  <si>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</si>
  <si>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</si>
  <si>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</si>
  <si>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</si>
  <si>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</si>
  <si>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</si>
  <si>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</si>
  <si>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</si>
  <si>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</si>
  <si>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</si>
  <si>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</si>
  <si>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</si>
  <si>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</si>
  <si>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</si>
  <si>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</si>
  <si>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</si>
  <si>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</si>
  <si>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</si>
  <si>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</si>
  <si>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</si>
  <si>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</si>
  <si>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</si>
  <si>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</si>
  <si>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</si>
  <si>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</si>
  <si>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</si>
  <si>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</si>
  <si>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</si>
  <si>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</si>
  <si>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</si>
  <si>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</si>
  <si>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</si>
  <si>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</si>
  <si>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</si>
  <si>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</si>
  <si>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</si>
  <si>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</si>
  <si>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</si>
  <si>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</si>
  <si>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</si>
  <si>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</si>
  <si>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</si>
  <si>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</si>
  <si>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</si>
  <si>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</si>
  <si>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</si>
  <si>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</si>
  <si>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</si>
  <si>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</si>
  <si>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</si>
  <si>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</si>
  <si>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</si>
  <si>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</si>
  <si>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</si>
  <si>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</si>
  <si>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</si>
  <si>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</si>
  <si>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</si>
  <si>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</si>
  <si>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</si>
  <si>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</si>
  <si>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</si>
  <si>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</si>
  <si>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</si>
  <si>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</si>
  <si>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</si>
  <si>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</si>
  <si>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</si>
  <si>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</si>
  <si>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</si>
  <si>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</si>
  <si>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</si>
  <si>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</si>
  <si>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</si>
  <si>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</si>
  <si>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</si>
  <si>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</si>
  <si>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</si>
  <si>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</si>
  <si>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</si>
  <si>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</si>
  <si>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</si>
  <si>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</si>
  <si>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</si>
  <si>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</si>
  <si>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</si>
  <si>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</si>
  <si>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</si>
  <si>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</si>
  <si>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</si>
  <si>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</si>
  <si>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</si>
  <si>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</si>
  <si>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</si>
  <si>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</si>
  <si>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</si>
  <si>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</si>
  <si>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</si>
  <si>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</si>
  <si>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</si>
  <si>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</si>
  <si>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</si>
  <si>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</si>
  <si>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</si>
  <si>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</si>
  <si>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</si>
  <si>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</si>
  <si>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</si>
  <si>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</si>
  <si>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</si>
  <si>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</si>
  <si>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</si>
  <si>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</si>
  <si>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</si>
  <si>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</si>
  <si>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</si>
  <si>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</si>
  <si>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</si>
  <si>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</si>
  <si>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</si>
  <si>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</si>
  <si>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</si>
  <si>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</si>
  <si>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</si>
  <si>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</si>
  <si>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</si>
  <si>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</si>
  <si>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</si>
  <si>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</si>
  <si>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</si>
  <si>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</si>
  <si>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</si>
  <si>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</si>
  <si>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</si>
  <si>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</si>
  <si>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</si>
  <si>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</si>
  <si>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</si>
  <si>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</si>
  <si>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</si>
  <si>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</si>
  <si>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</si>
  <si>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</si>
  <si>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</si>
  <si>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</si>
  <si>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</si>
  <si>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</si>
  <si>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</si>
  <si>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</si>
  <si>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</si>
  <si>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</si>
  <si>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</si>
  <si>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</si>
  <si>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</si>
  <si>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</si>
  <si>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</si>
  <si>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</si>
  <si>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</si>
  <si>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</si>
  <si>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</si>
  <si>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</si>
  <si>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</si>
  <si>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</si>
  <si>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</si>
  <si>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</si>
  <si>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</si>
  <si>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</si>
  <si>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</si>
  <si>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</si>
  <si>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</si>
  <si>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</si>
  <si>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</si>
  <si>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</si>
  <si>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</si>
  <si>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</si>
  <si>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</si>
  <si>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</si>
  <si>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</si>
  <si>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</si>
  <si>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</si>
  <si>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</si>
  <si>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</si>
  <si>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</si>
  <si>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</si>
  <si>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</si>
  <si>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</si>
  <si>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</si>
  <si>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</si>
  <si>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</si>
  <si>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</si>
  <si>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</si>
  <si>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</si>
  <si>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</si>
  <si>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</si>
  <si>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</si>
  <si>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</si>
  <si>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</si>
  <si>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</si>
  <si>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</si>
  <si>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</si>
  <si>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</si>
  <si>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</si>
  <si>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</si>
  <si>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</si>
  <si>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</si>
  <si>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</si>
  <si>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</si>
  <si>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</si>
  <si>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</si>
  <si>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</si>
  <si>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</si>
  <si>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</si>
  <si>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</si>
  <si>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</si>
  <si>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</si>
  <si>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</si>
  <si>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</si>
  <si>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</si>
  <si>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</si>
  <si>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</si>
  <si>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</si>
  <si>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</si>
  <si>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</si>
  <si>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</si>
  <si>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</si>
  <si>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</si>
  <si>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</si>
  <si>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</si>
  <si>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</si>
  <si>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</si>
  <si>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</si>
  <si>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</si>
  <si>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</si>
  <si>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</si>
  <si>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</si>
  <si>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</si>
  <si>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</si>
  <si>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</si>
  <si>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</si>
  <si>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</si>
  <si>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</si>
  <si>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</si>
  <si>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</si>
  <si>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</si>
  <si>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</si>
  <si>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</si>
  <si>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</si>
  <si>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</si>
  <si>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</si>
  <si>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</si>
  <si>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</si>
  <si>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</si>
  <si>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</si>
  <si>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</si>
  <si>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</si>
  <si>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</si>
  <si>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</si>
  <si>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</si>
  <si>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</si>
  <si>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</si>
  <si>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</si>
  <si>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</si>
  <si>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</si>
  <si>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</si>
  <si>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</si>
  <si>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</si>
  <si>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</si>
  <si>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</si>
  <si>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</si>
  <si>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</si>
  <si>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</si>
  <si>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</si>
  <si>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</si>
  <si>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</si>
  <si>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</si>
  <si>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</si>
  <si>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</si>
  <si>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</si>
  <si>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</si>
  <si>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</si>
  <si>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</si>
  <si>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</si>
  <si>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</si>
  <si>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</si>
  <si>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</si>
  <si>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</si>
  <si>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</si>
  <si>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</si>
  <si>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</si>
  <si>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</si>
  <si>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</si>
  <si>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</si>
  <si>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</si>
  <si>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</si>
  <si>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</si>
  <si>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</si>
  <si>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</si>
  <si>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</si>
  <si>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</si>
  <si>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</si>
  <si>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</si>
  <si>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</si>
  <si>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</si>
  <si>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</si>
  <si>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</si>
  <si>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</si>
  <si>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</si>
  <si>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</si>
  <si>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</si>
  <si>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</si>
  <si>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</si>
  <si>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</si>
  <si>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</si>
  <si>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</si>
  <si>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</si>
  <si>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</si>
  <si>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</si>
  <si>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</si>
  <si>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</si>
  <si>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</si>
  <si>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</si>
  <si>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</si>
  <si>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</si>
  <si>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</si>
  <si>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</si>
  <si>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</si>
  <si>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</si>
  <si>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</si>
  <si>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</si>
  <si>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</si>
  <si>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</si>
  <si>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</si>
  <si>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</si>
  <si>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</si>
  <si>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</si>
  <si>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</si>
  <si>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</si>
  <si>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</si>
  <si>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</si>
  <si>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</si>
  <si>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</si>
  <si>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</si>
  <si>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</si>
  <si>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</si>
  <si>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</si>
  <si>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</si>
  <si>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</si>
  <si>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</si>
  <si>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</si>
  <si>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</si>
  <si>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</si>
  <si>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</si>
  <si>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</si>
  <si>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</si>
  <si>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</si>
  <si>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</si>
  <si>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</si>
  <si>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</si>
  <si>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</si>
  <si>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</si>
  <si>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</si>
  <si>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</si>
  <si>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</si>
  <si>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</si>
  <si>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</si>
  <si>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</si>
  <si>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</si>
  <si>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</si>
  <si>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</si>
  <si>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</si>
  <si>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</si>
  <si>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</si>
  <si>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</si>
  <si>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</si>
  <si>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</si>
  <si>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</si>
  <si>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</si>
  <si>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</si>
  <si>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</si>
  <si>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</si>
  <si>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</si>
  <si>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</si>
  <si>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</si>
  <si>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</si>
  <si>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</si>
  <si>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</si>
  <si>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</si>
  <si>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</si>
  <si>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</si>
  <si>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</si>
  <si>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</si>
  <si>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</si>
  <si>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</si>
  <si>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</si>
  <si>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</si>
  <si>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</si>
  <si>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</si>
  <si>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</si>
  <si>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</si>
  <si>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</si>
  <si>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</si>
  <si>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</si>
  <si>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</si>
  <si>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</si>
  <si>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</si>
  <si>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</si>
  <si>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</si>
  <si>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</si>
  <si>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</si>
  <si>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</si>
  <si>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</si>
  <si>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</si>
  <si>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</si>
  <si>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</si>
  <si>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</si>
  <si>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</si>
  <si>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</si>
  <si>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</si>
  <si>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</si>
  <si>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</si>
  <si>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</si>
  <si>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</si>
  <si>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</si>
  <si>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</si>
  <si>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</si>
  <si>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</si>
  <si>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</si>
  <si>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</si>
  <si>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</si>
  <si>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</si>
  <si>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</si>
  <si>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</si>
  <si>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</si>
  <si>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</si>
  <si>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</si>
  <si>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</si>
  <si>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</si>
  <si>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</si>
  <si>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</si>
  <si>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</si>
  <si>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</si>
  <si>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</si>
  <si>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</si>
  <si>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</si>
  <si>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</si>
  <si>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</si>
  <si>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</si>
  <si>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</si>
  <si>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</si>
  <si>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</si>
  <si>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</si>
  <si>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</si>
  <si>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</si>
  <si>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</si>
  <si>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</si>
  <si>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</si>
  <si>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</si>
  <si>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</si>
  <si>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</si>
  <si>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</si>
  <si>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</si>
  <si>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</si>
  <si>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</si>
  <si>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</si>
  <si>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</si>
  <si>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</si>
  <si>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</si>
  <si>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</si>
  <si>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</si>
  <si>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</si>
  <si>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</si>
  <si>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</si>
  <si>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</si>
  <si>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</si>
  <si>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</si>
  <si>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</si>
  <si>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</si>
  <si>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</si>
  <si>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</si>
  <si>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</si>
  <si>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</si>
  <si>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</si>
  <si>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</si>
  <si>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</si>
  <si>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</si>
  <si>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</si>
  <si>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</si>
  <si>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</si>
  <si>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</si>
  <si>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</si>
  <si>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</si>
  <si>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</si>
  <si>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</si>
  <si>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</si>
  <si>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</si>
  <si>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</si>
  <si>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</si>
  <si>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</si>
  <si>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</si>
  <si>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</si>
  <si>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</si>
  <si>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</si>
  <si>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</si>
  <si>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</si>
  <si>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</si>
  <si>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</si>
  <si>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</si>
  <si>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</si>
  <si>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</si>
  <si>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</si>
  <si>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</si>
  <si>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</si>
  <si>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</si>
  <si>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</si>
  <si>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</si>
  <si>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</si>
  <si>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</si>
  <si>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</si>
  <si>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</si>
  <si>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</si>
  <si>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</si>
  <si>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</si>
  <si>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</si>
  <si>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</si>
  <si>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</si>
  <si>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</si>
  <si>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</si>
  <si>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</si>
  <si>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</si>
  <si>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</si>
  <si>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</si>
  <si>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</si>
  <si>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</si>
  <si>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</si>
  <si>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</si>
  <si>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</si>
  <si>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</si>
  <si>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</si>
  <si>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</si>
  <si>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</si>
  <si>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</si>
  <si>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</si>
  <si>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</si>
  <si>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</si>
  <si>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</si>
  <si>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</si>
  <si>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</si>
  <si>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</si>
  <si>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</si>
  <si>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</si>
  <si>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</si>
  <si>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</si>
  <si>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</si>
  <si>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</si>
  <si>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</si>
  <si>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</si>
  <si>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</si>
  <si>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</si>
  <si>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</si>
  <si>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</si>
  <si>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</si>
  <si>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</si>
  <si>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</si>
  <si>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</si>
  <si>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</si>
  <si>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</si>
  <si>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</si>
  <si>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</si>
  <si>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</si>
  <si>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</si>
  <si>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</si>
  <si>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</si>
  <si>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</si>
  <si>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</si>
  <si>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</si>
  <si>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</si>
  <si>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</si>
  <si>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</si>
  <si>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</si>
  <si>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</si>
  <si>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</si>
  <si>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</si>
  <si>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</si>
  <si>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</si>
  <si>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</si>
  <si>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</si>
  <si>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</si>
  <si>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</si>
  <si>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</si>
  <si>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</si>
  <si>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</si>
  <si>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</si>
  <si>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</si>
  <si>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</si>
  <si>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</si>
  <si>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</si>
  <si>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</si>
  <si>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</si>
  <si>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</si>
  <si>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</si>
  <si>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</si>
  <si>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</si>
  <si>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</si>
  <si>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</si>
  <si>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</si>
  <si>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</si>
  <si>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</si>
  <si>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</si>
  <si>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</si>
  <si>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</si>
  <si>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</si>
  <si>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</si>
  <si>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</si>
  <si>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</si>
  <si>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</si>
  <si>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</si>
  <si>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</si>
  <si>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</si>
  <si>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</si>
  <si>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</si>
  <si>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</si>
  <si>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</si>
  <si>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</si>
  <si>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</si>
  <si>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</si>
  <si>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</si>
  <si>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</si>
  <si>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</si>
  <si>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</si>
  <si>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</si>
  <si>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</si>
  <si>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</si>
  <si>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</si>
  <si>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</si>
  <si>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</si>
  <si>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</si>
  <si>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</si>
  <si>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</si>
  <si>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</si>
  <si>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</si>
  <si>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</si>
  <si>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</si>
  <si>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</si>
  <si>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</si>
  <si>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</si>
  <si>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</si>
  <si>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</si>
  <si>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</si>
  <si>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</si>
  <si>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</si>
  <si>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</si>
  <si>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</si>
  <si>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</si>
  <si>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</si>
  <si>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</si>
  <si>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</si>
  <si>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</si>
  <si>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</si>
  <si>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</si>
  <si>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</si>
  <si>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</si>
  <si>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</si>
  <si>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</si>
  <si>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</si>
  <si>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</si>
  <si>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</si>
  <si>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</si>
  <si>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</si>
  <si>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</si>
  <si>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</si>
  <si>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</si>
  <si>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</si>
  <si>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</si>
  <si>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</si>
  <si>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</si>
  <si>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</si>
  <si>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</si>
  <si>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</si>
  <si>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</si>
  <si>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</si>
  <si>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</si>
  <si>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</si>
  <si>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</si>
  <si>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</si>
  <si>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</si>
  <si>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</si>
  <si>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</si>
  <si>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</si>
  <si>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</si>
  <si>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</si>
  <si>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</si>
  <si>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</si>
  <si>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</si>
  <si>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</si>
  <si>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</si>
  <si>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</si>
  <si>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</si>
  <si>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</si>
  <si>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</si>
  <si>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</si>
  <si>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</si>
  <si>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</si>
  <si>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</si>
  <si>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</si>
  <si>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</si>
  <si>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</si>
  <si>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</si>
  <si>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</si>
  <si>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</si>
  <si>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</si>
  <si>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</si>
  <si>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</si>
  <si>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</si>
  <si>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</si>
  <si>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</si>
  <si>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</si>
  <si>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</si>
  <si>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</si>
  <si>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</si>
  <si>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</si>
  <si>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</si>
  <si>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</si>
  <si>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</si>
  <si>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</si>
  <si>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</si>
  <si>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</si>
  <si>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</si>
  <si>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</si>
  <si>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</si>
  <si>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</si>
  <si>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Task</t>
  </si>
  <si>
    <t>Question</t>
  </si>
  <si>
    <r>
      <t>What is the total revenue (</t>
    </r>
    <r>
      <rPr>
        <sz val="10"/>
        <color theme="1"/>
        <rFont val="Arial Unicode MS"/>
      </rPr>
      <t>Total</t>
    </r>
    <r>
      <rPr>
        <sz val="11"/>
        <color theme="1"/>
        <rFont val="Aptos Narrow"/>
        <family val="2"/>
        <scheme val="minor"/>
      </rPr>
      <t xml:space="preserve"> column) generated by all transactions?</t>
    </r>
  </si>
  <si>
    <r>
      <t xml:space="preserve">What is the total </t>
    </r>
    <r>
      <rPr>
        <sz val="10"/>
        <color theme="1"/>
        <rFont val="Arial Unicode MS"/>
      </rPr>
      <t>Quantity</t>
    </r>
    <r>
      <rPr>
        <sz val="11"/>
        <color theme="1"/>
        <rFont val="Aptos Narrow"/>
        <family val="2"/>
        <scheme val="minor"/>
      </rPr>
      <t xml:space="preserve"> sold across all transactions?</t>
    </r>
  </si>
  <si>
    <r>
      <t xml:space="preserve">What is the minimum </t>
    </r>
    <r>
      <rPr>
        <sz val="10"/>
        <color theme="1"/>
        <rFont val="Arial Unicode MS"/>
      </rPr>
      <t>Unit price</t>
    </r>
    <r>
      <rPr>
        <sz val="11"/>
        <color theme="1"/>
        <rFont val="Aptos Narrow"/>
        <family val="2"/>
        <scheme val="minor"/>
      </rPr>
      <t xml:space="preserve"> in the dataset?</t>
    </r>
  </si>
  <si>
    <r>
      <t xml:space="preserve">What is the maximum </t>
    </r>
    <r>
      <rPr>
        <sz val="10"/>
        <color theme="1"/>
        <rFont val="Arial Unicode MS"/>
      </rPr>
      <t>Rating</t>
    </r>
    <r>
      <rPr>
        <sz val="11"/>
        <color theme="1"/>
        <rFont val="Aptos Narrow"/>
        <family val="2"/>
        <scheme val="minor"/>
      </rPr>
      <t xml:space="preserve"> in the dataset?</t>
    </r>
  </si>
  <si>
    <r>
      <t xml:space="preserve">What is the average </t>
    </r>
    <r>
      <rPr>
        <sz val="10"/>
        <color theme="1"/>
        <rFont val="Arial Unicode MS"/>
      </rPr>
      <t>Total</t>
    </r>
    <r>
      <rPr>
        <sz val="11"/>
        <color theme="1"/>
        <rFont val="Aptos Narrow"/>
        <family val="2"/>
        <scheme val="minor"/>
      </rPr>
      <t xml:space="preserve"> value of all transactions?</t>
    </r>
  </si>
  <si>
    <r>
      <t xml:space="preserve">What is the average </t>
    </r>
    <r>
      <rPr>
        <sz val="10"/>
        <color theme="1"/>
        <rFont val="Arial Unicode MS"/>
      </rPr>
      <t>cogs</t>
    </r>
    <r>
      <rPr>
        <sz val="11"/>
        <color theme="1"/>
        <rFont val="Aptos Narrow"/>
        <family val="2"/>
        <scheme val="minor"/>
      </rPr>
      <t xml:space="preserve"> across all transactions?</t>
    </r>
  </si>
  <si>
    <r>
      <t>What is the total revenue (</t>
    </r>
    <r>
      <rPr>
        <sz val="10"/>
        <color theme="1"/>
        <rFont val="Arial Unicode MS"/>
      </rPr>
      <t>Total</t>
    </r>
    <r>
      <rPr>
        <sz val="11"/>
        <color theme="1"/>
        <rFont val="Aptos Narrow"/>
        <family val="2"/>
        <scheme val="minor"/>
      </rPr>
      <t xml:space="preserve">) for the </t>
    </r>
    <r>
      <rPr>
        <sz val="10"/>
        <color theme="1"/>
        <rFont val="Arial Unicode MS"/>
      </rPr>
      <t>City</t>
    </r>
    <r>
      <rPr>
        <sz val="11"/>
        <color theme="1"/>
        <rFont val="Aptos Narrow"/>
        <family val="2"/>
        <scheme val="minor"/>
      </rPr>
      <t xml:space="preserve"> of Yangon?</t>
    </r>
  </si>
  <si>
    <r>
      <t xml:space="preserve">What is the total </t>
    </r>
    <r>
      <rPr>
        <sz val="10"/>
        <color theme="1"/>
        <rFont val="Arial Unicode MS"/>
      </rPr>
      <t>Quantity</t>
    </r>
    <r>
      <rPr>
        <sz val="11"/>
        <color theme="1"/>
        <rFont val="Aptos Narrow"/>
        <family val="2"/>
        <scheme val="minor"/>
      </rPr>
      <t xml:space="preserve"> sold for </t>
    </r>
    <r>
      <rPr>
        <sz val="10"/>
        <color theme="1"/>
        <rFont val="Arial Unicode MS"/>
      </rPr>
      <t>Product line</t>
    </r>
    <r>
      <rPr>
        <sz val="11"/>
        <color theme="1"/>
        <rFont val="Aptos Narrow"/>
        <family val="2"/>
        <scheme val="minor"/>
      </rPr>
      <t xml:space="preserve"> "Health and beauty"?</t>
    </r>
  </si>
  <si>
    <r>
      <t xml:space="preserve">How many transactions were made using the </t>
    </r>
    <r>
      <rPr>
        <sz val="10"/>
        <color theme="1"/>
        <rFont val="Arial Unicode MS"/>
      </rPr>
      <t>Payment</t>
    </r>
    <r>
      <rPr>
        <sz val="11"/>
        <color theme="1"/>
        <rFont val="Aptos Narrow"/>
        <family val="2"/>
        <scheme val="minor"/>
      </rPr>
      <t xml:space="preserve"> method "Cash"?</t>
    </r>
  </si>
  <si>
    <r>
      <t xml:space="preserve">Count the number of customers with a </t>
    </r>
    <r>
      <rPr>
        <sz val="10"/>
        <color theme="1"/>
        <rFont val="Arial Unicode MS"/>
      </rPr>
      <t>Rating</t>
    </r>
    <r>
      <rPr>
        <sz val="11"/>
        <color theme="1"/>
        <rFont val="Aptos Narrow"/>
        <family val="2"/>
        <scheme val="minor"/>
      </rPr>
      <t xml:space="preserve"> greater than 8.</t>
    </r>
  </si>
  <si>
    <r>
      <t xml:space="preserve">What is the average </t>
    </r>
    <r>
      <rPr>
        <sz val="10"/>
        <color theme="1"/>
        <rFont val="Arial Unicode MS"/>
      </rPr>
      <t>Unit price</t>
    </r>
    <r>
      <rPr>
        <sz val="11"/>
        <color theme="1"/>
        <rFont val="Aptos Narrow"/>
        <family val="2"/>
        <scheme val="minor"/>
      </rPr>
      <t xml:space="preserve"> for </t>
    </r>
    <r>
      <rPr>
        <sz val="10"/>
        <color theme="1"/>
        <rFont val="Arial Unicode MS"/>
      </rPr>
      <t>Product line</t>
    </r>
    <r>
      <rPr>
        <sz val="11"/>
        <color theme="1"/>
        <rFont val="Aptos Narrow"/>
        <family val="2"/>
        <scheme val="minor"/>
      </rPr>
      <t xml:space="preserve"> "Electronic accessories"?</t>
    </r>
  </si>
  <si>
    <r>
      <t xml:space="preserve">Find the average </t>
    </r>
    <r>
      <rPr>
        <sz val="10"/>
        <color theme="1"/>
        <rFont val="Arial Unicode MS"/>
      </rPr>
      <t>cogs</t>
    </r>
    <r>
      <rPr>
        <sz val="11"/>
        <color theme="1"/>
        <rFont val="Aptos Narrow"/>
        <family val="2"/>
        <scheme val="minor"/>
      </rPr>
      <t xml:space="preserve"> for all transactions with </t>
    </r>
    <r>
      <rPr>
        <sz val="10"/>
        <color theme="1"/>
        <rFont val="Arial Unicode MS"/>
      </rPr>
      <t>City</t>
    </r>
    <r>
      <rPr>
        <sz val="11"/>
        <color theme="1"/>
        <rFont val="Aptos Narrow"/>
        <family val="2"/>
        <scheme val="minor"/>
      </rPr>
      <t xml:space="preserve"> "Mandalay".</t>
    </r>
  </si>
  <si>
    <r>
      <t xml:space="preserve">Find the 3rd highest </t>
    </r>
    <r>
      <rPr>
        <sz val="10"/>
        <color theme="1"/>
        <rFont val="Arial Unicode MS"/>
      </rPr>
      <t>Total</t>
    </r>
    <r>
      <rPr>
        <sz val="11"/>
        <color theme="1"/>
        <rFont val="Aptos Narrow"/>
        <family val="2"/>
        <scheme val="minor"/>
      </rPr>
      <t xml:space="preserve"> value.</t>
    </r>
  </si>
  <si>
    <r>
      <t xml:space="preserve">Identify the 2nd smallest </t>
    </r>
    <r>
      <rPr>
        <sz val="10"/>
        <color theme="1"/>
        <rFont val="Arial Unicode MS"/>
      </rPr>
      <t>Quantity</t>
    </r>
    <r>
      <rPr>
        <sz val="11"/>
        <color theme="1"/>
        <rFont val="Aptos Narrow"/>
        <family val="2"/>
        <scheme val="minor"/>
      </rPr>
      <t>.</t>
    </r>
  </si>
  <si>
    <r>
      <t xml:space="preserve">Extract the first 3 characters of the </t>
    </r>
    <r>
      <rPr>
        <sz val="10"/>
        <color theme="1"/>
        <rFont val="Arial Unicode MS"/>
      </rPr>
      <t>Invoice ID</t>
    </r>
    <r>
      <rPr>
        <sz val="11"/>
        <color theme="1"/>
        <rFont val="Aptos Narrow"/>
        <family val="2"/>
        <scheme val="minor"/>
      </rPr>
      <t>.</t>
    </r>
  </si>
  <si>
    <r>
      <t xml:space="preserve">Extract the last 4 digits of the </t>
    </r>
    <r>
      <rPr>
        <sz val="10"/>
        <color theme="1"/>
        <rFont val="Arial Unicode MS"/>
      </rPr>
      <t>Invoice ID</t>
    </r>
    <r>
      <rPr>
        <sz val="11"/>
        <color theme="1"/>
        <rFont val="Aptos Narrow"/>
        <family val="2"/>
        <scheme val="minor"/>
      </rPr>
      <t>.</t>
    </r>
  </si>
  <si>
    <r>
      <t xml:space="preserve">Extract the middle 2 digits from the 5th position of the </t>
    </r>
    <r>
      <rPr>
        <sz val="10"/>
        <color theme="1"/>
        <rFont val="Arial Unicode MS"/>
      </rPr>
      <t>Invoice ID</t>
    </r>
    <r>
      <rPr>
        <sz val="11"/>
        <color theme="1"/>
        <rFont val="Aptos Narrow"/>
        <family val="2"/>
        <scheme val="minor"/>
      </rPr>
      <t>.</t>
    </r>
  </si>
  <si>
    <r>
      <t xml:space="preserve">Concatenate the </t>
    </r>
    <r>
      <rPr>
        <sz val="10"/>
        <color theme="1"/>
        <rFont val="Arial Unicode MS"/>
      </rPr>
      <t>Invoice ID</t>
    </r>
    <r>
      <rPr>
        <sz val="11"/>
        <color theme="1"/>
        <rFont val="Aptos Narrow"/>
        <family val="2"/>
        <scheme val="minor"/>
      </rPr>
      <t xml:space="preserve"> with the </t>
    </r>
    <r>
      <rPr>
        <sz val="10"/>
        <color theme="1"/>
        <rFont val="Arial Unicode MS"/>
      </rPr>
      <t>Total</t>
    </r>
    <r>
      <rPr>
        <sz val="11"/>
        <color theme="1"/>
        <rFont val="Aptos Narrow"/>
        <family val="2"/>
        <scheme val="minor"/>
      </rPr>
      <t>.</t>
    </r>
  </si>
  <si>
    <r>
      <t xml:space="preserve">Ensure there are no extra spaces in the </t>
    </r>
    <r>
      <rPr>
        <sz val="10"/>
        <color theme="1"/>
        <rFont val="Arial Unicode MS"/>
      </rPr>
      <t>Payment</t>
    </r>
    <r>
      <rPr>
        <sz val="11"/>
        <color theme="1"/>
        <rFont val="Aptos Narrow"/>
        <family val="2"/>
        <scheme val="minor"/>
      </rPr>
      <t xml:space="preserve"> column.</t>
    </r>
  </si>
  <si>
    <r>
      <t xml:space="preserve">Create a string combining </t>
    </r>
    <r>
      <rPr>
        <sz val="10"/>
        <color theme="1"/>
        <rFont val="Arial Unicode MS"/>
      </rPr>
      <t>City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Date</t>
    </r>
    <r>
      <rPr>
        <sz val="11"/>
        <color theme="1"/>
        <rFont val="Aptos Narrow"/>
        <family val="2"/>
        <scheme val="minor"/>
      </rPr>
      <t xml:space="preserve"> in the format "Yangon_1/5/2019".</t>
    </r>
  </si>
  <si>
    <r>
      <t xml:space="preserve">Count the number of transactions with </t>
    </r>
    <r>
      <rPr>
        <sz val="10"/>
        <color theme="1"/>
        <rFont val="Arial Unicode MS"/>
      </rPr>
      <t>Rating</t>
    </r>
    <r>
      <rPr>
        <sz val="11"/>
        <color theme="1"/>
        <rFont val="Aptos Narrow"/>
        <family val="2"/>
        <scheme val="minor"/>
      </rPr>
      <t xml:space="preserve"> greater than 9.</t>
    </r>
  </si>
  <si>
    <r>
      <t xml:space="preserve">Return "Valid" if the </t>
    </r>
    <r>
      <rPr>
        <sz val="10"/>
        <color theme="1"/>
        <rFont val="Arial Unicode MS"/>
      </rPr>
      <t>Tax 5%</t>
    </r>
    <r>
      <rPr>
        <sz val="11"/>
        <color theme="1"/>
        <rFont val="Aptos Narrow"/>
        <family val="2"/>
        <scheme val="minor"/>
      </rPr>
      <t xml:space="preserve"> equals 5% of </t>
    </r>
    <r>
      <rPr>
        <sz val="10"/>
        <color theme="1"/>
        <rFont val="Arial Unicode MS"/>
      </rPr>
      <t>cogs</t>
    </r>
    <r>
      <rPr>
        <sz val="11"/>
        <color theme="1"/>
        <rFont val="Aptos Narrow"/>
        <family val="2"/>
        <scheme val="minor"/>
      </rPr>
      <t>, otherwise return "Error".</t>
    </r>
  </si>
  <si>
    <r>
      <t xml:space="preserve">Calculate the sum of </t>
    </r>
    <r>
      <rPr>
        <sz val="10"/>
        <color theme="1"/>
        <rFont val="Arial Unicode MS"/>
      </rPr>
      <t>Total</t>
    </r>
    <r>
      <rPr>
        <sz val="11"/>
        <color theme="1"/>
        <rFont val="Aptos Narrow"/>
        <family val="2"/>
        <scheme val="minor"/>
      </rPr>
      <t xml:space="preserve"> for </t>
    </r>
    <r>
      <rPr>
        <sz val="10"/>
        <color theme="1"/>
        <rFont val="Arial Unicode MS"/>
      </rPr>
      <t>Product line</t>
    </r>
    <r>
      <rPr>
        <sz val="11"/>
        <color theme="1"/>
        <rFont val="Aptos Narrow"/>
        <family val="2"/>
        <scheme val="minor"/>
      </rPr>
      <t xml:space="preserve"> "Fashion accessories".</t>
    </r>
  </si>
  <si>
    <r>
      <t xml:space="preserve">Compute the average </t>
    </r>
    <r>
      <rPr>
        <sz val="10"/>
        <color theme="1"/>
        <rFont val="Arial Unicode MS"/>
      </rPr>
      <t>Rating</t>
    </r>
    <r>
      <rPr>
        <sz val="11"/>
        <color theme="1"/>
        <rFont val="Aptos Narrow"/>
        <family val="2"/>
        <scheme val="minor"/>
      </rPr>
      <t xml:space="preserve"> for </t>
    </r>
    <r>
      <rPr>
        <sz val="10"/>
        <color theme="1"/>
        <rFont val="Arial Unicode MS"/>
      </rPr>
      <t>Branch</t>
    </r>
    <r>
      <rPr>
        <sz val="11"/>
        <color theme="1"/>
        <rFont val="Aptos Narrow"/>
        <family val="2"/>
        <scheme val="minor"/>
      </rPr>
      <t xml:space="preserve"> "B".</t>
    </r>
  </si>
  <si>
    <r>
      <t xml:space="preserve">Count the number of transactions for </t>
    </r>
    <r>
      <rPr>
        <sz val="10"/>
        <color theme="1"/>
        <rFont val="Arial Unicode MS"/>
      </rPr>
      <t>Customer type</t>
    </r>
    <r>
      <rPr>
        <sz val="11"/>
        <color theme="1"/>
        <rFont val="Aptos Narrow"/>
        <family val="2"/>
        <scheme val="minor"/>
      </rPr>
      <t xml:space="preserve"> "Member".</t>
    </r>
  </si>
  <si>
    <r>
      <t xml:space="preserve">Calculate the total </t>
    </r>
    <r>
      <rPr>
        <sz val="10"/>
        <color theme="1"/>
        <rFont val="Arial Unicode MS"/>
      </rPr>
      <t>cogs</t>
    </r>
    <r>
      <rPr>
        <sz val="11"/>
        <color theme="1"/>
        <rFont val="Aptos Narrow"/>
        <family val="2"/>
        <scheme val="minor"/>
      </rPr>
      <t xml:space="preserve"> for </t>
    </r>
    <r>
      <rPr>
        <sz val="10"/>
        <color theme="1"/>
        <rFont val="Arial Unicode MS"/>
      </rPr>
      <t>Gender</t>
    </r>
    <r>
      <rPr>
        <sz val="11"/>
        <color theme="1"/>
        <rFont val="Aptos Narrow"/>
        <family val="2"/>
        <scheme val="minor"/>
      </rPr>
      <t xml:space="preserve"> "Female".</t>
    </r>
  </si>
  <si>
    <r>
      <t xml:space="preserve">Check if </t>
    </r>
    <r>
      <rPr>
        <sz val="10"/>
        <color theme="1"/>
        <rFont val="Arial Unicode MS"/>
      </rPr>
      <t>cogs</t>
    </r>
    <r>
      <rPr>
        <sz val="11"/>
        <color theme="1"/>
        <rFont val="Aptos Narrow"/>
        <family val="2"/>
        <scheme val="minor"/>
      </rPr>
      <t xml:space="preserve"> equals </t>
    </r>
    <r>
      <rPr>
        <sz val="10"/>
        <color theme="1"/>
        <rFont val="Arial Unicode MS"/>
      </rPr>
      <t>Unit price</t>
    </r>
    <r>
      <rPr>
        <sz val="11"/>
        <color theme="1"/>
        <rFont val="Aptos Narrow"/>
        <family val="2"/>
        <scheme val="minor"/>
      </rPr>
      <t xml:space="preserve"> multiplied by </t>
    </r>
    <r>
      <rPr>
        <sz val="10"/>
        <color theme="1"/>
        <rFont val="Arial Unicode MS"/>
      </rPr>
      <t>Quantity</t>
    </r>
    <r>
      <rPr>
        <sz val="11"/>
        <color theme="1"/>
        <rFont val="Aptos Narrow"/>
        <family val="2"/>
        <scheme val="minor"/>
      </rPr>
      <t xml:space="preserve"> (True/False).</t>
    </r>
  </si>
  <si>
    <r>
      <t xml:space="preserve">Check if the </t>
    </r>
    <r>
      <rPr>
        <sz val="10"/>
        <color theme="1"/>
        <rFont val="Arial Unicode MS"/>
      </rPr>
      <t>City</t>
    </r>
    <r>
      <rPr>
        <sz val="11"/>
        <color theme="1"/>
        <rFont val="Aptos Narrow"/>
        <family val="2"/>
        <scheme val="minor"/>
      </rPr>
      <t xml:space="preserve"> column contains text values.</t>
    </r>
  </si>
  <si>
    <t>Count the total number of transactions.</t>
  </si>
  <si>
    <r>
      <t xml:space="preserve">Create a column to check if the </t>
    </r>
    <r>
      <rPr>
        <sz val="10"/>
        <color theme="1"/>
        <rFont val="Arial Unicode MS"/>
      </rPr>
      <t>Rating</t>
    </r>
    <r>
      <rPr>
        <sz val="11"/>
        <color theme="1"/>
        <rFont val="Aptos Narrow"/>
        <family val="2"/>
        <scheme val="minor"/>
      </rPr>
      <t xml:space="preserve"> is greater than 7 (Yes/No).</t>
    </r>
  </si>
  <si>
    <t>Answer here if it single value</t>
  </si>
  <si>
    <t>First 3 Invoice ID</t>
  </si>
  <si>
    <t>Middle 2 Invoice ID</t>
  </si>
  <si>
    <t>Concatenate</t>
  </si>
  <si>
    <t>Tax 5% = 5% of cogs</t>
  </si>
  <si>
    <t>Check if cogs equals Unit price multiplied by Quantity</t>
  </si>
  <si>
    <r>
      <t xml:space="preserve"> </t>
    </r>
    <r>
      <rPr>
        <sz val="10"/>
        <color theme="1"/>
        <rFont val="Arial Unicode MS"/>
      </rPr>
      <t>Total</t>
    </r>
    <r>
      <rPr>
        <sz val="11"/>
        <color theme="1"/>
        <rFont val="Aptos Narrow"/>
        <family val="2"/>
        <scheme val="minor"/>
      </rPr>
      <t xml:space="preserve"> column are numeric.</t>
    </r>
  </si>
  <si>
    <t>is City contains text values</t>
  </si>
  <si>
    <t>is Total contains text values</t>
  </si>
  <si>
    <t>"A" or "B" Branch</t>
  </si>
  <si>
    <t>Check if "Credit card"</t>
  </si>
  <si>
    <t>Rating is greater than 7</t>
  </si>
  <si>
    <r>
      <t xml:space="preserve">Identify whether the </t>
    </r>
    <r>
      <rPr>
        <sz val="10"/>
        <color theme="1"/>
        <rFont val="Arial Unicode MS"/>
      </rPr>
      <t>Branch</t>
    </r>
    <r>
      <rPr>
        <sz val="11"/>
        <color theme="1"/>
        <rFont val="Aptos Narrow"/>
        <family val="2"/>
        <scheme val="minor"/>
      </rPr>
      <t xml:space="preserve"> is "A" (return "Branch A") or not (return "Other Branch").</t>
    </r>
  </si>
  <si>
    <r>
      <t xml:space="preserve">Check if the </t>
    </r>
    <r>
      <rPr>
        <sz val="10"/>
        <color theme="1"/>
        <rFont val="Arial Unicode MS"/>
      </rPr>
      <t>Payment</t>
    </r>
    <r>
      <rPr>
        <sz val="11"/>
        <color theme="1"/>
        <rFont val="Aptos Narrow"/>
        <family val="2"/>
        <scheme val="minor"/>
      </rPr>
      <t xml:space="preserve"> method is "Credit card" and return "Card Payment" or "Other".</t>
    </r>
  </si>
  <si>
    <t>Last 4 Invoice ID</t>
  </si>
  <si>
    <t>Combining "Yangon_1/5/2019"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</si>
</sst>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[$-F800]dddd\,\ mmmm\ dd\,\ yyyy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36" borderId="0" xfId="0" applyFill="1"/>
    <xf numFmtId="0" fontId="18" fillId="33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35" borderId="10" xfId="0" applyFont="1" applyFill="1" applyBorder="1" applyAlignment="1">
      <alignment horizontal="center" vertical="center"/>
    </xf>
    <xf numFmtId="0" fontId="0" fillId="33" borderId="10" xfId="0" applyFill="1" applyBorder="1"/>
    <xf numFmtId="0" fontId="0" fillId="34" borderId="10" xfId="0" applyFill="1" applyBorder="1"/>
    <xf numFmtId="164" fontId="0" fillId="0" borderId="0" xfId="0" applyNumberFormat="1"/>
    <xf numFmtId="0" fontId="18" fillId="37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  <xf numFmtId="0" fontId="16" fillId="38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14" fontId="0" fillId="38" borderId="10" xfId="0" applyNumberFormat="1" applyFill="1" applyBorder="1" applyAlignment="1">
      <alignment horizontal="center" vertical="center"/>
    </xf>
    <xf numFmtId="43" fontId="0" fillId="35" borderId="10" xfId="42" applyFont="1" applyFill="1" applyBorder="1" applyAlignment="1">
      <alignment horizontal="right" vertical="center"/>
    </xf>
    <xf numFmtId="43" fontId="0" fillId="35" borderId="10" xfId="42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C1273D71-E84F-47AB-8061-33882792E0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897C-B994-46DB-AA75-D65A5EAA609F}">
  <dimension ref="A1:O1001"/>
  <sheetViews>
    <sheetView zoomScaleNormal="100" workbookViewId="0">
      <selection activeCell="O6" sqref="O6"/>
    </sheetView>
  </sheetViews>
  <sheetFormatPr defaultRowHeight="14.4"/>
  <cols>
    <col min="1" max="1" width="11.77734375" bestFit="1" customWidth="1"/>
    <col min="2" max="2" width="7.6640625" bestFit="1" customWidth="1"/>
    <col min="3" max="3" width="9.44140625" bestFit="1" customWidth="1"/>
    <col min="4" max="4" width="14.6640625" bestFit="1" customWidth="1"/>
    <col min="5" max="5" width="7.88671875" bestFit="1" customWidth="1"/>
    <col min="6" max="6" width="19.5546875" bestFit="1" customWidth="1"/>
    <col min="7" max="7" width="10" bestFit="1" customWidth="1"/>
    <col min="8" max="8" width="8.88671875" bestFit="1" customWidth="1"/>
    <col min="9" max="9" width="8.33203125" bestFit="1" customWidth="1"/>
    <col min="10" max="10" width="9.44140625" bestFit="1" customWidth="1"/>
    <col min="11" max="11" width="10.6640625" bestFit="1" customWidth="1"/>
    <col min="12" max="12" width="5.6640625" bestFit="1" customWidth="1"/>
    <col min="13" max="13" width="10" bestFit="1" customWidth="1"/>
    <col min="14" max="14" width="7.33203125" bestFit="1" customWidth="1"/>
    <col min="15" max="15" width="6.77734375" bestFit="1" customWidth="1"/>
  </cols>
  <sheetData>
    <row r="1" spans="1:15" ht="15.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>
        <v>74.69</v>
      </c>
      <c r="H2" s="9">
        <v>7</v>
      </c>
      <c r="I2" s="9">
        <v>26.141500000000001</v>
      </c>
      <c r="J2" s="9">
        <v>548.97149999999999</v>
      </c>
      <c r="K2" s="10">
        <v>43470</v>
      </c>
      <c r="L2" s="11">
        <v>0.54722222222222228</v>
      </c>
      <c r="M2" s="9" t="s">
        <v>21</v>
      </c>
      <c r="N2" s="9">
        <v>522.83000000000004</v>
      </c>
      <c r="O2" s="9">
        <v>9.1</v>
      </c>
    </row>
    <row r="3" spans="1:15">
      <c r="A3" s="9" t="s">
        <v>22</v>
      </c>
      <c r="B3" s="9" t="s">
        <v>23</v>
      </c>
      <c r="C3" s="9" t="s">
        <v>24</v>
      </c>
      <c r="D3" s="9" t="s">
        <v>25</v>
      </c>
      <c r="E3" s="9" t="s">
        <v>19</v>
      </c>
      <c r="F3" s="9" t="s">
        <v>26</v>
      </c>
      <c r="G3" s="9">
        <v>15.28</v>
      </c>
      <c r="H3" s="9">
        <v>5</v>
      </c>
      <c r="I3" s="9">
        <v>3.82</v>
      </c>
      <c r="J3" s="9">
        <v>80.22</v>
      </c>
      <c r="K3" s="10">
        <v>43532</v>
      </c>
      <c r="L3" s="11">
        <v>0.43680555555555556</v>
      </c>
      <c r="M3" s="9" t="s">
        <v>27</v>
      </c>
      <c r="N3" s="9">
        <v>76.400000000000006</v>
      </c>
      <c r="O3" s="9">
        <v>9.6</v>
      </c>
    </row>
    <row r="4" spans="1:15">
      <c r="A4" s="9" t="s">
        <v>28</v>
      </c>
      <c r="B4" s="9" t="s">
        <v>16</v>
      </c>
      <c r="C4" s="9" t="s">
        <v>17</v>
      </c>
      <c r="D4" s="9" t="s">
        <v>25</v>
      </c>
      <c r="E4" s="9" t="s">
        <v>29</v>
      </c>
      <c r="F4" s="9" t="s">
        <v>30</v>
      </c>
      <c r="G4" s="9">
        <v>46.33</v>
      </c>
      <c r="H4" s="9">
        <v>7</v>
      </c>
      <c r="I4" s="9">
        <v>16.215499999999999</v>
      </c>
      <c r="J4" s="9">
        <v>340.52550000000002</v>
      </c>
      <c r="K4" s="10">
        <v>43527</v>
      </c>
      <c r="L4" s="11">
        <v>0.55763888888888891</v>
      </c>
      <c r="M4" s="9" t="s">
        <v>31</v>
      </c>
      <c r="N4" s="9">
        <v>324.31</v>
      </c>
      <c r="O4" s="9">
        <v>7.4</v>
      </c>
    </row>
    <row r="5" spans="1:15">
      <c r="A5" s="9" t="s">
        <v>32</v>
      </c>
      <c r="B5" s="9" t="s">
        <v>16</v>
      </c>
      <c r="C5" s="9" t="s">
        <v>17</v>
      </c>
      <c r="D5" s="9" t="s">
        <v>18</v>
      </c>
      <c r="E5" s="9" t="s">
        <v>29</v>
      </c>
      <c r="F5" s="9" t="s">
        <v>20</v>
      </c>
      <c r="G5" s="9">
        <v>58.22</v>
      </c>
      <c r="H5" s="9">
        <v>8</v>
      </c>
      <c r="I5" s="9">
        <v>23.288</v>
      </c>
      <c r="J5" s="9">
        <v>489.048</v>
      </c>
      <c r="K5" s="10">
        <v>43492</v>
      </c>
      <c r="L5" s="11">
        <v>0.85624999999999996</v>
      </c>
      <c r="M5" s="9" t="s">
        <v>21</v>
      </c>
      <c r="N5" s="9">
        <v>465.76</v>
      </c>
      <c r="O5" s="9">
        <v>8.4</v>
      </c>
    </row>
    <row r="6" spans="1:15">
      <c r="A6" s="9" t="s">
        <v>33</v>
      </c>
      <c r="B6" s="9" t="s">
        <v>16</v>
      </c>
      <c r="C6" s="9" t="s">
        <v>17</v>
      </c>
      <c r="D6" s="9" t="s">
        <v>25</v>
      </c>
      <c r="E6" s="9" t="s">
        <v>29</v>
      </c>
      <c r="F6" s="9" t="s">
        <v>34</v>
      </c>
      <c r="G6" s="9">
        <v>86.31</v>
      </c>
      <c r="H6" s="9">
        <v>7</v>
      </c>
      <c r="I6" s="9">
        <v>30.208500000000001</v>
      </c>
      <c r="J6" s="9">
        <v>634.37850000000003</v>
      </c>
      <c r="K6" s="10">
        <v>43504</v>
      </c>
      <c r="L6" s="11">
        <v>0.44236111111111109</v>
      </c>
      <c r="M6" s="9" t="s">
        <v>21</v>
      </c>
      <c r="N6" s="9">
        <v>604.16999999999996</v>
      </c>
      <c r="O6" s="9">
        <v>5.3</v>
      </c>
    </row>
    <row r="7" spans="1:15">
      <c r="A7" s="9" t="s">
        <v>35</v>
      </c>
      <c r="B7" s="9" t="s">
        <v>23</v>
      </c>
      <c r="C7" s="9" t="s">
        <v>24</v>
      </c>
      <c r="D7" s="9" t="s">
        <v>25</v>
      </c>
      <c r="E7" s="9" t="s">
        <v>29</v>
      </c>
      <c r="F7" s="9" t="s">
        <v>26</v>
      </c>
      <c r="G7" s="9">
        <v>85.39</v>
      </c>
      <c r="H7" s="9">
        <v>7</v>
      </c>
      <c r="I7" s="9">
        <v>29.886500000000002</v>
      </c>
      <c r="J7" s="9">
        <v>627.61649999999997</v>
      </c>
      <c r="K7" s="10">
        <v>43549</v>
      </c>
      <c r="L7" s="11">
        <v>0.77083333333333337</v>
      </c>
      <c r="M7" s="9" t="s">
        <v>21</v>
      </c>
      <c r="N7" s="9">
        <v>597.73</v>
      </c>
      <c r="O7" s="9">
        <v>4.0999999999999996</v>
      </c>
    </row>
    <row r="8" spans="1:15">
      <c r="A8" s="9" t="s">
        <v>36</v>
      </c>
      <c r="B8" s="9" t="s">
        <v>16</v>
      </c>
      <c r="C8" s="9" t="s">
        <v>17</v>
      </c>
      <c r="D8" s="9" t="s">
        <v>18</v>
      </c>
      <c r="E8" s="9" t="s">
        <v>19</v>
      </c>
      <c r="F8" s="9" t="s">
        <v>26</v>
      </c>
      <c r="G8" s="9">
        <v>68.84</v>
      </c>
      <c r="H8" s="9">
        <v>6</v>
      </c>
      <c r="I8" s="9">
        <v>20.652000000000001</v>
      </c>
      <c r="J8" s="9">
        <v>433.69200000000001</v>
      </c>
      <c r="K8" s="10">
        <v>43521</v>
      </c>
      <c r="L8" s="11">
        <v>0.60833333333333328</v>
      </c>
      <c r="M8" s="9" t="s">
        <v>21</v>
      </c>
      <c r="N8" s="9">
        <v>413.04</v>
      </c>
      <c r="O8" s="9">
        <v>5.8</v>
      </c>
    </row>
    <row r="9" spans="1:15">
      <c r="A9" s="9" t="s">
        <v>37</v>
      </c>
      <c r="B9" s="9" t="s">
        <v>23</v>
      </c>
      <c r="C9" s="9" t="s">
        <v>24</v>
      </c>
      <c r="D9" s="9" t="s">
        <v>25</v>
      </c>
      <c r="E9" s="9" t="s">
        <v>19</v>
      </c>
      <c r="F9" s="9" t="s">
        <v>30</v>
      </c>
      <c r="G9" s="9">
        <v>73.56</v>
      </c>
      <c r="H9" s="9">
        <v>10</v>
      </c>
      <c r="I9" s="9">
        <v>36.78</v>
      </c>
      <c r="J9" s="9">
        <v>772.38</v>
      </c>
      <c r="K9" s="10">
        <v>43520</v>
      </c>
      <c r="L9" s="11">
        <v>0.48472222222222222</v>
      </c>
      <c r="M9" s="9" t="s">
        <v>21</v>
      </c>
      <c r="N9" s="9">
        <v>735.6</v>
      </c>
      <c r="O9" s="9">
        <v>8</v>
      </c>
    </row>
    <row r="10" spans="1:15">
      <c r="A10" s="9" t="s">
        <v>38</v>
      </c>
      <c r="B10" s="9" t="s">
        <v>16</v>
      </c>
      <c r="C10" s="9" t="s">
        <v>17</v>
      </c>
      <c r="D10" s="9" t="s">
        <v>18</v>
      </c>
      <c r="E10" s="9" t="s">
        <v>19</v>
      </c>
      <c r="F10" s="9" t="s">
        <v>20</v>
      </c>
      <c r="G10" s="9">
        <v>36.26</v>
      </c>
      <c r="H10" s="9">
        <v>2</v>
      </c>
      <c r="I10" s="9">
        <v>3.6259999999999999</v>
      </c>
      <c r="J10" s="9">
        <v>76.146000000000001</v>
      </c>
      <c r="K10" s="10">
        <v>43475</v>
      </c>
      <c r="L10" s="11">
        <v>0.71875</v>
      </c>
      <c r="M10" s="9" t="s">
        <v>31</v>
      </c>
      <c r="N10" s="9">
        <v>72.52</v>
      </c>
      <c r="O10" s="9">
        <v>7.2</v>
      </c>
    </row>
    <row r="11" spans="1:15">
      <c r="A11" s="9" t="s">
        <v>39</v>
      </c>
      <c r="B11" s="9" t="s">
        <v>40</v>
      </c>
      <c r="C11" s="9" t="s">
        <v>41</v>
      </c>
      <c r="D11" s="9" t="s">
        <v>18</v>
      </c>
      <c r="E11" s="9" t="s">
        <v>19</v>
      </c>
      <c r="F11" s="9" t="s">
        <v>42</v>
      </c>
      <c r="G11" s="9">
        <v>54.84</v>
      </c>
      <c r="H11" s="9">
        <v>3</v>
      </c>
      <c r="I11" s="9">
        <v>8.2260000000000009</v>
      </c>
      <c r="J11" s="9">
        <v>172.74600000000001</v>
      </c>
      <c r="K11" s="10">
        <v>43516</v>
      </c>
      <c r="L11" s="11">
        <v>0.56041666666666667</v>
      </c>
      <c r="M11" s="9" t="s">
        <v>31</v>
      </c>
      <c r="N11" s="9">
        <v>164.52</v>
      </c>
      <c r="O11" s="9">
        <v>5.9</v>
      </c>
    </row>
    <row r="12" spans="1:15">
      <c r="A12" s="9" t="s">
        <v>43</v>
      </c>
      <c r="B12" s="9" t="s">
        <v>40</v>
      </c>
      <c r="C12" s="9" t="s">
        <v>41</v>
      </c>
      <c r="D12" s="9" t="s">
        <v>18</v>
      </c>
      <c r="E12" s="9" t="s">
        <v>19</v>
      </c>
      <c r="F12" s="9" t="s">
        <v>44</v>
      </c>
      <c r="G12" s="9">
        <v>14.48</v>
      </c>
      <c r="H12" s="9">
        <v>4</v>
      </c>
      <c r="I12" s="9">
        <v>2.8959999999999999</v>
      </c>
      <c r="J12" s="9">
        <v>60.816000000000003</v>
      </c>
      <c r="K12" s="10">
        <v>43502</v>
      </c>
      <c r="L12" s="11">
        <v>0.75486111111111109</v>
      </c>
      <c r="M12" s="9" t="s">
        <v>21</v>
      </c>
      <c r="N12" s="9">
        <v>57.92</v>
      </c>
      <c r="O12" s="9">
        <v>4.5</v>
      </c>
    </row>
    <row r="13" spans="1:15">
      <c r="A13" s="9" t="s">
        <v>45</v>
      </c>
      <c r="B13" s="9" t="s">
        <v>40</v>
      </c>
      <c r="C13" s="9" t="s">
        <v>41</v>
      </c>
      <c r="D13" s="9" t="s">
        <v>18</v>
      </c>
      <c r="E13" s="9" t="s">
        <v>29</v>
      </c>
      <c r="F13" s="9" t="s">
        <v>26</v>
      </c>
      <c r="G13" s="9">
        <v>25.51</v>
      </c>
      <c r="H13" s="9">
        <v>4</v>
      </c>
      <c r="I13" s="9">
        <v>5.1020000000000003</v>
      </c>
      <c r="J13" s="9">
        <v>107.142</v>
      </c>
      <c r="K13" s="10">
        <v>43533</v>
      </c>
      <c r="L13" s="11">
        <v>0.7104166666666667</v>
      </c>
      <c r="M13" s="9" t="s">
        <v>27</v>
      </c>
      <c r="N13" s="9">
        <v>102.04</v>
      </c>
      <c r="O13" s="9">
        <v>6.8</v>
      </c>
    </row>
    <row r="14" spans="1:15">
      <c r="A14" s="9" t="s">
        <v>46</v>
      </c>
      <c r="B14" s="9" t="s">
        <v>16</v>
      </c>
      <c r="C14" s="9" t="s">
        <v>17</v>
      </c>
      <c r="D14" s="9" t="s">
        <v>25</v>
      </c>
      <c r="E14" s="9" t="s">
        <v>19</v>
      </c>
      <c r="F14" s="9" t="s">
        <v>26</v>
      </c>
      <c r="G14" s="9">
        <v>46.95</v>
      </c>
      <c r="H14" s="9">
        <v>5</v>
      </c>
      <c r="I14" s="9">
        <v>11.737500000000001</v>
      </c>
      <c r="J14" s="9">
        <v>246.48750000000001</v>
      </c>
      <c r="K14" s="10">
        <v>43508</v>
      </c>
      <c r="L14" s="11">
        <v>0.43402777777777779</v>
      </c>
      <c r="M14" s="9" t="s">
        <v>21</v>
      </c>
      <c r="N14" s="9">
        <v>234.75</v>
      </c>
      <c r="O14" s="9">
        <v>7.1</v>
      </c>
    </row>
    <row r="15" spans="1:15">
      <c r="A15" s="9" t="s">
        <v>47</v>
      </c>
      <c r="B15" s="9" t="s">
        <v>16</v>
      </c>
      <c r="C15" s="9" t="s">
        <v>17</v>
      </c>
      <c r="D15" s="9" t="s">
        <v>25</v>
      </c>
      <c r="E15" s="9" t="s">
        <v>29</v>
      </c>
      <c r="F15" s="9" t="s">
        <v>42</v>
      </c>
      <c r="G15" s="9">
        <v>43.19</v>
      </c>
      <c r="H15" s="9">
        <v>10</v>
      </c>
      <c r="I15" s="9">
        <v>21.594999999999999</v>
      </c>
      <c r="J15" s="9">
        <v>453.495</v>
      </c>
      <c r="K15" s="10">
        <v>43503</v>
      </c>
      <c r="L15" s="11">
        <v>0.7</v>
      </c>
      <c r="M15" s="9" t="s">
        <v>21</v>
      </c>
      <c r="N15" s="9">
        <v>431.9</v>
      </c>
      <c r="O15" s="9">
        <v>8.1999999999999993</v>
      </c>
    </row>
    <row r="16" spans="1:15">
      <c r="A16" s="9" t="s">
        <v>48</v>
      </c>
      <c r="B16" s="9" t="s">
        <v>16</v>
      </c>
      <c r="C16" s="9" t="s">
        <v>17</v>
      </c>
      <c r="D16" s="9" t="s">
        <v>25</v>
      </c>
      <c r="E16" s="9" t="s">
        <v>19</v>
      </c>
      <c r="F16" s="9" t="s">
        <v>20</v>
      </c>
      <c r="G16" s="9">
        <v>71.38</v>
      </c>
      <c r="H16" s="9">
        <v>10</v>
      </c>
      <c r="I16" s="9">
        <v>35.69</v>
      </c>
      <c r="J16" s="9">
        <v>749.49</v>
      </c>
      <c r="K16" s="10">
        <v>43553</v>
      </c>
      <c r="L16" s="11">
        <v>0.80625000000000002</v>
      </c>
      <c r="M16" s="9" t="s">
        <v>27</v>
      </c>
      <c r="N16" s="9">
        <v>713.8</v>
      </c>
      <c r="O16" s="9">
        <v>5.7</v>
      </c>
    </row>
    <row r="17" spans="1:15">
      <c r="A17" s="9" t="s">
        <v>49</v>
      </c>
      <c r="B17" s="9" t="s">
        <v>40</v>
      </c>
      <c r="C17" s="9" t="s">
        <v>41</v>
      </c>
      <c r="D17" s="9" t="s">
        <v>18</v>
      </c>
      <c r="E17" s="9" t="s">
        <v>19</v>
      </c>
      <c r="F17" s="9" t="s">
        <v>34</v>
      </c>
      <c r="G17" s="9">
        <v>93.72</v>
      </c>
      <c r="H17" s="9">
        <v>6</v>
      </c>
      <c r="I17" s="9">
        <v>28.116</v>
      </c>
      <c r="J17" s="9">
        <v>590.43600000000004</v>
      </c>
      <c r="K17" s="10">
        <v>43480</v>
      </c>
      <c r="L17" s="11">
        <v>0.67986111111111114</v>
      </c>
      <c r="M17" s="9" t="s">
        <v>27</v>
      </c>
      <c r="N17" s="9">
        <v>562.32000000000005</v>
      </c>
      <c r="O17" s="9">
        <v>4.5</v>
      </c>
    </row>
    <row r="18" spans="1:15">
      <c r="A18" s="9" t="s">
        <v>50</v>
      </c>
      <c r="B18" s="9" t="s">
        <v>16</v>
      </c>
      <c r="C18" s="9" t="s">
        <v>17</v>
      </c>
      <c r="D18" s="9" t="s">
        <v>18</v>
      </c>
      <c r="E18" s="9" t="s">
        <v>19</v>
      </c>
      <c r="F18" s="9" t="s">
        <v>20</v>
      </c>
      <c r="G18" s="9">
        <v>68.930000000000007</v>
      </c>
      <c r="H18" s="9">
        <v>7</v>
      </c>
      <c r="I18" s="9">
        <v>24.125499999999999</v>
      </c>
      <c r="J18" s="9">
        <v>506.63549999999998</v>
      </c>
      <c r="K18" s="10">
        <v>43535</v>
      </c>
      <c r="L18" s="11">
        <v>0.46041666666666664</v>
      </c>
      <c r="M18" s="9" t="s">
        <v>31</v>
      </c>
      <c r="N18" s="9">
        <v>482.51</v>
      </c>
      <c r="O18" s="9">
        <v>4.5999999999999996</v>
      </c>
    </row>
    <row r="19" spans="1:15">
      <c r="A19" s="9" t="s">
        <v>51</v>
      </c>
      <c r="B19" s="9" t="s">
        <v>16</v>
      </c>
      <c r="C19" s="9" t="s">
        <v>17</v>
      </c>
      <c r="D19" s="9" t="s">
        <v>25</v>
      </c>
      <c r="E19" s="9" t="s">
        <v>29</v>
      </c>
      <c r="F19" s="9" t="s">
        <v>34</v>
      </c>
      <c r="G19" s="9">
        <v>72.61</v>
      </c>
      <c r="H19" s="9">
        <v>6</v>
      </c>
      <c r="I19" s="9">
        <v>21.783000000000001</v>
      </c>
      <c r="J19" s="9">
        <v>457.44299999999998</v>
      </c>
      <c r="K19" s="10">
        <v>43466</v>
      </c>
      <c r="L19" s="11">
        <v>0.44374999999999998</v>
      </c>
      <c r="M19" s="9" t="s">
        <v>31</v>
      </c>
      <c r="N19" s="9">
        <v>435.66</v>
      </c>
      <c r="O19" s="9">
        <v>6.9</v>
      </c>
    </row>
    <row r="20" spans="1:15">
      <c r="A20" s="9" t="s">
        <v>52</v>
      </c>
      <c r="B20" s="9" t="s">
        <v>16</v>
      </c>
      <c r="C20" s="9" t="s">
        <v>17</v>
      </c>
      <c r="D20" s="9" t="s">
        <v>25</v>
      </c>
      <c r="E20" s="9" t="s">
        <v>29</v>
      </c>
      <c r="F20" s="9" t="s">
        <v>42</v>
      </c>
      <c r="G20" s="9">
        <v>54.67</v>
      </c>
      <c r="H20" s="9">
        <v>3</v>
      </c>
      <c r="I20" s="9">
        <v>8.2004999999999999</v>
      </c>
      <c r="J20" s="9">
        <v>172.2105</v>
      </c>
      <c r="K20" s="10">
        <v>43486</v>
      </c>
      <c r="L20" s="11">
        <v>0.75</v>
      </c>
      <c r="M20" s="9" t="s">
        <v>31</v>
      </c>
      <c r="N20" s="9">
        <v>164.01</v>
      </c>
      <c r="O20" s="9">
        <v>8.6</v>
      </c>
    </row>
    <row r="21" spans="1:15">
      <c r="A21" s="9" t="s">
        <v>53</v>
      </c>
      <c r="B21" s="9" t="s">
        <v>40</v>
      </c>
      <c r="C21" s="9" t="s">
        <v>41</v>
      </c>
      <c r="D21" s="9" t="s">
        <v>25</v>
      </c>
      <c r="E21" s="9" t="s">
        <v>19</v>
      </c>
      <c r="F21" s="9" t="s">
        <v>30</v>
      </c>
      <c r="G21" s="9">
        <v>40.299999999999997</v>
      </c>
      <c r="H21" s="9">
        <v>2</v>
      </c>
      <c r="I21" s="9">
        <v>4.03</v>
      </c>
      <c r="J21" s="9">
        <v>84.63</v>
      </c>
      <c r="K21" s="10">
        <v>43535</v>
      </c>
      <c r="L21" s="11">
        <v>0.64583333333333337</v>
      </c>
      <c r="M21" s="9" t="s">
        <v>21</v>
      </c>
      <c r="N21" s="9">
        <v>80.599999999999994</v>
      </c>
      <c r="O21" s="9">
        <v>4.4000000000000004</v>
      </c>
    </row>
    <row r="22" spans="1:15">
      <c r="A22" s="9" t="s">
        <v>54</v>
      </c>
      <c r="B22" s="9" t="s">
        <v>23</v>
      </c>
      <c r="C22" s="9" t="s">
        <v>24</v>
      </c>
      <c r="D22" s="9" t="s">
        <v>18</v>
      </c>
      <c r="E22" s="9" t="s">
        <v>29</v>
      </c>
      <c r="F22" s="9" t="s">
        <v>26</v>
      </c>
      <c r="G22" s="9">
        <v>86.04</v>
      </c>
      <c r="H22" s="9">
        <v>5</v>
      </c>
      <c r="I22" s="9">
        <v>21.51</v>
      </c>
      <c r="J22" s="9">
        <v>451.71</v>
      </c>
      <c r="K22" s="10">
        <v>43521</v>
      </c>
      <c r="L22" s="11">
        <v>0.47499999999999998</v>
      </c>
      <c r="M22" s="9" t="s">
        <v>21</v>
      </c>
      <c r="N22" s="9">
        <v>430.2</v>
      </c>
      <c r="O22" s="9">
        <v>4.8</v>
      </c>
    </row>
    <row r="23" spans="1:15">
      <c r="A23" s="9" t="s">
        <v>55</v>
      </c>
      <c r="B23" s="9" t="s">
        <v>40</v>
      </c>
      <c r="C23" s="9" t="s">
        <v>41</v>
      </c>
      <c r="D23" s="9" t="s">
        <v>25</v>
      </c>
      <c r="E23" s="9" t="s">
        <v>29</v>
      </c>
      <c r="F23" s="9" t="s">
        <v>20</v>
      </c>
      <c r="G23" s="9">
        <v>87.98</v>
      </c>
      <c r="H23" s="9">
        <v>3</v>
      </c>
      <c r="I23" s="9">
        <v>13.196999999999999</v>
      </c>
      <c r="J23" s="9">
        <v>277.137</v>
      </c>
      <c r="K23" s="10">
        <v>43529</v>
      </c>
      <c r="L23" s="11">
        <v>0.44444444444444442</v>
      </c>
      <c r="M23" s="9" t="s">
        <v>21</v>
      </c>
      <c r="N23" s="9">
        <v>263.94</v>
      </c>
      <c r="O23" s="9">
        <v>5.0999999999999996</v>
      </c>
    </row>
    <row r="24" spans="1:15">
      <c r="A24" s="9" t="s">
        <v>56</v>
      </c>
      <c r="B24" s="9" t="s">
        <v>40</v>
      </c>
      <c r="C24" s="9" t="s">
        <v>41</v>
      </c>
      <c r="D24" s="9" t="s">
        <v>25</v>
      </c>
      <c r="E24" s="9" t="s">
        <v>29</v>
      </c>
      <c r="F24" s="9" t="s">
        <v>30</v>
      </c>
      <c r="G24" s="9">
        <v>33.200000000000003</v>
      </c>
      <c r="H24" s="9">
        <v>2</v>
      </c>
      <c r="I24" s="9">
        <v>3.32</v>
      </c>
      <c r="J24" s="9">
        <v>69.72</v>
      </c>
      <c r="K24" s="10">
        <v>43539</v>
      </c>
      <c r="L24" s="11">
        <v>0.51388888888888884</v>
      </c>
      <c r="M24" s="9" t="s">
        <v>31</v>
      </c>
      <c r="N24" s="9">
        <v>66.400000000000006</v>
      </c>
      <c r="O24" s="9">
        <v>4.4000000000000004</v>
      </c>
    </row>
    <row r="25" spans="1:15">
      <c r="A25" s="9" t="s">
        <v>57</v>
      </c>
      <c r="B25" s="9" t="s">
        <v>16</v>
      </c>
      <c r="C25" s="9" t="s">
        <v>17</v>
      </c>
      <c r="D25" s="9" t="s">
        <v>25</v>
      </c>
      <c r="E25" s="9" t="s">
        <v>29</v>
      </c>
      <c r="F25" s="9" t="s">
        <v>26</v>
      </c>
      <c r="G25" s="9">
        <v>34.56</v>
      </c>
      <c r="H25" s="9">
        <v>5</v>
      </c>
      <c r="I25" s="9">
        <v>8.64</v>
      </c>
      <c r="J25" s="9">
        <v>181.44</v>
      </c>
      <c r="K25" s="10">
        <v>43513</v>
      </c>
      <c r="L25" s="11">
        <v>0.46875</v>
      </c>
      <c r="M25" s="9" t="s">
        <v>21</v>
      </c>
      <c r="N25" s="9">
        <v>172.8</v>
      </c>
      <c r="O25" s="9">
        <v>9.9</v>
      </c>
    </row>
    <row r="26" spans="1:15">
      <c r="A26" s="9" t="s">
        <v>58</v>
      </c>
      <c r="B26" s="9" t="s">
        <v>16</v>
      </c>
      <c r="C26" s="9" t="s">
        <v>17</v>
      </c>
      <c r="D26" s="9" t="s">
        <v>18</v>
      </c>
      <c r="E26" s="9" t="s">
        <v>29</v>
      </c>
      <c r="F26" s="9" t="s">
        <v>34</v>
      </c>
      <c r="G26" s="9">
        <v>88.63</v>
      </c>
      <c r="H26" s="9">
        <v>3</v>
      </c>
      <c r="I26" s="9">
        <v>13.294499999999999</v>
      </c>
      <c r="J26" s="9">
        <v>279.18450000000001</v>
      </c>
      <c r="K26" s="10">
        <v>43526</v>
      </c>
      <c r="L26" s="11">
        <v>0.73333333333333328</v>
      </c>
      <c r="M26" s="9" t="s">
        <v>21</v>
      </c>
      <c r="N26" s="9">
        <v>265.89</v>
      </c>
      <c r="O26" s="9">
        <v>6</v>
      </c>
    </row>
    <row r="27" spans="1:15">
      <c r="A27" s="9" t="s">
        <v>59</v>
      </c>
      <c r="B27" s="9" t="s">
        <v>16</v>
      </c>
      <c r="C27" s="9" t="s">
        <v>17</v>
      </c>
      <c r="D27" s="9" t="s">
        <v>18</v>
      </c>
      <c r="E27" s="9" t="s">
        <v>19</v>
      </c>
      <c r="F27" s="9" t="s">
        <v>30</v>
      </c>
      <c r="G27" s="9">
        <v>52.59</v>
      </c>
      <c r="H27" s="9">
        <v>8</v>
      </c>
      <c r="I27" s="9">
        <v>21.036000000000001</v>
      </c>
      <c r="J27" s="9">
        <v>441.75599999999997</v>
      </c>
      <c r="K27" s="10">
        <v>43546</v>
      </c>
      <c r="L27" s="11">
        <v>0.80555555555555558</v>
      </c>
      <c r="M27" s="9" t="s">
        <v>31</v>
      </c>
      <c r="N27" s="9">
        <v>420.72</v>
      </c>
      <c r="O27" s="9">
        <v>8.5</v>
      </c>
    </row>
    <row r="28" spans="1:15">
      <c r="A28" s="9" t="s">
        <v>60</v>
      </c>
      <c r="B28" s="9" t="s">
        <v>40</v>
      </c>
      <c r="C28" s="9" t="s">
        <v>41</v>
      </c>
      <c r="D28" s="9" t="s">
        <v>25</v>
      </c>
      <c r="E28" s="9" t="s">
        <v>29</v>
      </c>
      <c r="F28" s="9" t="s">
        <v>44</v>
      </c>
      <c r="G28" s="9">
        <v>33.520000000000003</v>
      </c>
      <c r="H28" s="9">
        <v>1</v>
      </c>
      <c r="I28" s="9">
        <v>1.6759999999999999</v>
      </c>
      <c r="J28" s="9">
        <v>35.195999999999998</v>
      </c>
      <c r="K28" s="10">
        <v>43504</v>
      </c>
      <c r="L28" s="11">
        <v>0.64652777777777781</v>
      </c>
      <c r="M28" s="9" t="s">
        <v>27</v>
      </c>
      <c r="N28" s="9">
        <v>33.520000000000003</v>
      </c>
      <c r="O28" s="9">
        <v>6.7</v>
      </c>
    </row>
    <row r="29" spans="1:15">
      <c r="A29" s="9" t="s">
        <v>61</v>
      </c>
      <c r="B29" s="9" t="s">
        <v>16</v>
      </c>
      <c r="C29" s="9" t="s">
        <v>17</v>
      </c>
      <c r="D29" s="9" t="s">
        <v>25</v>
      </c>
      <c r="E29" s="9" t="s">
        <v>19</v>
      </c>
      <c r="F29" s="9" t="s">
        <v>44</v>
      </c>
      <c r="G29" s="9">
        <v>87.67</v>
      </c>
      <c r="H29" s="9">
        <v>2</v>
      </c>
      <c r="I29" s="9">
        <v>8.7669999999999995</v>
      </c>
      <c r="J29" s="9">
        <v>184.107</v>
      </c>
      <c r="K29" s="10">
        <v>43534</v>
      </c>
      <c r="L29" s="11">
        <v>0.51180555555555551</v>
      </c>
      <c r="M29" s="9" t="s">
        <v>31</v>
      </c>
      <c r="N29" s="9">
        <v>175.34</v>
      </c>
      <c r="O29" s="9">
        <v>7.7</v>
      </c>
    </row>
    <row r="30" spans="1:15">
      <c r="A30" s="9" t="s">
        <v>62</v>
      </c>
      <c r="B30" s="9" t="s">
        <v>40</v>
      </c>
      <c r="C30" s="9" t="s">
        <v>41</v>
      </c>
      <c r="D30" s="9" t="s">
        <v>25</v>
      </c>
      <c r="E30" s="9" t="s">
        <v>19</v>
      </c>
      <c r="F30" s="9" t="s">
        <v>42</v>
      </c>
      <c r="G30" s="9">
        <v>88.36</v>
      </c>
      <c r="H30" s="9">
        <v>5</v>
      </c>
      <c r="I30" s="9">
        <v>22.09</v>
      </c>
      <c r="J30" s="9">
        <v>463.89</v>
      </c>
      <c r="K30" s="10">
        <v>43490</v>
      </c>
      <c r="L30" s="11">
        <v>0.82499999999999996</v>
      </c>
      <c r="M30" s="9" t="s">
        <v>27</v>
      </c>
      <c r="N30" s="9">
        <v>441.8</v>
      </c>
      <c r="O30" s="9">
        <v>9.6</v>
      </c>
    </row>
    <row r="31" spans="1:15">
      <c r="A31" s="9" t="s">
        <v>63</v>
      </c>
      <c r="B31" s="9" t="s">
        <v>16</v>
      </c>
      <c r="C31" s="9" t="s">
        <v>17</v>
      </c>
      <c r="D31" s="9" t="s">
        <v>25</v>
      </c>
      <c r="E31" s="9" t="s">
        <v>29</v>
      </c>
      <c r="F31" s="9" t="s">
        <v>20</v>
      </c>
      <c r="G31" s="9">
        <v>24.89</v>
      </c>
      <c r="H31" s="9">
        <v>9</v>
      </c>
      <c r="I31" s="9">
        <v>11.2005</v>
      </c>
      <c r="J31" s="9">
        <v>235.2105</v>
      </c>
      <c r="K31" s="10">
        <v>43539</v>
      </c>
      <c r="L31" s="11">
        <v>0.65</v>
      </c>
      <c r="M31" s="9" t="s">
        <v>27</v>
      </c>
      <c r="N31" s="9">
        <v>224.01</v>
      </c>
      <c r="O31" s="9">
        <v>7.4</v>
      </c>
    </row>
    <row r="32" spans="1:15">
      <c r="A32" s="9" t="s">
        <v>64</v>
      </c>
      <c r="B32" s="9" t="s">
        <v>40</v>
      </c>
      <c r="C32" s="9" t="s">
        <v>41</v>
      </c>
      <c r="D32" s="9" t="s">
        <v>25</v>
      </c>
      <c r="E32" s="9" t="s">
        <v>29</v>
      </c>
      <c r="F32" s="9" t="s">
        <v>44</v>
      </c>
      <c r="G32" s="9">
        <v>94.13</v>
      </c>
      <c r="H32" s="9">
        <v>5</v>
      </c>
      <c r="I32" s="9">
        <v>23.532499999999999</v>
      </c>
      <c r="J32" s="9">
        <v>494.1825</v>
      </c>
      <c r="K32" s="10">
        <v>43521</v>
      </c>
      <c r="L32" s="11">
        <v>0.81874999999999998</v>
      </c>
      <c r="M32" s="9" t="s">
        <v>31</v>
      </c>
      <c r="N32" s="9">
        <v>470.65</v>
      </c>
      <c r="O32" s="9">
        <v>4.8</v>
      </c>
    </row>
    <row r="33" spans="1:15">
      <c r="A33" s="9" t="s">
        <v>65</v>
      </c>
      <c r="B33" s="9" t="s">
        <v>40</v>
      </c>
      <c r="C33" s="9" t="s">
        <v>41</v>
      </c>
      <c r="D33" s="9" t="s">
        <v>18</v>
      </c>
      <c r="E33" s="9" t="s">
        <v>29</v>
      </c>
      <c r="F33" s="9" t="s">
        <v>34</v>
      </c>
      <c r="G33" s="9">
        <v>78.069999999999993</v>
      </c>
      <c r="H33" s="9">
        <v>9</v>
      </c>
      <c r="I33" s="9">
        <v>35.131500000000003</v>
      </c>
      <c r="J33" s="9">
        <v>737.76149999999996</v>
      </c>
      <c r="K33" s="10">
        <v>43493</v>
      </c>
      <c r="L33" s="11">
        <v>0.52986111111111112</v>
      </c>
      <c r="M33" s="9" t="s">
        <v>27</v>
      </c>
      <c r="N33" s="9">
        <v>702.63</v>
      </c>
      <c r="O33" s="9">
        <v>4.5</v>
      </c>
    </row>
    <row r="34" spans="1:15">
      <c r="A34" s="9" t="s">
        <v>66</v>
      </c>
      <c r="B34" s="9" t="s">
        <v>40</v>
      </c>
      <c r="C34" s="9" t="s">
        <v>41</v>
      </c>
      <c r="D34" s="9" t="s">
        <v>25</v>
      </c>
      <c r="E34" s="9" t="s">
        <v>29</v>
      </c>
      <c r="F34" s="9" t="s">
        <v>34</v>
      </c>
      <c r="G34" s="9">
        <v>83.78</v>
      </c>
      <c r="H34" s="9">
        <v>8</v>
      </c>
      <c r="I34" s="9">
        <v>33.512</v>
      </c>
      <c r="J34" s="9">
        <v>703.75199999999995</v>
      </c>
      <c r="K34" s="10">
        <v>43475</v>
      </c>
      <c r="L34" s="11">
        <v>0.61736111111111114</v>
      </c>
      <c r="M34" s="9" t="s">
        <v>27</v>
      </c>
      <c r="N34" s="9">
        <v>670.24</v>
      </c>
      <c r="O34" s="9">
        <v>5.0999999999999996</v>
      </c>
    </row>
    <row r="35" spans="1:15">
      <c r="A35" s="9" t="s">
        <v>67</v>
      </c>
      <c r="B35" s="9" t="s">
        <v>16</v>
      </c>
      <c r="C35" s="9" t="s">
        <v>17</v>
      </c>
      <c r="D35" s="9" t="s">
        <v>25</v>
      </c>
      <c r="E35" s="9" t="s">
        <v>29</v>
      </c>
      <c r="F35" s="9" t="s">
        <v>20</v>
      </c>
      <c r="G35" s="9">
        <v>96.58</v>
      </c>
      <c r="H35" s="9">
        <v>2</v>
      </c>
      <c r="I35" s="9">
        <v>9.6579999999999995</v>
      </c>
      <c r="J35" s="9">
        <v>202.81800000000001</v>
      </c>
      <c r="K35" s="10">
        <v>43539</v>
      </c>
      <c r="L35" s="11">
        <v>0.42499999999999999</v>
      </c>
      <c r="M35" s="9" t="s">
        <v>31</v>
      </c>
      <c r="N35" s="9">
        <v>193.16</v>
      </c>
      <c r="O35" s="9">
        <v>5.0999999999999996</v>
      </c>
    </row>
    <row r="36" spans="1:15">
      <c r="A36" s="9" t="s">
        <v>68</v>
      </c>
      <c r="B36" s="9" t="s">
        <v>23</v>
      </c>
      <c r="C36" s="9" t="s">
        <v>24</v>
      </c>
      <c r="D36" s="9" t="s">
        <v>18</v>
      </c>
      <c r="E36" s="9" t="s">
        <v>19</v>
      </c>
      <c r="F36" s="9" t="s">
        <v>42</v>
      </c>
      <c r="G36" s="9">
        <v>99.42</v>
      </c>
      <c r="H36" s="9">
        <v>4</v>
      </c>
      <c r="I36" s="9">
        <v>19.884</v>
      </c>
      <c r="J36" s="9">
        <v>417.56400000000002</v>
      </c>
      <c r="K36" s="10">
        <v>43502</v>
      </c>
      <c r="L36" s="11">
        <v>0.44583333333333336</v>
      </c>
      <c r="M36" s="9" t="s">
        <v>21</v>
      </c>
      <c r="N36" s="9">
        <v>397.68</v>
      </c>
      <c r="O36" s="9">
        <v>7.5</v>
      </c>
    </row>
    <row r="37" spans="1:15">
      <c r="A37" s="9" t="s">
        <v>69</v>
      </c>
      <c r="B37" s="9" t="s">
        <v>23</v>
      </c>
      <c r="C37" s="9" t="s">
        <v>24</v>
      </c>
      <c r="D37" s="9" t="s">
        <v>18</v>
      </c>
      <c r="E37" s="9" t="s">
        <v>19</v>
      </c>
      <c r="F37" s="9" t="s">
        <v>34</v>
      </c>
      <c r="G37" s="9">
        <v>68.12</v>
      </c>
      <c r="H37" s="9">
        <v>1</v>
      </c>
      <c r="I37" s="9">
        <v>3.4060000000000001</v>
      </c>
      <c r="J37" s="9">
        <v>71.525999999999996</v>
      </c>
      <c r="K37" s="10">
        <v>43472</v>
      </c>
      <c r="L37" s="11">
        <v>0.51944444444444449</v>
      </c>
      <c r="M37" s="9" t="s">
        <v>21</v>
      </c>
      <c r="N37" s="9">
        <v>68.12</v>
      </c>
      <c r="O37" s="9">
        <v>6.8</v>
      </c>
    </row>
    <row r="38" spans="1:15">
      <c r="A38" s="9" t="s">
        <v>70</v>
      </c>
      <c r="B38" s="9" t="s">
        <v>16</v>
      </c>
      <c r="C38" s="9" t="s">
        <v>17</v>
      </c>
      <c r="D38" s="9" t="s">
        <v>18</v>
      </c>
      <c r="E38" s="9" t="s">
        <v>29</v>
      </c>
      <c r="F38" s="9" t="s">
        <v>34</v>
      </c>
      <c r="G38" s="9">
        <v>62.62</v>
      </c>
      <c r="H38" s="9">
        <v>5</v>
      </c>
      <c r="I38" s="9">
        <v>15.654999999999999</v>
      </c>
      <c r="J38" s="9">
        <v>328.755</v>
      </c>
      <c r="K38" s="10">
        <v>43534</v>
      </c>
      <c r="L38" s="11">
        <v>0.80208333333333337</v>
      </c>
      <c r="M38" s="9" t="s">
        <v>21</v>
      </c>
      <c r="N38" s="9">
        <v>313.10000000000002</v>
      </c>
      <c r="O38" s="9">
        <v>7</v>
      </c>
    </row>
    <row r="39" spans="1:15">
      <c r="A39" s="9" t="s">
        <v>71</v>
      </c>
      <c r="B39" s="9" t="s">
        <v>16</v>
      </c>
      <c r="C39" s="9" t="s">
        <v>17</v>
      </c>
      <c r="D39" s="9" t="s">
        <v>25</v>
      </c>
      <c r="E39" s="9" t="s">
        <v>19</v>
      </c>
      <c r="F39" s="9" t="s">
        <v>26</v>
      </c>
      <c r="G39" s="9">
        <v>60.88</v>
      </c>
      <c r="H39" s="9">
        <v>9</v>
      </c>
      <c r="I39" s="9">
        <v>27.396000000000001</v>
      </c>
      <c r="J39" s="9">
        <v>575.31600000000003</v>
      </c>
      <c r="K39" s="10">
        <v>43480</v>
      </c>
      <c r="L39" s="11">
        <v>0.72013888888888888</v>
      </c>
      <c r="M39" s="9" t="s">
        <v>21</v>
      </c>
      <c r="N39" s="9">
        <v>547.91999999999996</v>
      </c>
      <c r="O39" s="9">
        <v>4.7</v>
      </c>
    </row>
    <row r="40" spans="1:15">
      <c r="A40" s="9" t="s">
        <v>72</v>
      </c>
      <c r="B40" s="9" t="s">
        <v>23</v>
      </c>
      <c r="C40" s="9" t="s">
        <v>24</v>
      </c>
      <c r="D40" s="9" t="s">
        <v>25</v>
      </c>
      <c r="E40" s="9" t="s">
        <v>19</v>
      </c>
      <c r="F40" s="9" t="s">
        <v>20</v>
      </c>
      <c r="G40" s="9">
        <v>54.92</v>
      </c>
      <c r="H40" s="9">
        <v>8</v>
      </c>
      <c r="I40" s="9">
        <v>21.968</v>
      </c>
      <c r="J40" s="9">
        <v>461.32799999999997</v>
      </c>
      <c r="K40" s="10">
        <v>43547</v>
      </c>
      <c r="L40" s="11">
        <v>0.55833333333333335</v>
      </c>
      <c r="M40" s="9" t="s">
        <v>21</v>
      </c>
      <c r="N40" s="9">
        <v>439.36</v>
      </c>
      <c r="O40" s="9">
        <v>7.6</v>
      </c>
    </row>
    <row r="41" spans="1:15">
      <c r="A41" s="9" t="s">
        <v>73</v>
      </c>
      <c r="B41" s="9" t="s">
        <v>40</v>
      </c>
      <c r="C41" s="9" t="s">
        <v>41</v>
      </c>
      <c r="D41" s="9" t="s">
        <v>18</v>
      </c>
      <c r="E41" s="9" t="s">
        <v>29</v>
      </c>
      <c r="F41" s="9" t="s">
        <v>30</v>
      </c>
      <c r="G41" s="9">
        <v>30.12</v>
      </c>
      <c r="H41" s="9">
        <v>8</v>
      </c>
      <c r="I41" s="9">
        <v>12.048</v>
      </c>
      <c r="J41" s="9">
        <v>253.00800000000001</v>
      </c>
      <c r="K41" s="10">
        <v>43527</v>
      </c>
      <c r="L41" s="11">
        <v>0.54236111111111107</v>
      </c>
      <c r="M41" s="9" t="s">
        <v>27</v>
      </c>
      <c r="N41" s="9">
        <v>240.96</v>
      </c>
      <c r="O41" s="9">
        <v>7.7</v>
      </c>
    </row>
    <row r="42" spans="1:15">
      <c r="A42" s="9" t="s">
        <v>74</v>
      </c>
      <c r="B42" s="9" t="s">
        <v>40</v>
      </c>
      <c r="C42" s="9" t="s">
        <v>41</v>
      </c>
      <c r="D42" s="9" t="s">
        <v>18</v>
      </c>
      <c r="E42" s="9" t="s">
        <v>19</v>
      </c>
      <c r="F42" s="9" t="s">
        <v>30</v>
      </c>
      <c r="G42" s="9">
        <v>86.72</v>
      </c>
      <c r="H42" s="9">
        <v>1</v>
      </c>
      <c r="I42" s="9">
        <v>4.3360000000000003</v>
      </c>
      <c r="J42" s="9">
        <v>91.055999999999997</v>
      </c>
      <c r="K42" s="10">
        <v>43482</v>
      </c>
      <c r="L42" s="11">
        <v>0.78125</v>
      </c>
      <c r="M42" s="9" t="s">
        <v>21</v>
      </c>
      <c r="N42" s="9">
        <v>86.72</v>
      </c>
      <c r="O42" s="9">
        <v>7.9</v>
      </c>
    </row>
    <row r="43" spans="1:15">
      <c r="A43" s="9" t="s">
        <v>75</v>
      </c>
      <c r="B43" s="9" t="s">
        <v>23</v>
      </c>
      <c r="C43" s="9" t="s">
        <v>24</v>
      </c>
      <c r="D43" s="9" t="s">
        <v>18</v>
      </c>
      <c r="E43" s="9" t="s">
        <v>29</v>
      </c>
      <c r="F43" s="9" t="s">
        <v>30</v>
      </c>
      <c r="G43" s="9">
        <v>56.11</v>
      </c>
      <c r="H43" s="9">
        <v>2</v>
      </c>
      <c r="I43" s="9">
        <v>5.6109999999999998</v>
      </c>
      <c r="J43" s="9">
        <v>117.831</v>
      </c>
      <c r="K43" s="10">
        <v>43498</v>
      </c>
      <c r="L43" s="11">
        <v>0.42430555555555555</v>
      </c>
      <c r="M43" s="9" t="s">
        <v>27</v>
      </c>
      <c r="N43" s="9">
        <v>112.22</v>
      </c>
      <c r="O43" s="9">
        <v>6.3</v>
      </c>
    </row>
    <row r="44" spans="1:15">
      <c r="A44" s="9" t="s">
        <v>76</v>
      </c>
      <c r="B44" s="9" t="s">
        <v>40</v>
      </c>
      <c r="C44" s="9" t="s">
        <v>41</v>
      </c>
      <c r="D44" s="9" t="s">
        <v>18</v>
      </c>
      <c r="E44" s="9" t="s">
        <v>19</v>
      </c>
      <c r="F44" s="9" t="s">
        <v>34</v>
      </c>
      <c r="G44" s="9">
        <v>69.12</v>
      </c>
      <c r="H44" s="9">
        <v>6</v>
      </c>
      <c r="I44" s="9">
        <v>20.736000000000001</v>
      </c>
      <c r="J44" s="9">
        <v>435.45600000000002</v>
      </c>
      <c r="K44" s="10">
        <v>43504</v>
      </c>
      <c r="L44" s="11">
        <v>0.54374999999999996</v>
      </c>
      <c r="M44" s="9" t="s">
        <v>27</v>
      </c>
      <c r="N44" s="9">
        <v>414.72</v>
      </c>
      <c r="O44" s="9">
        <v>5.6</v>
      </c>
    </row>
    <row r="45" spans="1:15">
      <c r="A45" s="9" t="s">
        <v>77</v>
      </c>
      <c r="B45" s="9" t="s">
        <v>23</v>
      </c>
      <c r="C45" s="9" t="s">
        <v>24</v>
      </c>
      <c r="D45" s="9" t="s">
        <v>18</v>
      </c>
      <c r="E45" s="9" t="s">
        <v>19</v>
      </c>
      <c r="F45" s="9" t="s">
        <v>42</v>
      </c>
      <c r="G45" s="9">
        <v>98.7</v>
      </c>
      <c r="H45" s="9">
        <v>8</v>
      </c>
      <c r="I45" s="9">
        <v>39.479999999999997</v>
      </c>
      <c r="J45" s="9">
        <v>829.08</v>
      </c>
      <c r="K45" s="10">
        <v>43528</v>
      </c>
      <c r="L45" s="11">
        <v>0.86041666666666672</v>
      </c>
      <c r="M45" s="9" t="s">
        <v>27</v>
      </c>
      <c r="N45" s="9">
        <v>789.6</v>
      </c>
      <c r="O45" s="9">
        <v>7.6</v>
      </c>
    </row>
    <row r="46" spans="1:15">
      <c r="A46" s="9" t="s">
        <v>78</v>
      </c>
      <c r="B46" s="9" t="s">
        <v>23</v>
      </c>
      <c r="C46" s="9" t="s">
        <v>24</v>
      </c>
      <c r="D46" s="9" t="s">
        <v>18</v>
      </c>
      <c r="E46" s="9" t="s">
        <v>29</v>
      </c>
      <c r="F46" s="9" t="s">
        <v>20</v>
      </c>
      <c r="G46" s="9">
        <v>15.37</v>
      </c>
      <c r="H46" s="9">
        <v>2</v>
      </c>
      <c r="I46" s="9">
        <v>1.5369999999999999</v>
      </c>
      <c r="J46" s="9">
        <v>32.277000000000001</v>
      </c>
      <c r="K46" s="10">
        <v>43540</v>
      </c>
      <c r="L46" s="11">
        <v>0.82430555555555551</v>
      </c>
      <c r="M46" s="9" t="s">
        <v>27</v>
      </c>
      <c r="N46" s="9">
        <v>30.74</v>
      </c>
      <c r="O46" s="9">
        <v>7.2</v>
      </c>
    </row>
    <row r="47" spans="1:15">
      <c r="A47" s="9" t="s">
        <v>79</v>
      </c>
      <c r="B47" s="9" t="s">
        <v>40</v>
      </c>
      <c r="C47" s="9" t="s">
        <v>41</v>
      </c>
      <c r="D47" s="9" t="s">
        <v>18</v>
      </c>
      <c r="E47" s="9" t="s">
        <v>19</v>
      </c>
      <c r="F47" s="9" t="s">
        <v>26</v>
      </c>
      <c r="G47" s="9">
        <v>93.96</v>
      </c>
      <c r="H47" s="9">
        <v>4</v>
      </c>
      <c r="I47" s="9">
        <v>18.792000000000002</v>
      </c>
      <c r="J47" s="9">
        <v>394.63200000000001</v>
      </c>
      <c r="K47" s="10">
        <v>43533</v>
      </c>
      <c r="L47" s="11">
        <v>0.75</v>
      </c>
      <c r="M47" s="9" t="s">
        <v>27</v>
      </c>
      <c r="N47" s="9">
        <v>375.84</v>
      </c>
      <c r="O47" s="9">
        <v>9.5</v>
      </c>
    </row>
    <row r="48" spans="1:15">
      <c r="A48" s="9" t="s">
        <v>80</v>
      </c>
      <c r="B48" s="9" t="s">
        <v>40</v>
      </c>
      <c r="C48" s="9" t="s">
        <v>41</v>
      </c>
      <c r="D48" s="9" t="s">
        <v>18</v>
      </c>
      <c r="E48" s="9" t="s">
        <v>29</v>
      </c>
      <c r="F48" s="9" t="s">
        <v>20</v>
      </c>
      <c r="G48" s="9">
        <v>56.69</v>
      </c>
      <c r="H48" s="9">
        <v>9</v>
      </c>
      <c r="I48" s="9">
        <v>25.5105</v>
      </c>
      <c r="J48" s="9">
        <v>535.72050000000002</v>
      </c>
      <c r="K48" s="10">
        <v>43523</v>
      </c>
      <c r="L48" s="11">
        <v>0.72499999999999998</v>
      </c>
      <c r="M48" s="9" t="s">
        <v>31</v>
      </c>
      <c r="N48" s="9">
        <v>510.21</v>
      </c>
      <c r="O48" s="9">
        <v>8.4</v>
      </c>
    </row>
    <row r="49" spans="1:15">
      <c r="A49" s="9" t="s">
        <v>81</v>
      </c>
      <c r="B49" s="9" t="s">
        <v>40</v>
      </c>
      <c r="C49" s="9" t="s">
        <v>41</v>
      </c>
      <c r="D49" s="9" t="s">
        <v>18</v>
      </c>
      <c r="E49" s="9" t="s">
        <v>19</v>
      </c>
      <c r="F49" s="9" t="s">
        <v>42</v>
      </c>
      <c r="G49" s="9">
        <v>20.010000000000002</v>
      </c>
      <c r="H49" s="9">
        <v>9</v>
      </c>
      <c r="I49" s="9">
        <v>9.0045000000000002</v>
      </c>
      <c r="J49" s="9">
        <v>189.09450000000001</v>
      </c>
      <c r="K49" s="10">
        <v>43502</v>
      </c>
      <c r="L49" s="11">
        <v>0.65763888888888888</v>
      </c>
      <c r="M49" s="9" t="s">
        <v>21</v>
      </c>
      <c r="N49" s="9">
        <v>180.09</v>
      </c>
      <c r="O49" s="9">
        <v>4.0999999999999996</v>
      </c>
    </row>
    <row r="50" spans="1:15">
      <c r="A50" s="9" t="s">
        <v>82</v>
      </c>
      <c r="B50" s="9" t="s">
        <v>40</v>
      </c>
      <c r="C50" s="9" t="s">
        <v>41</v>
      </c>
      <c r="D50" s="9" t="s">
        <v>18</v>
      </c>
      <c r="E50" s="9" t="s">
        <v>29</v>
      </c>
      <c r="F50" s="9" t="s">
        <v>26</v>
      </c>
      <c r="G50" s="9">
        <v>18.93</v>
      </c>
      <c r="H50" s="9">
        <v>6</v>
      </c>
      <c r="I50" s="9">
        <v>5.6790000000000003</v>
      </c>
      <c r="J50" s="9">
        <v>119.259</v>
      </c>
      <c r="K50" s="10">
        <v>43506</v>
      </c>
      <c r="L50" s="11">
        <v>0.53125</v>
      </c>
      <c r="M50" s="9" t="s">
        <v>31</v>
      </c>
      <c r="N50" s="9">
        <v>113.58</v>
      </c>
      <c r="O50" s="9">
        <v>8.1</v>
      </c>
    </row>
    <row r="51" spans="1:15">
      <c r="A51" s="9" t="s">
        <v>83</v>
      </c>
      <c r="B51" s="9" t="s">
        <v>23</v>
      </c>
      <c r="C51" s="9" t="s">
        <v>24</v>
      </c>
      <c r="D51" s="9" t="s">
        <v>18</v>
      </c>
      <c r="E51" s="9" t="s">
        <v>19</v>
      </c>
      <c r="F51" s="9" t="s">
        <v>44</v>
      </c>
      <c r="G51" s="9">
        <v>82.63</v>
      </c>
      <c r="H51" s="9">
        <v>10</v>
      </c>
      <c r="I51" s="9">
        <v>41.314999999999998</v>
      </c>
      <c r="J51" s="9">
        <v>867.61500000000001</v>
      </c>
      <c r="K51" s="10">
        <v>43543</v>
      </c>
      <c r="L51" s="11">
        <v>0.71388888888888891</v>
      </c>
      <c r="M51" s="9" t="s">
        <v>21</v>
      </c>
      <c r="N51" s="9">
        <v>826.3</v>
      </c>
      <c r="O51" s="9">
        <v>7.9</v>
      </c>
    </row>
    <row r="52" spans="1:15">
      <c r="A52" s="9" t="s">
        <v>84</v>
      </c>
      <c r="B52" s="9" t="s">
        <v>23</v>
      </c>
      <c r="C52" s="9" t="s">
        <v>24</v>
      </c>
      <c r="D52" s="9" t="s">
        <v>18</v>
      </c>
      <c r="E52" s="9" t="s">
        <v>29</v>
      </c>
      <c r="F52" s="9" t="s">
        <v>42</v>
      </c>
      <c r="G52" s="9">
        <v>91.4</v>
      </c>
      <c r="H52" s="9">
        <v>7</v>
      </c>
      <c r="I52" s="9">
        <v>31.99</v>
      </c>
      <c r="J52" s="9">
        <v>671.79</v>
      </c>
      <c r="K52" s="10">
        <v>43499</v>
      </c>
      <c r="L52" s="11">
        <v>0.42986111111111114</v>
      </c>
      <c r="M52" s="9" t="s">
        <v>27</v>
      </c>
      <c r="N52" s="9">
        <v>639.79999999999995</v>
      </c>
      <c r="O52" s="9">
        <v>9.5</v>
      </c>
    </row>
    <row r="53" spans="1:15">
      <c r="A53" s="9" t="s">
        <v>85</v>
      </c>
      <c r="B53" s="9" t="s">
        <v>16</v>
      </c>
      <c r="C53" s="9" t="s">
        <v>17</v>
      </c>
      <c r="D53" s="9" t="s">
        <v>18</v>
      </c>
      <c r="E53" s="9" t="s">
        <v>19</v>
      </c>
      <c r="F53" s="9" t="s">
        <v>42</v>
      </c>
      <c r="G53" s="9">
        <v>44.59</v>
      </c>
      <c r="H53" s="9">
        <v>5</v>
      </c>
      <c r="I53" s="9">
        <v>11.147500000000001</v>
      </c>
      <c r="J53" s="9">
        <v>234.0975</v>
      </c>
      <c r="K53" s="10">
        <v>43506</v>
      </c>
      <c r="L53" s="11">
        <v>0.63194444444444442</v>
      </c>
      <c r="M53" s="9" t="s">
        <v>27</v>
      </c>
      <c r="N53" s="9">
        <v>222.95</v>
      </c>
      <c r="O53" s="9">
        <v>8.5</v>
      </c>
    </row>
    <row r="54" spans="1:15">
      <c r="A54" s="9" t="s">
        <v>86</v>
      </c>
      <c r="B54" s="9" t="s">
        <v>40</v>
      </c>
      <c r="C54" s="9" t="s">
        <v>41</v>
      </c>
      <c r="D54" s="9" t="s">
        <v>18</v>
      </c>
      <c r="E54" s="9" t="s">
        <v>19</v>
      </c>
      <c r="F54" s="9" t="s">
        <v>44</v>
      </c>
      <c r="G54" s="9">
        <v>17.87</v>
      </c>
      <c r="H54" s="9">
        <v>4</v>
      </c>
      <c r="I54" s="9">
        <v>3.5739999999999998</v>
      </c>
      <c r="J54" s="9">
        <v>75.054000000000002</v>
      </c>
      <c r="K54" s="10">
        <v>43546</v>
      </c>
      <c r="L54" s="11">
        <v>0.61250000000000004</v>
      </c>
      <c r="M54" s="9" t="s">
        <v>21</v>
      </c>
      <c r="N54" s="9">
        <v>71.48</v>
      </c>
      <c r="O54" s="9">
        <v>6.5</v>
      </c>
    </row>
    <row r="55" spans="1:15">
      <c r="A55" s="9" t="s">
        <v>87</v>
      </c>
      <c r="B55" s="9" t="s">
        <v>23</v>
      </c>
      <c r="C55" s="9" t="s">
        <v>24</v>
      </c>
      <c r="D55" s="9" t="s">
        <v>18</v>
      </c>
      <c r="E55" s="9" t="s">
        <v>29</v>
      </c>
      <c r="F55" s="9" t="s">
        <v>44</v>
      </c>
      <c r="G55" s="9">
        <v>15.43</v>
      </c>
      <c r="H55" s="9">
        <v>1</v>
      </c>
      <c r="I55" s="9">
        <v>0.77149999999999996</v>
      </c>
      <c r="J55" s="9">
        <v>16.201499999999999</v>
      </c>
      <c r="K55" s="10">
        <v>43490</v>
      </c>
      <c r="L55" s="11">
        <v>0.65694444444444444</v>
      </c>
      <c r="M55" s="9" t="s">
        <v>31</v>
      </c>
      <c r="N55" s="9">
        <v>15.43</v>
      </c>
      <c r="O55" s="9">
        <v>6.1</v>
      </c>
    </row>
    <row r="56" spans="1:15">
      <c r="A56" s="9" t="s">
        <v>88</v>
      </c>
      <c r="B56" s="9" t="s">
        <v>40</v>
      </c>
      <c r="C56" s="9" t="s">
        <v>41</v>
      </c>
      <c r="D56" s="9" t="s">
        <v>25</v>
      </c>
      <c r="E56" s="9" t="s">
        <v>29</v>
      </c>
      <c r="F56" s="9" t="s">
        <v>30</v>
      </c>
      <c r="G56" s="9">
        <v>16.16</v>
      </c>
      <c r="H56" s="9">
        <v>2</v>
      </c>
      <c r="I56" s="9">
        <v>1.6160000000000001</v>
      </c>
      <c r="J56" s="9">
        <v>33.936</v>
      </c>
      <c r="K56" s="10">
        <v>43531</v>
      </c>
      <c r="L56" s="11">
        <v>0.49236111111111114</v>
      </c>
      <c r="M56" s="9" t="s">
        <v>21</v>
      </c>
      <c r="N56" s="9">
        <v>32.32</v>
      </c>
      <c r="O56" s="9">
        <v>6.5</v>
      </c>
    </row>
    <row r="57" spans="1:15">
      <c r="A57" s="9" t="s">
        <v>89</v>
      </c>
      <c r="B57" s="9" t="s">
        <v>23</v>
      </c>
      <c r="C57" s="9" t="s">
        <v>24</v>
      </c>
      <c r="D57" s="9" t="s">
        <v>25</v>
      </c>
      <c r="E57" s="9" t="s">
        <v>19</v>
      </c>
      <c r="F57" s="9" t="s">
        <v>26</v>
      </c>
      <c r="G57" s="9">
        <v>85.98</v>
      </c>
      <c r="H57" s="9">
        <v>8</v>
      </c>
      <c r="I57" s="9">
        <v>34.392000000000003</v>
      </c>
      <c r="J57" s="9">
        <v>722.23199999999997</v>
      </c>
      <c r="K57" s="10">
        <v>43524</v>
      </c>
      <c r="L57" s="11">
        <v>0.79236111111111107</v>
      </c>
      <c r="M57" s="9" t="s">
        <v>27</v>
      </c>
      <c r="N57" s="9">
        <v>687.84</v>
      </c>
      <c r="O57" s="9">
        <v>8.1999999999999993</v>
      </c>
    </row>
    <row r="58" spans="1:15">
      <c r="A58" s="9" t="s">
        <v>90</v>
      </c>
      <c r="B58" s="9" t="s">
        <v>16</v>
      </c>
      <c r="C58" s="9" t="s">
        <v>17</v>
      </c>
      <c r="D58" s="9" t="s">
        <v>18</v>
      </c>
      <c r="E58" s="9" t="s">
        <v>29</v>
      </c>
      <c r="F58" s="9" t="s">
        <v>30</v>
      </c>
      <c r="G58" s="9">
        <v>44.34</v>
      </c>
      <c r="H58" s="9">
        <v>2</v>
      </c>
      <c r="I58" s="9">
        <v>4.4340000000000002</v>
      </c>
      <c r="J58" s="9">
        <v>93.114000000000004</v>
      </c>
      <c r="K58" s="10">
        <v>43551</v>
      </c>
      <c r="L58" s="11">
        <v>0.47638888888888886</v>
      </c>
      <c r="M58" s="9" t="s">
        <v>27</v>
      </c>
      <c r="N58" s="9">
        <v>88.68</v>
      </c>
      <c r="O58" s="9">
        <v>5.8</v>
      </c>
    </row>
    <row r="59" spans="1:15">
      <c r="A59" s="9" t="s">
        <v>91</v>
      </c>
      <c r="B59" s="9" t="s">
        <v>16</v>
      </c>
      <c r="C59" s="9" t="s">
        <v>17</v>
      </c>
      <c r="D59" s="9" t="s">
        <v>25</v>
      </c>
      <c r="E59" s="9" t="s">
        <v>29</v>
      </c>
      <c r="F59" s="9" t="s">
        <v>20</v>
      </c>
      <c r="G59" s="9">
        <v>89.6</v>
      </c>
      <c r="H59" s="9">
        <v>8</v>
      </c>
      <c r="I59" s="9">
        <v>35.840000000000003</v>
      </c>
      <c r="J59" s="9">
        <v>752.64</v>
      </c>
      <c r="K59" s="10">
        <v>43503</v>
      </c>
      <c r="L59" s="11">
        <v>0.4777777777777778</v>
      </c>
      <c r="M59" s="9" t="s">
        <v>21</v>
      </c>
      <c r="N59" s="9">
        <v>716.8</v>
      </c>
      <c r="O59" s="9">
        <v>6.6</v>
      </c>
    </row>
    <row r="60" spans="1:15">
      <c r="A60" s="9" t="s">
        <v>92</v>
      </c>
      <c r="B60" s="9" t="s">
        <v>16</v>
      </c>
      <c r="C60" s="9" t="s">
        <v>17</v>
      </c>
      <c r="D60" s="9" t="s">
        <v>18</v>
      </c>
      <c r="E60" s="9" t="s">
        <v>19</v>
      </c>
      <c r="F60" s="9" t="s">
        <v>30</v>
      </c>
      <c r="G60" s="9">
        <v>72.349999999999994</v>
      </c>
      <c r="H60" s="9">
        <v>10</v>
      </c>
      <c r="I60" s="9">
        <v>36.174999999999997</v>
      </c>
      <c r="J60" s="9">
        <v>759.67499999999995</v>
      </c>
      <c r="K60" s="10">
        <v>43485</v>
      </c>
      <c r="L60" s="11">
        <v>0.66319444444444442</v>
      </c>
      <c r="M60" s="9" t="s">
        <v>27</v>
      </c>
      <c r="N60" s="9">
        <v>723.5</v>
      </c>
      <c r="O60" s="9">
        <v>5.4</v>
      </c>
    </row>
    <row r="61" spans="1:15">
      <c r="A61" s="9" t="s">
        <v>93</v>
      </c>
      <c r="B61" s="9" t="s">
        <v>23</v>
      </c>
      <c r="C61" s="9" t="s">
        <v>24</v>
      </c>
      <c r="D61" s="9" t="s">
        <v>25</v>
      </c>
      <c r="E61" s="9" t="s">
        <v>29</v>
      </c>
      <c r="F61" s="9" t="s">
        <v>26</v>
      </c>
      <c r="G61" s="9">
        <v>30.61</v>
      </c>
      <c r="H61" s="9">
        <v>6</v>
      </c>
      <c r="I61" s="9">
        <v>9.1829999999999998</v>
      </c>
      <c r="J61" s="9">
        <v>192.84299999999999</v>
      </c>
      <c r="K61" s="10">
        <v>43536</v>
      </c>
      <c r="L61" s="11">
        <v>0.85833333333333328</v>
      </c>
      <c r="M61" s="9" t="s">
        <v>27</v>
      </c>
      <c r="N61" s="9">
        <v>183.66</v>
      </c>
      <c r="O61" s="9">
        <v>9.3000000000000007</v>
      </c>
    </row>
    <row r="62" spans="1:15">
      <c r="A62" s="9" t="s">
        <v>94</v>
      </c>
      <c r="B62" s="9" t="s">
        <v>23</v>
      </c>
      <c r="C62" s="9" t="s">
        <v>24</v>
      </c>
      <c r="D62" s="9" t="s">
        <v>18</v>
      </c>
      <c r="E62" s="9" t="s">
        <v>19</v>
      </c>
      <c r="F62" s="9" t="s">
        <v>34</v>
      </c>
      <c r="G62" s="9">
        <v>24.74</v>
      </c>
      <c r="H62" s="9">
        <v>3</v>
      </c>
      <c r="I62" s="9">
        <v>3.7109999999999999</v>
      </c>
      <c r="J62" s="9">
        <v>77.930999999999997</v>
      </c>
      <c r="K62" s="10">
        <v>43511</v>
      </c>
      <c r="L62" s="11">
        <v>0.74097222222222225</v>
      </c>
      <c r="M62" s="9" t="s">
        <v>31</v>
      </c>
      <c r="N62" s="9">
        <v>74.22</v>
      </c>
      <c r="O62" s="9">
        <v>10</v>
      </c>
    </row>
    <row r="63" spans="1:15">
      <c r="A63" s="9" t="s">
        <v>95</v>
      </c>
      <c r="B63" s="9" t="s">
        <v>23</v>
      </c>
      <c r="C63" s="9" t="s">
        <v>24</v>
      </c>
      <c r="D63" s="9" t="s">
        <v>25</v>
      </c>
      <c r="E63" s="9" t="s">
        <v>29</v>
      </c>
      <c r="F63" s="9" t="s">
        <v>30</v>
      </c>
      <c r="G63" s="9">
        <v>55.73</v>
      </c>
      <c r="H63" s="9">
        <v>6</v>
      </c>
      <c r="I63" s="9">
        <v>16.719000000000001</v>
      </c>
      <c r="J63" s="9">
        <v>351.09899999999999</v>
      </c>
      <c r="K63" s="10">
        <v>43520</v>
      </c>
      <c r="L63" s="11">
        <v>0.4548611111111111</v>
      </c>
      <c r="M63" s="9" t="s">
        <v>21</v>
      </c>
      <c r="N63" s="9">
        <v>334.38</v>
      </c>
      <c r="O63" s="9">
        <v>7</v>
      </c>
    </row>
    <row r="64" spans="1:15">
      <c r="A64" s="9" t="s">
        <v>96</v>
      </c>
      <c r="B64" s="9" t="s">
        <v>40</v>
      </c>
      <c r="C64" s="9" t="s">
        <v>41</v>
      </c>
      <c r="D64" s="9" t="s">
        <v>18</v>
      </c>
      <c r="E64" s="9" t="s">
        <v>19</v>
      </c>
      <c r="F64" s="9" t="s">
        <v>34</v>
      </c>
      <c r="G64" s="9">
        <v>55.07</v>
      </c>
      <c r="H64" s="9">
        <v>9</v>
      </c>
      <c r="I64" s="9">
        <v>24.781500000000001</v>
      </c>
      <c r="J64" s="9">
        <v>520.41150000000005</v>
      </c>
      <c r="K64" s="10">
        <v>43499</v>
      </c>
      <c r="L64" s="11">
        <v>0.56944444444444442</v>
      </c>
      <c r="M64" s="9" t="s">
        <v>21</v>
      </c>
      <c r="N64" s="9">
        <v>495.63</v>
      </c>
      <c r="O64" s="9">
        <v>10</v>
      </c>
    </row>
    <row r="65" spans="1:15">
      <c r="A65" s="9" t="s">
        <v>97</v>
      </c>
      <c r="B65" s="9" t="s">
        <v>16</v>
      </c>
      <c r="C65" s="9" t="s">
        <v>17</v>
      </c>
      <c r="D65" s="9" t="s">
        <v>18</v>
      </c>
      <c r="E65" s="9" t="s">
        <v>29</v>
      </c>
      <c r="F65" s="9" t="s">
        <v>34</v>
      </c>
      <c r="G65" s="9">
        <v>15.81</v>
      </c>
      <c r="H65" s="9">
        <v>10</v>
      </c>
      <c r="I65" s="9">
        <v>7.9050000000000002</v>
      </c>
      <c r="J65" s="9">
        <v>166.005</v>
      </c>
      <c r="K65" s="10">
        <v>43530</v>
      </c>
      <c r="L65" s="11">
        <v>0.51875000000000004</v>
      </c>
      <c r="M65" s="9" t="s">
        <v>31</v>
      </c>
      <c r="N65" s="9">
        <v>158.1</v>
      </c>
      <c r="O65" s="9">
        <v>8.6</v>
      </c>
    </row>
    <row r="66" spans="1:15">
      <c r="A66" s="9" t="s">
        <v>98</v>
      </c>
      <c r="B66" s="9" t="s">
        <v>40</v>
      </c>
      <c r="C66" s="9" t="s">
        <v>41</v>
      </c>
      <c r="D66" s="9" t="s">
        <v>18</v>
      </c>
      <c r="E66" s="9" t="s">
        <v>29</v>
      </c>
      <c r="F66" s="9" t="s">
        <v>20</v>
      </c>
      <c r="G66" s="9">
        <v>75.739999999999995</v>
      </c>
      <c r="H66" s="9">
        <v>4</v>
      </c>
      <c r="I66" s="9">
        <v>15.148</v>
      </c>
      <c r="J66" s="9">
        <v>318.108</v>
      </c>
      <c r="K66" s="10">
        <v>43510</v>
      </c>
      <c r="L66" s="11">
        <v>0.60763888888888884</v>
      </c>
      <c r="M66" s="9" t="s">
        <v>27</v>
      </c>
      <c r="N66" s="9">
        <v>302.95999999999998</v>
      </c>
      <c r="O66" s="9">
        <v>7.6</v>
      </c>
    </row>
    <row r="67" spans="1:15">
      <c r="A67" s="9" t="s">
        <v>99</v>
      </c>
      <c r="B67" s="9" t="s">
        <v>16</v>
      </c>
      <c r="C67" s="9" t="s">
        <v>17</v>
      </c>
      <c r="D67" s="9" t="s">
        <v>18</v>
      </c>
      <c r="E67" s="9" t="s">
        <v>29</v>
      </c>
      <c r="F67" s="9" t="s">
        <v>20</v>
      </c>
      <c r="G67" s="9">
        <v>15.87</v>
      </c>
      <c r="H67" s="9">
        <v>10</v>
      </c>
      <c r="I67" s="9">
        <v>7.9349999999999996</v>
      </c>
      <c r="J67" s="9">
        <v>166.63499999999999</v>
      </c>
      <c r="K67" s="10">
        <v>43537</v>
      </c>
      <c r="L67" s="11">
        <v>0.69444444444444442</v>
      </c>
      <c r="M67" s="9" t="s">
        <v>27</v>
      </c>
      <c r="N67" s="9">
        <v>158.69999999999999</v>
      </c>
      <c r="O67" s="9">
        <v>5.8</v>
      </c>
    </row>
    <row r="68" spans="1:15">
      <c r="A68" s="9" t="s">
        <v>100</v>
      </c>
      <c r="B68" s="9" t="s">
        <v>23</v>
      </c>
      <c r="C68" s="9" t="s">
        <v>24</v>
      </c>
      <c r="D68" s="9" t="s">
        <v>25</v>
      </c>
      <c r="E68" s="9" t="s">
        <v>19</v>
      </c>
      <c r="F68" s="9" t="s">
        <v>20</v>
      </c>
      <c r="G68" s="9">
        <v>33.47</v>
      </c>
      <c r="H68" s="9">
        <v>2</v>
      </c>
      <c r="I68" s="9">
        <v>3.347</v>
      </c>
      <c r="J68" s="9">
        <v>70.287000000000006</v>
      </c>
      <c r="K68" s="10">
        <v>43506</v>
      </c>
      <c r="L68" s="11">
        <v>0.65486111111111112</v>
      </c>
      <c r="M68" s="9" t="s">
        <v>21</v>
      </c>
      <c r="N68" s="9">
        <v>66.94</v>
      </c>
      <c r="O68" s="9">
        <v>6.7</v>
      </c>
    </row>
    <row r="69" spans="1:15">
      <c r="A69" s="9" t="s">
        <v>101</v>
      </c>
      <c r="B69" s="9" t="s">
        <v>40</v>
      </c>
      <c r="C69" s="9" t="s">
        <v>41</v>
      </c>
      <c r="D69" s="9" t="s">
        <v>18</v>
      </c>
      <c r="E69" s="9" t="s">
        <v>19</v>
      </c>
      <c r="F69" s="9" t="s">
        <v>44</v>
      </c>
      <c r="G69" s="9">
        <v>97.61</v>
      </c>
      <c r="H69" s="9">
        <v>6</v>
      </c>
      <c r="I69" s="9">
        <v>29.283000000000001</v>
      </c>
      <c r="J69" s="9">
        <v>614.94299999999998</v>
      </c>
      <c r="K69" s="10">
        <v>43472</v>
      </c>
      <c r="L69" s="11">
        <v>0.62569444444444444</v>
      </c>
      <c r="M69" s="9" t="s">
        <v>21</v>
      </c>
      <c r="N69" s="9">
        <v>585.66</v>
      </c>
      <c r="O69" s="9">
        <v>9.9</v>
      </c>
    </row>
    <row r="70" spans="1:15">
      <c r="A70" s="9" t="s">
        <v>102</v>
      </c>
      <c r="B70" s="9" t="s">
        <v>16</v>
      </c>
      <c r="C70" s="9" t="s">
        <v>17</v>
      </c>
      <c r="D70" s="9" t="s">
        <v>25</v>
      </c>
      <c r="E70" s="9" t="s">
        <v>29</v>
      </c>
      <c r="F70" s="9" t="s">
        <v>34</v>
      </c>
      <c r="G70" s="9">
        <v>78.77</v>
      </c>
      <c r="H70" s="9">
        <v>10</v>
      </c>
      <c r="I70" s="9">
        <v>39.384999999999998</v>
      </c>
      <c r="J70" s="9">
        <v>827.08500000000004</v>
      </c>
      <c r="K70" s="10">
        <v>43489</v>
      </c>
      <c r="L70" s="11">
        <v>0.41944444444444445</v>
      </c>
      <c r="M70" s="9" t="s">
        <v>27</v>
      </c>
      <c r="N70" s="9">
        <v>787.7</v>
      </c>
      <c r="O70" s="9">
        <v>6.4</v>
      </c>
    </row>
    <row r="71" spans="1:15">
      <c r="A71" s="9" t="s">
        <v>103</v>
      </c>
      <c r="B71" s="9" t="s">
        <v>16</v>
      </c>
      <c r="C71" s="9" t="s">
        <v>17</v>
      </c>
      <c r="D71" s="9" t="s">
        <v>18</v>
      </c>
      <c r="E71" s="9" t="s">
        <v>19</v>
      </c>
      <c r="F71" s="9" t="s">
        <v>20</v>
      </c>
      <c r="G71" s="9">
        <v>18.329999999999998</v>
      </c>
      <c r="H71" s="9">
        <v>1</v>
      </c>
      <c r="I71" s="9">
        <v>0.91649999999999998</v>
      </c>
      <c r="J71" s="9">
        <v>19.246500000000001</v>
      </c>
      <c r="K71" s="10">
        <v>43498</v>
      </c>
      <c r="L71" s="11">
        <v>0.78472222222222221</v>
      </c>
      <c r="M71" s="9" t="s">
        <v>27</v>
      </c>
      <c r="N71" s="9">
        <v>18.329999999999998</v>
      </c>
      <c r="O71" s="9">
        <v>4.3</v>
      </c>
    </row>
    <row r="72" spans="1:15">
      <c r="A72" s="9" t="s">
        <v>104</v>
      </c>
      <c r="B72" s="9" t="s">
        <v>23</v>
      </c>
      <c r="C72" s="9" t="s">
        <v>24</v>
      </c>
      <c r="D72" s="9" t="s">
        <v>25</v>
      </c>
      <c r="E72" s="9" t="s">
        <v>29</v>
      </c>
      <c r="F72" s="9" t="s">
        <v>42</v>
      </c>
      <c r="G72" s="9">
        <v>89.48</v>
      </c>
      <c r="H72" s="9">
        <v>10</v>
      </c>
      <c r="I72" s="9">
        <v>44.74</v>
      </c>
      <c r="J72" s="9">
        <v>939.54</v>
      </c>
      <c r="K72" s="10">
        <v>43471</v>
      </c>
      <c r="L72" s="11">
        <v>0.53194444444444444</v>
      </c>
      <c r="M72" s="9" t="s">
        <v>31</v>
      </c>
      <c r="N72" s="9">
        <v>894.8</v>
      </c>
      <c r="O72" s="9">
        <v>9.6</v>
      </c>
    </row>
    <row r="73" spans="1:15">
      <c r="A73" s="9" t="s">
        <v>105</v>
      </c>
      <c r="B73" s="9" t="s">
        <v>23</v>
      </c>
      <c r="C73" s="9" t="s">
        <v>24</v>
      </c>
      <c r="D73" s="9" t="s">
        <v>25</v>
      </c>
      <c r="E73" s="9" t="s">
        <v>29</v>
      </c>
      <c r="F73" s="9" t="s">
        <v>44</v>
      </c>
      <c r="G73" s="9">
        <v>62.12</v>
      </c>
      <c r="H73" s="9">
        <v>10</v>
      </c>
      <c r="I73" s="9">
        <v>31.06</v>
      </c>
      <c r="J73" s="9">
        <v>652.26</v>
      </c>
      <c r="K73" s="10">
        <v>43507</v>
      </c>
      <c r="L73" s="11">
        <v>0.67986111111111114</v>
      </c>
      <c r="M73" s="9" t="s">
        <v>27</v>
      </c>
      <c r="N73" s="9">
        <v>621.20000000000005</v>
      </c>
      <c r="O73" s="9">
        <v>5.9</v>
      </c>
    </row>
    <row r="74" spans="1:15">
      <c r="A74" s="9" t="s">
        <v>106</v>
      </c>
      <c r="B74" s="9" t="s">
        <v>40</v>
      </c>
      <c r="C74" s="9" t="s">
        <v>41</v>
      </c>
      <c r="D74" s="9" t="s">
        <v>18</v>
      </c>
      <c r="E74" s="9" t="s">
        <v>19</v>
      </c>
      <c r="F74" s="9" t="s">
        <v>42</v>
      </c>
      <c r="G74" s="9">
        <v>48.52</v>
      </c>
      <c r="H74" s="9">
        <v>3</v>
      </c>
      <c r="I74" s="9">
        <v>7.2779999999999996</v>
      </c>
      <c r="J74" s="9">
        <v>152.83799999999999</v>
      </c>
      <c r="K74" s="10">
        <v>43529</v>
      </c>
      <c r="L74" s="11">
        <v>0.76180555555555551</v>
      </c>
      <c r="M74" s="9" t="s">
        <v>21</v>
      </c>
      <c r="N74" s="9">
        <v>145.56</v>
      </c>
      <c r="O74" s="9">
        <v>4</v>
      </c>
    </row>
    <row r="75" spans="1:15">
      <c r="A75" s="9" t="s">
        <v>107</v>
      </c>
      <c r="B75" s="9" t="s">
        <v>23</v>
      </c>
      <c r="C75" s="9" t="s">
        <v>24</v>
      </c>
      <c r="D75" s="9" t="s">
        <v>25</v>
      </c>
      <c r="E75" s="9" t="s">
        <v>19</v>
      </c>
      <c r="F75" s="9" t="s">
        <v>26</v>
      </c>
      <c r="G75" s="9">
        <v>75.91</v>
      </c>
      <c r="H75" s="9">
        <v>6</v>
      </c>
      <c r="I75" s="9">
        <v>22.773</v>
      </c>
      <c r="J75" s="9">
        <v>478.233</v>
      </c>
      <c r="K75" s="10">
        <v>43533</v>
      </c>
      <c r="L75" s="11">
        <v>0.76458333333333328</v>
      </c>
      <c r="M75" s="9" t="s">
        <v>27</v>
      </c>
      <c r="N75" s="9">
        <v>455.46</v>
      </c>
      <c r="O75" s="9">
        <v>8.6999999999999993</v>
      </c>
    </row>
    <row r="76" spans="1:15">
      <c r="A76" s="9" t="s">
        <v>108</v>
      </c>
      <c r="B76" s="9" t="s">
        <v>16</v>
      </c>
      <c r="C76" s="9" t="s">
        <v>17</v>
      </c>
      <c r="D76" s="9" t="s">
        <v>25</v>
      </c>
      <c r="E76" s="9" t="s">
        <v>29</v>
      </c>
      <c r="F76" s="9" t="s">
        <v>30</v>
      </c>
      <c r="G76" s="9">
        <v>74.67</v>
      </c>
      <c r="H76" s="9">
        <v>9</v>
      </c>
      <c r="I76" s="9">
        <v>33.601500000000001</v>
      </c>
      <c r="J76" s="9">
        <v>705.63149999999996</v>
      </c>
      <c r="K76" s="10">
        <v>43487</v>
      </c>
      <c r="L76" s="11">
        <v>0.4548611111111111</v>
      </c>
      <c r="M76" s="9" t="s">
        <v>21</v>
      </c>
      <c r="N76" s="9">
        <v>672.03</v>
      </c>
      <c r="O76" s="9">
        <v>9.4</v>
      </c>
    </row>
    <row r="77" spans="1:15">
      <c r="A77" s="9" t="s">
        <v>109</v>
      </c>
      <c r="B77" s="9" t="s">
        <v>23</v>
      </c>
      <c r="C77" s="9" t="s">
        <v>24</v>
      </c>
      <c r="D77" s="9" t="s">
        <v>25</v>
      </c>
      <c r="E77" s="9" t="s">
        <v>19</v>
      </c>
      <c r="F77" s="9" t="s">
        <v>26</v>
      </c>
      <c r="G77" s="9">
        <v>41.65</v>
      </c>
      <c r="H77" s="9">
        <v>10</v>
      </c>
      <c r="I77" s="9">
        <v>20.824999999999999</v>
      </c>
      <c r="J77" s="9">
        <v>437.32499999999999</v>
      </c>
      <c r="K77" s="10">
        <v>43478</v>
      </c>
      <c r="L77" s="11">
        <v>0.71111111111111114</v>
      </c>
      <c r="M77" s="9" t="s">
        <v>31</v>
      </c>
      <c r="N77" s="9">
        <v>416.5</v>
      </c>
      <c r="O77" s="9">
        <v>5.4</v>
      </c>
    </row>
    <row r="78" spans="1:15">
      <c r="A78" s="9" t="s">
        <v>110</v>
      </c>
      <c r="B78" s="9" t="s">
        <v>23</v>
      </c>
      <c r="C78" s="9" t="s">
        <v>24</v>
      </c>
      <c r="D78" s="9" t="s">
        <v>18</v>
      </c>
      <c r="E78" s="9" t="s">
        <v>29</v>
      </c>
      <c r="F78" s="9" t="s">
        <v>44</v>
      </c>
      <c r="G78" s="9">
        <v>49.04</v>
      </c>
      <c r="H78" s="9">
        <v>9</v>
      </c>
      <c r="I78" s="9">
        <v>22.068000000000001</v>
      </c>
      <c r="J78" s="9">
        <v>463.428</v>
      </c>
      <c r="K78" s="10">
        <v>43474</v>
      </c>
      <c r="L78" s="11">
        <v>0.59722222222222221</v>
      </c>
      <c r="M78" s="9" t="s">
        <v>31</v>
      </c>
      <c r="N78" s="9">
        <v>441.36</v>
      </c>
      <c r="O78" s="9">
        <v>8.6</v>
      </c>
    </row>
    <row r="79" spans="1:15">
      <c r="A79" s="9" t="s">
        <v>111</v>
      </c>
      <c r="B79" s="9" t="s">
        <v>16</v>
      </c>
      <c r="C79" s="9" t="s">
        <v>17</v>
      </c>
      <c r="D79" s="9" t="s">
        <v>18</v>
      </c>
      <c r="E79" s="9" t="s">
        <v>19</v>
      </c>
      <c r="F79" s="9" t="s">
        <v>44</v>
      </c>
      <c r="G79" s="9">
        <v>20.010000000000002</v>
      </c>
      <c r="H79" s="9">
        <v>9</v>
      </c>
      <c r="I79" s="9">
        <v>9.0045000000000002</v>
      </c>
      <c r="J79" s="9">
        <v>189.09450000000001</v>
      </c>
      <c r="K79" s="10">
        <v>43477</v>
      </c>
      <c r="L79" s="11">
        <v>0.65833333333333333</v>
      </c>
      <c r="M79" s="9" t="s">
        <v>31</v>
      </c>
      <c r="N79" s="9">
        <v>180.09</v>
      </c>
      <c r="O79" s="9">
        <v>5.7</v>
      </c>
    </row>
    <row r="80" spans="1:15">
      <c r="A80" s="9" t="s">
        <v>112</v>
      </c>
      <c r="B80" s="9" t="s">
        <v>23</v>
      </c>
      <c r="C80" s="9" t="s">
        <v>24</v>
      </c>
      <c r="D80" s="9" t="s">
        <v>18</v>
      </c>
      <c r="E80" s="9" t="s">
        <v>19</v>
      </c>
      <c r="F80" s="9" t="s">
        <v>42</v>
      </c>
      <c r="G80" s="9">
        <v>78.31</v>
      </c>
      <c r="H80" s="9">
        <v>10</v>
      </c>
      <c r="I80" s="9">
        <v>39.155000000000001</v>
      </c>
      <c r="J80" s="9">
        <v>822.255</v>
      </c>
      <c r="K80" s="10">
        <v>43529</v>
      </c>
      <c r="L80" s="11">
        <v>0.68333333333333335</v>
      </c>
      <c r="M80" s="9" t="s">
        <v>21</v>
      </c>
      <c r="N80" s="9">
        <v>783.1</v>
      </c>
      <c r="O80" s="9">
        <v>6.6</v>
      </c>
    </row>
    <row r="81" spans="1:15">
      <c r="A81" s="9" t="s">
        <v>113</v>
      </c>
      <c r="B81" s="9" t="s">
        <v>23</v>
      </c>
      <c r="C81" s="9" t="s">
        <v>24</v>
      </c>
      <c r="D81" s="9" t="s">
        <v>25</v>
      </c>
      <c r="E81" s="9" t="s">
        <v>19</v>
      </c>
      <c r="F81" s="9" t="s">
        <v>20</v>
      </c>
      <c r="G81" s="9">
        <v>20.38</v>
      </c>
      <c r="H81" s="9">
        <v>5</v>
      </c>
      <c r="I81" s="9">
        <v>5.0949999999999998</v>
      </c>
      <c r="J81" s="9">
        <v>106.995</v>
      </c>
      <c r="K81" s="10">
        <v>43487</v>
      </c>
      <c r="L81" s="11">
        <v>0.78888888888888886</v>
      </c>
      <c r="M81" s="9" t="s">
        <v>27</v>
      </c>
      <c r="N81" s="9">
        <v>101.9</v>
      </c>
      <c r="O81" s="9">
        <v>6</v>
      </c>
    </row>
    <row r="82" spans="1:15">
      <c r="A82" s="9" t="s">
        <v>114</v>
      </c>
      <c r="B82" s="9" t="s">
        <v>23</v>
      </c>
      <c r="C82" s="9" t="s">
        <v>24</v>
      </c>
      <c r="D82" s="9" t="s">
        <v>25</v>
      </c>
      <c r="E82" s="9" t="s">
        <v>19</v>
      </c>
      <c r="F82" s="9" t="s">
        <v>20</v>
      </c>
      <c r="G82" s="9">
        <v>99.19</v>
      </c>
      <c r="H82" s="9">
        <v>6</v>
      </c>
      <c r="I82" s="9">
        <v>29.757000000000001</v>
      </c>
      <c r="J82" s="9">
        <v>624.89700000000005</v>
      </c>
      <c r="K82" s="10">
        <v>43486</v>
      </c>
      <c r="L82" s="11">
        <v>0.61250000000000004</v>
      </c>
      <c r="M82" s="9" t="s">
        <v>31</v>
      </c>
      <c r="N82" s="9">
        <v>595.14</v>
      </c>
      <c r="O82" s="9">
        <v>5.5</v>
      </c>
    </row>
    <row r="83" spans="1:15">
      <c r="A83" s="9" t="s">
        <v>115</v>
      </c>
      <c r="B83" s="9" t="s">
        <v>40</v>
      </c>
      <c r="C83" s="9" t="s">
        <v>41</v>
      </c>
      <c r="D83" s="9" t="s">
        <v>25</v>
      </c>
      <c r="E83" s="9" t="s">
        <v>19</v>
      </c>
      <c r="F83" s="9" t="s">
        <v>42</v>
      </c>
      <c r="G83" s="9">
        <v>96.68</v>
      </c>
      <c r="H83" s="9">
        <v>3</v>
      </c>
      <c r="I83" s="9">
        <v>14.502000000000001</v>
      </c>
      <c r="J83" s="9">
        <v>304.54199999999997</v>
      </c>
      <c r="K83" s="10">
        <v>43491</v>
      </c>
      <c r="L83" s="11">
        <v>0.8305555555555556</v>
      </c>
      <c r="M83" s="9" t="s">
        <v>21</v>
      </c>
      <c r="N83" s="9">
        <v>290.04000000000002</v>
      </c>
      <c r="O83" s="9">
        <v>6.4</v>
      </c>
    </row>
    <row r="84" spans="1:15">
      <c r="A84" s="9" t="s">
        <v>116</v>
      </c>
      <c r="B84" s="9" t="s">
        <v>23</v>
      </c>
      <c r="C84" s="9" t="s">
        <v>24</v>
      </c>
      <c r="D84" s="9" t="s">
        <v>25</v>
      </c>
      <c r="E84" s="9" t="s">
        <v>29</v>
      </c>
      <c r="F84" s="9" t="s">
        <v>42</v>
      </c>
      <c r="G84" s="9">
        <v>19.25</v>
      </c>
      <c r="H84" s="9">
        <v>8</v>
      </c>
      <c r="I84" s="9">
        <v>7.7</v>
      </c>
      <c r="J84" s="9">
        <v>161.69999999999999</v>
      </c>
      <c r="K84" s="10">
        <v>43488</v>
      </c>
      <c r="L84" s="11">
        <v>0.77569444444444446</v>
      </c>
      <c r="M84" s="9" t="s">
        <v>21</v>
      </c>
      <c r="N84" s="9">
        <v>154</v>
      </c>
      <c r="O84" s="9">
        <v>6.6</v>
      </c>
    </row>
    <row r="85" spans="1:15">
      <c r="A85" s="9" t="s">
        <v>117</v>
      </c>
      <c r="B85" s="9" t="s">
        <v>23</v>
      </c>
      <c r="C85" s="9" t="s">
        <v>24</v>
      </c>
      <c r="D85" s="9" t="s">
        <v>18</v>
      </c>
      <c r="E85" s="9" t="s">
        <v>19</v>
      </c>
      <c r="F85" s="9" t="s">
        <v>42</v>
      </c>
      <c r="G85" s="9">
        <v>80.36</v>
      </c>
      <c r="H85" s="9">
        <v>4</v>
      </c>
      <c r="I85" s="9">
        <v>16.071999999999999</v>
      </c>
      <c r="J85" s="9">
        <v>337.512</v>
      </c>
      <c r="K85" s="10">
        <v>43519</v>
      </c>
      <c r="L85" s="11">
        <v>0.78125</v>
      </c>
      <c r="M85" s="9" t="s">
        <v>31</v>
      </c>
      <c r="N85" s="9">
        <v>321.44</v>
      </c>
      <c r="O85" s="9">
        <v>8.3000000000000007</v>
      </c>
    </row>
    <row r="86" spans="1:15">
      <c r="A86" s="9" t="s">
        <v>118</v>
      </c>
      <c r="B86" s="9" t="s">
        <v>23</v>
      </c>
      <c r="C86" s="9" t="s">
        <v>24</v>
      </c>
      <c r="D86" s="9" t="s">
        <v>18</v>
      </c>
      <c r="E86" s="9" t="s">
        <v>29</v>
      </c>
      <c r="F86" s="9" t="s">
        <v>34</v>
      </c>
      <c r="G86" s="9">
        <v>48.91</v>
      </c>
      <c r="H86" s="9">
        <v>5</v>
      </c>
      <c r="I86" s="9">
        <v>12.227499999999999</v>
      </c>
      <c r="J86" s="9">
        <v>256.77749999999997</v>
      </c>
      <c r="K86" s="10">
        <v>43533</v>
      </c>
      <c r="L86" s="11">
        <v>0.4284722222222222</v>
      </c>
      <c r="M86" s="9" t="s">
        <v>27</v>
      </c>
      <c r="N86" s="9">
        <v>244.55</v>
      </c>
      <c r="O86" s="9">
        <v>6.6</v>
      </c>
    </row>
    <row r="87" spans="1:15">
      <c r="A87" s="9" t="s">
        <v>119</v>
      </c>
      <c r="B87" s="9" t="s">
        <v>23</v>
      </c>
      <c r="C87" s="9" t="s">
        <v>24</v>
      </c>
      <c r="D87" s="9" t="s">
        <v>25</v>
      </c>
      <c r="E87" s="9" t="s">
        <v>19</v>
      </c>
      <c r="F87" s="9" t="s">
        <v>34</v>
      </c>
      <c r="G87" s="9">
        <v>83.06</v>
      </c>
      <c r="H87" s="9">
        <v>7</v>
      </c>
      <c r="I87" s="9">
        <v>29.071000000000002</v>
      </c>
      <c r="J87" s="9">
        <v>610.49099999999999</v>
      </c>
      <c r="K87" s="10">
        <v>43529</v>
      </c>
      <c r="L87" s="11">
        <v>0.60486111111111107</v>
      </c>
      <c r="M87" s="9" t="s">
        <v>21</v>
      </c>
      <c r="N87" s="9">
        <v>581.41999999999996</v>
      </c>
      <c r="O87" s="9">
        <v>4</v>
      </c>
    </row>
    <row r="88" spans="1:15">
      <c r="A88" s="9" t="s">
        <v>120</v>
      </c>
      <c r="B88" s="9" t="s">
        <v>23</v>
      </c>
      <c r="C88" s="9" t="s">
        <v>24</v>
      </c>
      <c r="D88" s="9" t="s">
        <v>25</v>
      </c>
      <c r="E88" s="9" t="s">
        <v>29</v>
      </c>
      <c r="F88" s="9" t="s">
        <v>44</v>
      </c>
      <c r="G88" s="9">
        <v>76.52</v>
      </c>
      <c r="H88" s="9">
        <v>5</v>
      </c>
      <c r="I88" s="9">
        <v>19.13</v>
      </c>
      <c r="J88" s="9">
        <v>401.73</v>
      </c>
      <c r="K88" s="10">
        <v>43549</v>
      </c>
      <c r="L88" s="11">
        <v>0.43263888888888891</v>
      </c>
      <c r="M88" s="9" t="s">
        <v>27</v>
      </c>
      <c r="N88" s="9">
        <v>382.6</v>
      </c>
      <c r="O88" s="9">
        <v>9.9</v>
      </c>
    </row>
    <row r="89" spans="1:15">
      <c r="A89" s="9" t="s">
        <v>121</v>
      </c>
      <c r="B89" s="9" t="s">
        <v>16</v>
      </c>
      <c r="C89" s="9" t="s">
        <v>17</v>
      </c>
      <c r="D89" s="9" t="s">
        <v>18</v>
      </c>
      <c r="E89" s="9" t="s">
        <v>29</v>
      </c>
      <c r="F89" s="9" t="s">
        <v>42</v>
      </c>
      <c r="G89" s="9">
        <v>49.38</v>
      </c>
      <c r="H89" s="9">
        <v>7</v>
      </c>
      <c r="I89" s="9">
        <v>17.283000000000001</v>
      </c>
      <c r="J89" s="9">
        <v>362.94299999999998</v>
      </c>
      <c r="K89" s="10">
        <v>43551</v>
      </c>
      <c r="L89" s="11">
        <v>0.85763888888888884</v>
      </c>
      <c r="M89" s="9" t="s">
        <v>31</v>
      </c>
      <c r="N89" s="9">
        <v>345.66</v>
      </c>
      <c r="O89" s="9">
        <v>7.3</v>
      </c>
    </row>
    <row r="90" spans="1:15">
      <c r="A90" s="9" t="s">
        <v>122</v>
      </c>
      <c r="B90" s="9" t="s">
        <v>16</v>
      </c>
      <c r="C90" s="9" t="s">
        <v>17</v>
      </c>
      <c r="D90" s="9" t="s">
        <v>25</v>
      </c>
      <c r="E90" s="9" t="s">
        <v>29</v>
      </c>
      <c r="F90" s="9" t="s">
        <v>34</v>
      </c>
      <c r="G90" s="9">
        <v>42.47</v>
      </c>
      <c r="H90" s="9">
        <v>1</v>
      </c>
      <c r="I90" s="9">
        <v>2.1234999999999999</v>
      </c>
      <c r="J90" s="9">
        <v>44.593499999999999</v>
      </c>
      <c r="K90" s="10">
        <v>43467</v>
      </c>
      <c r="L90" s="11">
        <v>0.70625000000000004</v>
      </c>
      <c r="M90" s="9" t="s">
        <v>27</v>
      </c>
      <c r="N90" s="9">
        <v>42.47</v>
      </c>
      <c r="O90" s="9">
        <v>5.7</v>
      </c>
    </row>
    <row r="91" spans="1:15">
      <c r="A91" s="9" t="s">
        <v>123</v>
      </c>
      <c r="B91" s="9" t="s">
        <v>40</v>
      </c>
      <c r="C91" s="9" t="s">
        <v>41</v>
      </c>
      <c r="D91" s="9" t="s">
        <v>25</v>
      </c>
      <c r="E91" s="9" t="s">
        <v>19</v>
      </c>
      <c r="F91" s="9" t="s">
        <v>20</v>
      </c>
      <c r="G91" s="9">
        <v>76.989999999999995</v>
      </c>
      <c r="H91" s="9">
        <v>6</v>
      </c>
      <c r="I91" s="9">
        <v>23.097000000000001</v>
      </c>
      <c r="J91" s="9">
        <v>485.03699999999998</v>
      </c>
      <c r="K91" s="10">
        <v>43523</v>
      </c>
      <c r="L91" s="11">
        <v>0.74652777777777779</v>
      </c>
      <c r="M91" s="9" t="s">
        <v>27</v>
      </c>
      <c r="N91" s="9">
        <v>461.94</v>
      </c>
      <c r="O91" s="9">
        <v>6.1</v>
      </c>
    </row>
    <row r="92" spans="1:15">
      <c r="A92" s="9" t="s">
        <v>124</v>
      </c>
      <c r="B92" s="9" t="s">
        <v>23</v>
      </c>
      <c r="C92" s="9" t="s">
        <v>24</v>
      </c>
      <c r="D92" s="9" t="s">
        <v>18</v>
      </c>
      <c r="E92" s="9" t="s">
        <v>19</v>
      </c>
      <c r="F92" s="9" t="s">
        <v>30</v>
      </c>
      <c r="G92" s="9">
        <v>47.38</v>
      </c>
      <c r="H92" s="9">
        <v>4</v>
      </c>
      <c r="I92" s="9">
        <v>9.4760000000000009</v>
      </c>
      <c r="J92" s="9">
        <v>198.99600000000001</v>
      </c>
      <c r="K92" s="10">
        <v>43488</v>
      </c>
      <c r="L92" s="11">
        <v>0.43402777777777779</v>
      </c>
      <c r="M92" s="9" t="s">
        <v>27</v>
      </c>
      <c r="N92" s="9">
        <v>189.52</v>
      </c>
      <c r="O92" s="9">
        <v>7.1</v>
      </c>
    </row>
    <row r="93" spans="1:15">
      <c r="A93" s="9" t="s">
        <v>125</v>
      </c>
      <c r="B93" s="9" t="s">
        <v>23</v>
      </c>
      <c r="C93" s="9" t="s">
        <v>24</v>
      </c>
      <c r="D93" s="9" t="s">
        <v>25</v>
      </c>
      <c r="E93" s="9" t="s">
        <v>19</v>
      </c>
      <c r="F93" s="9" t="s">
        <v>34</v>
      </c>
      <c r="G93" s="9">
        <v>44.86</v>
      </c>
      <c r="H93" s="9">
        <v>10</v>
      </c>
      <c r="I93" s="9">
        <v>22.43</v>
      </c>
      <c r="J93" s="9">
        <v>471.03</v>
      </c>
      <c r="K93" s="10">
        <v>43491</v>
      </c>
      <c r="L93" s="11">
        <v>0.82916666666666672</v>
      </c>
      <c r="M93" s="9" t="s">
        <v>21</v>
      </c>
      <c r="N93" s="9">
        <v>448.6</v>
      </c>
      <c r="O93" s="9">
        <v>8.1999999999999993</v>
      </c>
    </row>
    <row r="94" spans="1:15">
      <c r="A94" s="9" t="s">
        <v>126</v>
      </c>
      <c r="B94" s="9" t="s">
        <v>16</v>
      </c>
      <c r="C94" s="9" t="s">
        <v>17</v>
      </c>
      <c r="D94" s="9" t="s">
        <v>18</v>
      </c>
      <c r="E94" s="9" t="s">
        <v>19</v>
      </c>
      <c r="F94" s="9" t="s">
        <v>34</v>
      </c>
      <c r="G94" s="9">
        <v>21.98</v>
      </c>
      <c r="H94" s="9">
        <v>7</v>
      </c>
      <c r="I94" s="9">
        <v>7.6929999999999996</v>
      </c>
      <c r="J94" s="9">
        <v>161.553</v>
      </c>
      <c r="K94" s="10">
        <v>43475</v>
      </c>
      <c r="L94" s="11">
        <v>0.6958333333333333</v>
      </c>
      <c r="M94" s="9" t="s">
        <v>21</v>
      </c>
      <c r="N94" s="9">
        <v>153.86000000000001</v>
      </c>
      <c r="O94" s="9">
        <v>5.0999999999999996</v>
      </c>
    </row>
    <row r="95" spans="1:15">
      <c r="A95" s="9" t="s">
        <v>127</v>
      </c>
      <c r="B95" s="9" t="s">
        <v>40</v>
      </c>
      <c r="C95" s="9" t="s">
        <v>41</v>
      </c>
      <c r="D95" s="9" t="s">
        <v>18</v>
      </c>
      <c r="E95" s="9" t="s">
        <v>29</v>
      </c>
      <c r="F95" s="9" t="s">
        <v>20</v>
      </c>
      <c r="G95" s="9">
        <v>64.36</v>
      </c>
      <c r="H95" s="9">
        <v>9</v>
      </c>
      <c r="I95" s="9">
        <v>28.962</v>
      </c>
      <c r="J95" s="9">
        <v>608.202</v>
      </c>
      <c r="K95" s="10">
        <v>43536</v>
      </c>
      <c r="L95" s="11">
        <v>0.50624999999999998</v>
      </c>
      <c r="M95" s="9" t="s">
        <v>31</v>
      </c>
      <c r="N95" s="9">
        <v>579.24</v>
      </c>
      <c r="O95" s="9">
        <v>8.6</v>
      </c>
    </row>
    <row r="96" spans="1:15">
      <c r="A96" s="9" t="s">
        <v>128</v>
      </c>
      <c r="B96" s="9" t="s">
        <v>23</v>
      </c>
      <c r="C96" s="9" t="s">
        <v>24</v>
      </c>
      <c r="D96" s="9" t="s">
        <v>25</v>
      </c>
      <c r="E96" s="9" t="s">
        <v>29</v>
      </c>
      <c r="F96" s="9" t="s">
        <v>20</v>
      </c>
      <c r="G96" s="9">
        <v>89.75</v>
      </c>
      <c r="H96" s="9">
        <v>1</v>
      </c>
      <c r="I96" s="9">
        <v>4.4874999999999998</v>
      </c>
      <c r="J96" s="9">
        <v>94.237499999999997</v>
      </c>
      <c r="K96" s="10">
        <v>43502</v>
      </c>
      <c r="L96" s="11">
        <v>0.83680555555555558</v>
      </c>
      <c r="M96" s="9" t="s">
        <v>31</v>
      </c>
      <c r="N96" s="9">
        <v>89.75</v>
      </c>
      <c r="O96" s="9">
        <v>6.6</v>
      </c>
    </row>
    <row r="97" spans="1:15">
      <c r="A97" s="9" t="s">
        <v>129</v>
      </c>
      <c r="B97" s="9" t="s">
        <v>16</v>
      </c>
      <c r="C97" s="9" t="s">
        <v>17</v>
      </c>
      <c r="D97" s="9" t="s">
        <v>25</v>
      </c>
      <c r="E97" s="9" t="s">
        <v>29</v>
      </c>
      <c r="F97" s="9" t="s">
        <v>26</v>
      </c>
      <c r="G97" s="9">
        <v>97.16</v>
      </c>
      <c r="H97" s="9">
        <v>1</v>
      </c>
      <c r="I97" s="9">
        <v>4.8579999999999997</v>
      </c>
      <c r="J97" s="9">
        <v>102.018</v>
      </c>
      <c r="K97" s="10">
        <v>43532</v>
      </c>
      <c r="L97" s="11">
        <v>0.85972222222222228</v>
      </c>
      <c r="M97" s="9" t="s">
        <v>21</v>
      </c>
      <c r="N97" s="9">
        <v>97.16</v>
      </c>
      <c r="O97" s="9">
        <v>7.2</v>
      </c>
    </row>
    <row r="98" spans="1:15">
      <c r="A98" s="9" t="s">
        <v>130</v>
      </c>
      <c r="B98" s="9" t="s">
        <v>40</v>
      </c>
      <c r="C98" s="9" t="s">
        <v>41</v>
      </c>
      <c r="D98" s="9" t="s">
        <v>25</v>
      </c>
      <c r="E98" s="9" t="s">
        <v>29</v>
      </c>
      <c r="F98" s="9" t="s">
        <v>20</v>
      </c>
      <c r="G98" s="9">
        <v>87.87</v>
      </c>
      <c r="H98" s="9">
        <v>10</v>
      </c>
      <c r="I98" s="9">
        <v>43.935000000000002</v>
      </c>
      <c r="J98" s="9">
        <v>922.63499999999999</v>
      </c>
      <c r="K98" s="10">
        <v>43553</v>
      </c>
      <c r="L98" s="11">
        <v>0.43402777777777779</v>
      </c>
      <c r="M98" s="9" t="s">
        <v>21</v>
      </c>
      <c r="N98" s="9">
        <v>878.7</v>
      </c>
      <c r="O98" s="9">
        <v>5.0999999999999996</v>
      </c>
    </row>
    <row r="99" spans="1:15">
      <c r="A99" s="9" t="s">
        <v>131</v>
      </c>
      <c r="B99" s="9" t="s">
        <v>23</v>
      </c>
      <c r="C99" s="9" t="s">
        <v>24</v>
      </c>
      <c r="D99" s="9" t="s">
        <v>25</v>
      </c>
      <c r="E99" s="9" t="s">
        <v>19</v>
      </c>
      <c r="F99" s="9" t="s">
        <v>26</v>
      </c>
      <c r="G99" s="9">
        <v>12.45</v>
      </c>
      <c r="H99" s="9">
        <v>6</v>
      </c>
      <c r="I99" s="9">
        <v>3.7349999999999999</v>
      </c>
      <c r="J99" s="9">
        <v>78.435000000000002</v>
      </c>
      <c r="K99" s="10">
        <v>43505</v>
      </c>
      <c r="L99" s="11">
        <v>0.5493055555555556</v>
      </c>
      <c r="M99" s="9" t="s">
        <v>27</v>
      </c>
      <c r="N99" s="9">
        <v>74.7</v>
      </c>
      <c r="O99" s="9">
        <v>4.0999999999999996</v>
      </c>
    </row>
    <row r="100" spans="1:15">
      <c r="A100" s="9" t="s">
        <v>132</v>
      </c>
      <c r="B100" s="9" t="s">
        <v>16</v>
      </c>
      <c r="C100" s="9" t="s">
        <v>17</v>
      </c>
      <c r="D100" s="9" t="s">
        <v>25</v>
      </c>
      <c r="E100" s="9" t="s">
        <v>29</v>
      </c>
      <c r="F100" s="9" t="s">
        <v>42</v>
      </c>
      <c r="G100" s="9">
        <v>52.75</v>
      </c>
      <c r="H100" s="9">
        <v>3</v>
      </c>
      <c r="I100" s="9">
        <v>7.9124999999999996</v>
      </c>
      <c r="J100" s="9">
        <v>166.16249999999999</v>
      </c>
      <c r="K100" s="10">
        <v>43547</v>
      </c>
      <c r="L100" s="11">
        <v>0.42777777777777776</v>
      </c>
      <c r="M100" s="9" t="s">
        <v>21</v>
      </c>
      <c r="N100" s="9">
        <v>158.25</v>
      </c>
      <c r="O100" s="9">
        <v>9.3000000000000007</v>
      </c>
    </row>
    <row r="101" spans="1:15">
      <c r="A101" s="9" t="s">
        <v>133</v>
      </c>
      <c r="B101" s="9" t="s">
        <v>40</v>
      </c>
      <c r="C101" s="9" t="s">
        <v>41</v>
      </c>
      <c r="D101" s="9" t="s">
        <v>25</v>
      </c>
      <c r="E101" s="9" t="s">
        <v>29</v>
      </c>
      <c r="F101" s="9" t="s">
        <v>30</v>
      </c>
      <c r="G101" s="9">
        <v>82.7</v>
      </c>
      <c r="H101" s="9">
        <v>6</v>
      </c>
      <c r="I101" s="9">
        <v>24.81</v>
      </c>
      <c r="J101" s="9">
        <v>521.01</v>
      </c>
      <c r="K101" s="10">
        <v>43529</v>
      </c>
      <c r="L101" s="11">
        <v>0.75972222222222219</v>
      </c>
      <c r="M101" s="9" t="s">
        <v>27</v>
      </c>
      <c r="N101" s="9">
        <v>496.2</v>
      </c>
      <c r="O101" s="9">
        <v>7.4</v>
      </c>
    </row>
    <row r="102" spans="1:15">
      <c r="A102" s="9" t="s">
        <v>134</v>
      </c>
      <c r="B102" s="9" t="s">
        <v>23</v>
      </c>
      <c r="C102" s="9" t="s">
        <v>24</v>
      </c>
      <c r="D102" s="9" t="s">
        <v>18</v>
      </c>
      <c r="E102" s="9" t="s">
        <v>29</v>
      </c>
      <c r="F102" s="9" t="s">
        <v>44</v>
      </c>
      <c r="G102" s="9">
        <v>48.71</v>
      </c>
      <c r="H102" s="9">
        <v>1</v>
      </c>
      <c r="I102" s="9">
        <v>2.4355000000000002</v>
      </c>
      <c r="J102" s="9">
        <v>51.145499999999998</v>
      </c>
      <c r="K102" s="10">
        <v>43550</v>
      </c>
      <c r="L102" s="11">
        <v>0.80555555555555558</v>
      </c>
      <c r="M102" s="9" t="s">
        <v>27</v>
      </c>
      <c r="N102" s="9">
        <v>48.71</v>
      </c>
      <c r="O102" s="9">
        <v>4.0999999999999996</v>
      </c>
    </row>
    <row r="103" spans="1:15">
      <c r="A103" s="9" t="s">
        <v>135</v>
      </c>
      <c r="B103" s="9" t="s">
        <v>23</v>
      </c>
      <c r="C103" s="9" t="s">
        <v>24</v>
      </c>
      <c r="D103" s="9" t="s">
        <v>25</v>
      </c>
      <c r="E103" s="9" t="s">
        <v>29</v>
      </c>
      <c r="F103" s="9" t="s">
        <v>44</v>
      </c>
      <c r="G103" s="9">
        <v>78.55</v>
      </c>
      <c r="H103" s="9">
        <v>9</v>
      </c>
      <c r="I103" s="9">
        <v>35.347499999999997</v>
      </c>
      <c r="J103" s="9">
        <v>742.29750000000001</v>
      </c>
      <c r="K103" s="10">
        <v>43525</v>
      </c>
      <c r="L103" s="11">
        <v>0.55694444444444446</v>
      </c>
      <c r="M103" s="9" t="s">
        <v>27</v>
      </c>
      <c r="N103" s="9">
        <v>706.95</v>
      </c>
      <c r="O103" s="9">
        <v>7.2</v>
      </c>
    </row>
    <row r="104" spans="1:15">
      <c r="A104" s="9" t="s">
        <v>136</v>
      </c>
      <c r="B104" s="9" t="s">
        <v>23</v>
      </c>
      <c r="C104" s="9" t="s">
        <v>24</v>
      </c>
      <c r="D104" s="9" t="s">
        <v>25</v>
      </c>
      <c r="E104" s="9" t="s">
        <v>19</v>
      </c>
      <c r="F104" s="9" t="s">
        <v>26</v>
      </c>
      <c r="G104" s="9">
        <v>23.07</v>
      </c>
      <c r="H104" s="9">
        <v>9</v>
      </c>
      <c r="I104" s="9">
        <v>10.381500000000001</v>
      </c>
      <c r="J104" s="9">
        <v>218.01150000000001</v>
      </c>
      <c r="K104" s="10">
        <v>43497</v>
      </c>
      <c r="L104" s="11">
        <v>0.47708333333333336</v>
      </c>
      <c r="M104" s="9" t="s">
        <v>27</v>
      </c>
      <c r="N104" s="9">
        <v>207.63</v>
      </c>
      <c r="O104" s="9">
        <v>4.9000000000000004</v>
      </c>
    </row>
    <row r="105" spans="1:15">
      <c r="A105" s="9" t="s">
        <v>137</v>
      </c>
      <c r="B105" s="9" t="s">
        <v>16</v>
      </c>
      <c r="C105" s="9" t="s">
        <v>17</v>
      </c>
      <c r="D105" s="9" t="s">
        <v>25</v>
      </c>
      <c r="E105" s="9" t="s">
        <v>29</v>
      </c>
      <c r="F105" s="9" t="s">
        <v>42</v>
      </c>
      <c r="G105" s="9">
        <v>58.26</v>
      </c>
      <c r="H105" s="9">
        <v>6</v>
      </c>
      <c r="I105" s="9">
        <v>17.478000000000002</v>
      </c>
      <c r="J105" s="9">
        <v>367.03800000000001</v>
      </c>
      <c r="K105" s="10">
        <v>43552</v>
      </c>
      <c r="L105" s="11">
        <v>0.69722222222222219</v>
      </c>
      <c r="M105" s="9" t="s">
        <v>27</v>
      </c>
      <c r="N105" s="9">
        <v>349.56</v>
      </c>
      <c r="O105" s="9">
        <v>9.9</v>
      </c>
    </row>
    <row r="106" spans="1:15">
      <c r="A106" s="9" t="s">
        <v>138</v>
      </c>
      <c r="B106" s="9" t="s">
        <v>40</v>
      </c>
      <c r="C106" s="9" t="s">
        <v>41</v>
      </c>
      <c r="D106" s="9" t="s">
        <v>25</v>
      </c>
      <c r="E106" s="9" t="s">
        <v>29</v>
      </c>
      <c r="F106" s="9" t="s">
        <v>20</v>
      </c>
      <c r="G106" s="9">
        <v>30.35</v>
      </c>
      <c r="H106" s="9">
        <v>7</v>
      </c>
      <c r="I106" s="9">
        <v>10.6225</v>
      </c>
      <c r="J106" s="9">
        <v>223.07249999999999</v>
      </c>
      <c r="K106" s="10">
        <v>43543</v>
      </c>
      <c r="L106" s="11">
        <v>0.7631944444444444</v>
      </c>
      <c r="M106" s="9" t="s">
        <v>27</v>
      </c>
      <c r="N106" s="9">
        <v>212.45</v>
      </c>
      <c r="O106" s="9">
        <v>8</v>
      </c>
    </row>
    <row r="107" spans="1:15">
      <c r="A107" s="9" t="s">
        <v>139</v>
      </c>
      <c r="B107" s="9" t="s">
        <v>16</v>
      </c>
      <c r="C107" s="9" t="s">
        <v>17</v>
      </c>
      <c r="D107" s="9" t="s">
        <v>18</v>
      </c>
      <c r="E107" s="9" t="s">
        <v>29</v>
      </c>
      <c r="F107" s="9" t="s">
        <v>26</v>
      </c>
      <c r="G107" s="9">
        <v>88.67</v>
      </c>
      <c r="H107" s="9">
        <v>10</v>
      </c>
      <c r="I107" s="9">
        <v>44.335000000000001</v>
      </c>
      <c r="J107" s="9">
        <v>931.03499999999997</v>
      </c>
      <c r="K107" s="10">
        <v>43477</v>
      </c>
      <c r="L107" s="11">
        <v>0.61805555555555558</v>
      </c>
      <c r="M107" s="9" t="s">
        <v>21</v>
      </c>
      <c r="N107" s="9">
        <v>886.7</v>
      </c>
      <c r="O107" s="9">
        <v>7.3</v>
      </c>
    </row>
    <row r="108" spans="1:15">
      <c r="A108" s="9" t="s">
        <v>140</v>
      </c>
      <c r="B108" s="9" t="s">
        <v>23</v>
      </c>
      <c r="C108" s="9" t="s">
        <v>24</v>
      </c>
      <c r="D108" s="9" t="s">
        <v>25</v>
      </c>
      <c r="E108" s="9" t="s">
        <v>29</v>
      </c>
      <c r="F108" s="9" t="s">
        <v>44</v>
      </c>
      <c r="G108" s="9">
        <v>27.38</v>
      </c>
      <c r="H108" s="9">
        <v>6</v>
      </c>
      <c r="I108" s="9">
        <v>8.2140000000000004</v>
      </c>
      <c r="J108" s="9">
        <v>172.494</v>
      </c>
      <c r="K108" s="10">
        <v>43470</v>
      </c>
      <c r="L108" s="11">
        <v>0.87083333333333335</v>
      </c>
      <c r="M108" s="9" t="s">
        <v>31</v>
      </c>
      <c r="N108" s="9">
        <v>164.28</v>
      </c>
      <c r="O108" s="9">
        <v>7.9</v>
      </c>
    </row>
    <row r="109" spans="1:15">
      <c r="A109" s="9" t="s">
        <v>141</v>
      </c>
      <c r="B109" s="9" t="s">
        <v>16</v>
      </c>
      <c r="C109" s="9" t="s">
        <v>17</v>
      </c>
      <c r="D109" s="9" t="s">
        <v>25</v>
      </c>
      <c r="E109" s="9" t="s">
        <v>29</v>
      </c>
      <c r="F109" s="9" t="s">
        <v>34</v>
      </c>
      <c r="G109" s="9">
        <v>62.13</v>
      </c>
      <c r="H109" s="9">
        <v>6</v>
      </c>
      <c r="I109" s="9">
        <v>18.638999999999999</v>
      </c>
      <c r="J109" s="9">
        <v>391.41899999999998</v>
      </c>
      <c r="K109" s="10">
        <v>43546</v>
      </c>
      <c r="L109" s="11">
        <v>0.84652777777777777</v>
      </c>
      <c r="M109" s="9" t="s">
        <v>27</v>
      </c>
      <c r="N109" s="9">
        <v>372.78</v>
      </c>
      <c r="O109" s="9">
        <v>7.4</v>
      </c>
    </row>
    <row r="110" spans="1:15">
      <c r="A110" s="9" t="s">
        <v>142</v>
      </c>
      <c r="B110" s="9" t="s">
        <v>23</v>
      </c>
      <c r="C110" s="9" t="s">
        <v>24</v>
      </c>
      <c r="D110" s="9" t="s">
        <v>25</v>
      </c>
      <c r="E110" s="9" t="s">
        <v>19</v>
      </c>
      <c r="F110" s="9" t="s">
        <v>42</v>
      </c>
      <c r="G110" s="9">
        <v>33.979999999999997</v>
      </c>
      <c r="H110" s="9">
        <v>9</v>
      </c>
      <c r="I110" s="9">
        <v>15.291</v>
      </c>
      <c r="J110" s="9">
        <v>321.11099999999999</v>
      </c>
      <c r="K110" s="10">
        <v>43548</v>
      </c>
      <c r="L110" s="11">
        <v>0.4465277777777778</v>
      </c>
      <c r="M110" s="9" t="s">
        <v>27</v>
      </c>
      <c r="N110" s="9">
        <v>305.82</v>
      </c>
      <c r="O110" s="9">
        <v>4.2</v>
      </c>
    </row>
    <row r="111" spans="1:15">
      <c r="A111" s="9" t="s">
        <v>143</v>
      </c>
      <c r="B111" s="9" t="s">
        <v>23</v>
      </c>
      <c r="C111" s="9" t="s">
        <v>24</v>
      </c>
      <c r="D111" s="9" t="s">
        <v>18</v>
      </c>
      <c r="E111" s="9" t="s">
        <v>29</v>
      </c>
      <c r="F111" s="9" t="s">
        <v>26</v>
      </c>
      <c r="G111" s="9">
        <v>81.97</v>
      </c>
      <c r="H111" s="9">
        <v>10</v>
      </c>
      <c r="I111" s="9">
        <v>40.984999999999999</v>
      </c>
      <c r="J111" s="9">
        <v>860.68499999999995</v>
      </c>
      <c r="K111" s="10">
        <v>43527</v>
      </c>
      <c r="L111" s="11">
        <v>0.60416666666666663</v>
      </c>
      <c r="M111" s="9" t="s">
        <v>27</v>
      </c>
      <c r="N111" s="9">
        <v>819.7</v>
      </c>
      <c r="O111" s="9">
        <v>9.1999999999999993</v>
      </c>
    </row>
    <row r="112" spans="1:15">
      <c r="A112" s="9" t="s">
        <v>144</v>
      </c>
      <c r="B112" s="9" t="s">
        <v>40</v>
      </c>
      <c r="C112" s="9" t="s">
        <v>41</v>
      </c>
      <c r="D112" s="9" t="s">
        <v>18</v>
      </c>
      <c r="E112" s="9" t="s">
        <v>19</v>
      </c>
      <c r="F112" s="9" t="s">
        <v>34</v>
      </c>
      <c r="G112" s="9">
        <v>16.489999999999998</v>
      </c>
      <c r="H112" s="9">
        <v>2</v>
      </c>
      <c r="I112" s="9">
        <v>1.649</v>
      </c>
      <c r="J112" s="9">
        <v>34.628999999999998</v>
      </c>
      <c r="K112" s="10">
        <v>43501</v>
      </c>
      <c r="L112" s="11">
        <v>0.48055555555555557</v>
      </c>
      <c r="M112" s="9" t="s">
        <v>21</v>
      </c>
      <c r="N112" s="9">
        <v>32.979999999999997</v>
      </c>
      <c r="O112" s="9">
        <v>4.5999999999999996</v>
      </c>
    </row>
    <row r="113" spans="1:15">
      <c r="A113" s="9" t="s">
        <v>145</v>
      </c>
      <c r="B113" s="9" t="s">
        <v>23</v>
      </c>
      <c r="C113" s="9" t="s">
        <v>24</v>
      </c>
      <c r="D113" s="9" t="s">
        <v>18</v>
      </c>
      <c r="E113" s="9" t="s">
        <v>19</v>
      </c>
      <c r="F113" s="9" t="s">
        <v>20</v>
      </c>
      <c r="G113" s="9">
        <v>98.21</v>
      </c>
      <c r="H113" s="9">
        <v>3</v>
      </c>
      <c r="I113" s="9">
        <v>14.7315</v>
      </c>
      <c r="J113" s="9">
        <v>309.36149999999998</v>
      </c>
      <c r="K113" s="10">
        <v>43501</v>
      </c>
      <c r="L113" s="11">
        <v>0.44513888888888886</v>
      </c>
      <c r="M113" s="9" t="s">
        <v>31</v>
      </c>
      <c r="N113" s="9">
        <v>294.63</v>
      </c>
      <c r="O113" s="9">
        <v>7.8</v>
      </c>
    </row>
    <row r="114" spans="1:15">
      <c r="A114" s="9" t="s">
        <v>146</v>
      </c>
      <c r="B114" s="9" t="s">
        <v>40</v>
      </c>
      <c r="C114" s="9" t="s">
        <v>41</v>
      </c>
      <c r="D114" s="9" t="s">
        <v>25</v>
      </c>
      <c r="E114" s="9" t="s">
        <v>19</v>
      </c>
      <c r="F114" s="9" t="s">
        <v>44</v>
      </c>
      <c r="G114" s="9">
        <v>72.84</v>
      </c>
      <c r="H114" s="9">
        <v>7</v>
      </c>
      <c r="I114" s="9">
        <v>25.494</v>
      </c>
      <c r="J114" s="9">
        <v>535.37400000000002</v>
      </c>
      <c r="K114" s="10">
        <v>43511</v>
      </c>
      <c r="L114" s="11">
        <v>0.53055555555555556</v>
      </c>
      <c r="M114" s="9" t="s">
        <v>27</v>
      </c>
      <c r="N114" s="9">
        <v>509.88</v>
      </c>
      <c r="O114" s="9">
        <v>8.4</v>
      </c>
    </row>
    <row r="115" spans="1:15">
      <c r="A115" s="9" t="s">
        <v>147</v>
      </c>
      <c r="B115" s="9" t="s">
        <v>16</v>
      </c>
      <c r="C115" s="9" t="s">
        <v>17</v>
      </c>
      <c r="D115" s="9" t="s">
        <v>18</v>
      </c>
      <c r="E115" s="9" t="s">
        <v>29</v>
      </c>
      <c r="F115" s="9" t="s">
        <v>30</v>
      </c>
      <c r="G115" s="9">
        <v>58.07</v>
      </c>
      <c r="H115" s="9">
        <v>9</v>
      </c>
      <c r="I115" s="9">
        <v>26.131499999999999</v>
      </c>
      <c r="J115" s="9">
        <v>548.76149999999996</v>
      </c>
      <c r="K115" s="10">
        <v>43484</v>
      </c>
      <c r="L115" s="11">
        <v>0.83819444444444446</v>
      </c>
      <c r="M115" s="9" t="s">
        <v>21</v>
      </c>
      <c r="N115" s="9">
        <v>522.63</v>
      </c>
      <c r="O115" s="9">
        <v>4.3</v>
      </c>
    </row>
    <row r="116" spans="1:15">
      <c r="A116" s="9" t="s">
        <v>148</v>
      </c>
      <c r="B116" s="9" t="s">
        <v>23</v>
      </c>
      <c r="C116" s="9" t="s">
        <v>24</v>
      </c>
      <c r="D116" s="9" t="s">
        <v>18</v>
      </c>
      <c r="E116" s="9" t="s">
        <v>19</v>
      </c>
      <c r="F116" s="9" t="s">
        <v>30</v>
      </c>
      <c r="G116" s="9">
        <v>80.790000000000006</v>
      </c>
      <c r="H116" s="9">
        <v>9</v>
      </c>
      <c r="I116" s="9">
        <v>36.355499999999999</v>
      </c>
      <c r="J116" s="9">
        <v>763.46550000000002</v>
      </c>
      <c r="K116" s="10">
        <v>43497</v>
      </c>
      <c r="L116" s="11">
        <v>0.85486111111111107</v>
      </c>
      <c r="M116" s="9" t="s">
        <v>31</v>
      </c>
      <c r="N116" s="9">
        <v>727.11</v>
      </c>
      <c r="O116" s="9">
        <v>9.5</v>
      </c>
    </row>
    <row r="117" spans="1:15">
      <c r="A117" s="9" t="s">
        <v>149</v>
      </c>
      <c r="B117" s="9" t="s">
        <v>23</v>
      </c>
      <c r="C117" s="9" t="s">
        <v>24</v>
      </c>
      <c r="D117" s="9" t="s">
        <v>25</v>
      </c>
      <c r="E117" s="9" t="s">
        <v>19</v>
      </c>
      <c r="F117" s="9" t="s">
        <v>44</v>
      </c>
      <c r="G117" s="9">
        <v>27.02</v>
      </c>
      <c r="H117" s="9">
        <v>3</v>
      </c>
      <c r="I117" s="9">
        <v>4.0529999999999999</v>
      </c>
      <c r="J117" s="9">
        <v>85.113</v>
      </c>
      <c r="K117" s="10">
        <v>43526</v>
      </c>
      <c r="L117" s="11">
        <v>0.54236111111111107</v>
      </c>
      <c r="M117" s="9" t="s">
        <v>31</v>
      </c>
      <c r="N117" s="9">
        <v>81.06</v>
      </c>
      <c r="O117" s="9">
        <v>7.1</v>
      </c>
    </row>
    <row r="118" spans="1:15">
      <c r="A118" s="9" t="s">
        <v>150</v>
      </c>
      <c r="B118" s="9" t="s">
        <v>40</v>
      </c>
      <c r="C118" s="9" t="s">
        <v>41</v>
      </c>
      <c r="D118" s="9" t="s">
        <v>18</v>
      </c>
      <c r="E118" s="9" t="s">
        <v>29</v>
      </c>
      <c r="F118" s="9" t="s">
        <v>44</v>
      </c>
      <c r="G118" s="9">
        <v>21.94</v>
      </c>
      <c r="H118" s="9">
        <v>5</v>
      </c>
      <c r="I118" s="9">
        <v>5.4850000000000003</v>
      </c>
      <c r="J118" s="9">
        <v>115.185</v>
      </c>
      <c r="K118" s="10">
        <v>43529</v>
      </c>
      <c r="L118" s="11">
        <v>0.52013888888888893</v>
      </c>
      <c r="M118" s="9" t="s">
        <v>21</v>
      </c>
      <c r="N118" s="9">
        <v>109.7</v>
      </c>
      <c r="O118" s="9">
        <v>5.3</v>
      </c>
    </row>
    <row r="119" spans="1:15">
      <c r="A119" s="9" t="s">
        <v>151</v>
      </c>
      <c r="B119" s="9" t="s">
        <v>40</v>
      </c>
      <c r="C119" s="9" t="s">
        <v>41</v>
      </c>
      <c r="D119" s="9" t="s">
        <v>18</v>
      </c>
      <c r="E119" s="9" t="s">
        <v>29</v>
      </c>
      <c r="F119" s="9" t="s">
        <v>44</v>
      </c>
      <c r="G119" s="9">
        <v>51.36</v>
      </c>
      <c r="H119" s="9">
        <v>1</v>
      </c>
      <c r="I119" s="9">
        <v>2.5680000000000001</v>
      </c>
      <c r="J119" s="9">
        <v>53.927999999999997</v>
      </c>
      <c r="K119" s="10">
        <v>43481</v>
      </c>
      <c r="L119" s="11">
        <v>0.6430555555555556</v>
      </c>
      <c r="M119" s="9" t="s">
        <v>21</v>
      </c>
      <c r="N119" s="9">
        <v>51.36</v>
      </c>
      <c r="O119" s="9">
        <v>5.2</v>
      </c>
    </row>
    <row r="120" spans="1:15">
      <c r="A120" s="9" t="s">
        <v>152</v>
      </c>
      <c r="B120" s="9" t="s">
        <v>16</v>
      </c>
      <c r="C120" s="9" t="s">
        <v>17</v>
      </c>
      <c r="D120" s="9" t="s">
        <v>25</v>
      </c>
      <c r="E120" s="9" t="s">
        <v>19</v>
      </c>
      <c r="F120" s="9" t="s">
        <v>42</v>
      </c>
      <c r="G120" s="9">
        <v>10.96</v>
      </c>
      <c r="H120" s="9">
        <v>10</v>
      </c>
      <c r="I120" s="9">
        <v>5.48</v>
      </c>
      <c r="J120" s="9">
        <v>115.08</v>
      </c>
      <c r="K120" s="10">
        <v>43498</v>
      </c>
      <c r="L120" s="11">
        <v>0.8666666666666667</v>
      </c>
      <c r="M120" s="9" t="s">
        <v>21</v>
      </c>
      <c r="N120" s="9">
        <v>109.6</v>
      </c>
      <c r="O120" s="9">
        <v>6</v>
      </c>
    </row>
    <row r="121" spans="1:15">
      <c r="A121" s="9" t="s">
        <v>153</v>
      </c>
      <c r="B121" s="9" t="s">
        <v>40</v>
      </c>
      <c r="C121" s="9" t="s">
        <v>41</v>
      </c>
      <c r="D121" s="9" t="s">
        <v>25</v>
      </c>
      <c r="E121" s="9" t="s">
        <v>29</v>
      </c>
      <c r="F121" s="9" t="s">
        <v>30</v>
      </c>
      <c r="G121" s="9">
        <v>53.44</v>
      </c>
      <c r="H121" s="9">
        <v>2</v>
      </c>
      <c r="I121" s="9">
        <v>5.3440000000000003</v>
      </c>
      <c r="J121" s="9">
        <v>112.224</v>
      </c>
      <c r="K121" s="10">
        <v>43485</v>
      </c>
      <c r="L121" s="11">
        <v>0.85972222222222228</v>
      </c>
      <c r="M121" s="9" t="s">
        <v>21</v>
      </c>
      <c r="N121" s="9">
        <v>106.88</v>
      </c>
      <c r="O121" s="9">
        <v>4.0999999999999996</v>
      </c>
    </row>
    <row r="122" spans="1:15">
      <c r="A122" s="9" t="s">
        <v>154</v>
      </c>
      <c r="B122" s="9" t="s">
        <v>16</v>
      </c>
      <c r="C122" s="9" t="s">
        <v>17</v>
      </c>
      <c r="D122" s="9" t="s">
        <v>25</v>
      </c>
      <c r="E122" s="9" t="s">
        <v>19</v>
      </c>
      <c r="F122" s="9" t="s">
        <v>26</v>
      </c>
      <c r="G122" s="9">
        <v>99.56</v>
      </c>
      <c r="H122" s="9">
        <v>8</v>
      </c>
      <c r="I122" s="9">
        <v>39.823999999999998</v>
      </c>
      <c r="J122" s="9">
        <v>836.30399999999997</v>
      </c>
      <c r="K122" s="10">
        <v>43510</v>
      </c>
      <c r="L122" s="11">
        <v>0.7104166666666667</v>
      </c>
      <c r="M122" s="9" t="s">
        <v>31</v>
      </c>
      <c r="N122" s="9">
        <v>796.48</v>
      </c>
      <c r="O122" s="9">
        <v>5.2</v>
      </c>
    </row>
    <row r="123" spans="1:15">
      <c r="A123" s="9" t="s">
        <v>155</v>
      </c>
      <c r="B123" s="9" t="s">
        <v>23</v>
      </c>
      <c r="C123" s="9" t="s">
        <v>24</v>
      </c>
      <c r="D123" s="9" t="s">
        <v>18</v>
      </c>
      <c r="E123" s="9" t="s">
        <v>29</v>
      </c>
      <c r="F123" s="9" t="s">
        <v>34</v>
      </c>
      <c r="G123" s="9">
        <v>57.12</v>
      </c>
      <c r="H123" s="9">
        <v>7</v>
      </c>
      <c r="I123" s="9">
        <v>19.992000000000001</v>
      </c>
      <c r="J123" s="9">
        <v>419.83199999999999</v>
      </c>
      <c r="K123" s="10">
        <v>43477</v>
      </c>
      <c r="L123" s="11">
        <v>0.50138888888888888</v>
      </c>
      <c r="M123" s="9" t="s">
        <v>31</v>
      </c>
      <c r="N123" s="9">
        <v>399.84</v>
      </c>
      <c r="O123" s="9">
        <v>6.5</v>
      </c>
    </row>
    <row r="124" spans="1:15">
      <c r="A124" s="9" t="s">
        <v>156</v>
      </c>
      <c r="B124" s="9" t="s">
        <v>40</v>
      </c>
      <c r="C124" s="9" t="s">
        <v>41</v>
      </c>
      <c r="D124" s="9" t="s">
        <v>18</v>
      </c>
      <c r="E124" s="9" t="s">
        <v>29</v>
      </c>
      <c r="F124" s="9" t="s">
        <v>34</v>
      </c>
      <c r="G124" s="9">
        <v>99.96</v>
      </c>
      <c r="H124" s="9">
        <v>9</v>
      </c>
      <c r="I124" s="9">
        <v>44.981999999999999</v>
      </c>
      <c r="J124" s="9">
        <v>944.62199999999996</v>
      </c>
      <c r="K124" s="10">
        <v>43533</v>
      </c>
      <c r="L124" s="11">
        <v>0.72638888888888886</v>
      </c>
      <c r="M124" s="9" t="s">
        <v>31</v>
      </c>
      <c r="N124" s="9">
        <v>899.64</v>
      </c>
      <c r="O124" s="9">
        <v>4.2</v>
      </c>
    </row>
    <row r="125" spans="1:15">
      <c r="A125" s="9" t="s">
        <v>157</v>
      </c>
      <c r="B125" s="9" t="s">
        <v>23</v>
      </c>
      <c r="C125" s="9" t="s">
        <v>24</v>
      </c>
      <c r="D125" s="9" t="s">
        <v>18</v>
      </c>
      <c r="E125" s="9" t="s">
        <v>29</v>
      </c>
      <c r="F125" s="9" t="s">
        <v>30</v>
      </c>
      <c r="G125" s="9">
        <v>63.91</v>
      </c>
      <c r="H125" s="9">
        <v>8</v>
      </c>
      <c r="I125" s="9">
        <v>25.564</v>
      </c>
      <c r="J125" s="9">
        <v>536.84400000000005</v>
      </c>
      <c r="K125" s="10">
        <v>43537</v>
      </c>
      <c r="L125" s="11">
        <v>0.82777777777777772</v>
      </c>
      <c r="M125" s="9" t="s">
        <v>31</v>
      </c>
      <c r="N125" s="9">
        <v>511.28</v>
      </c>
      <c r="O125" s="9">
        <v>4.5999999999999996</v>
      </c>
    </row>
    <row r="126" spans="1:15">
      <c r="A126" s="9" t="s">
        <v>158</v>
      </c>
      <c r="B126" s="9" t="s">
        <v>40</v>
      </c>
      <c r="C126" s="9" t="s">
        <v>41</v>
      </c>
      <c r="D126" s="9" t="s">
        <v>18</v>
      </c>
      <c r="E126" s="9" t="s">
        <v>19</v>
      </c>
      <c r="F126" s="9" t="s">
        <v>44</v>
      </c>
      <c r="G126" s="9">
        <v>56.47</v>
      </c>
      <c r="H126" s="9">
        <v>8</v>
      </c>
      <c r="I126" s="9">
        <v>22.588000000000001</v>
      </c>
      <c r="J126" s="9">
        <v>474.34800000000001</v>
      </c>
      <c r="K126" s="10">
        <v>43533</v>
      </c>
      <c r="L126" s="11">
        <v>0.62291666666666667</v>
      </c>
      <c r="M126" s="9" t="s">
        <v>21</v>
      </c>
      <c r="N126" s="9">
        <v>451.76</v>
      </c>
      <c r="O126" s="9">
        <v>7.3</v>
      </c>
    </row>
    <row r="127" spans="1:15">
      <c r="A127" s="9" t="s">
        <v>159</v>
      </c>
      <c r="B127" s="9" t="s">
        <v>16</v>
      </c>
      <c r="C127" s="9" t="s">
        <v>17</v>
      </c>
      <c r="D127" s="9" t="s">
        <v>25</v>
      </c>
      <c r="E127" s="9" t="s">
        <v>19</v>
      </c>
      <c r="F127" s="9" t="s">
        <v>30</v>
      </c>
      <c r="G127" s="9">
        <v>93.69</v>
      </c>
      <c r="H127" s="9">
        <v>7</v>
      </c>
      <c r="I127" s="9">
        <v>32.791499999999999</v>
      </c>
      <c r="J127" s="9">
        <v>688.62149999999997</v>
      </c>
      <c r="K127" s="10">
        <v>43534</v>
      </c>
      <c r="L127" s="11">
        <v>0.78055555555555556</v>
      </c>
      <c r="M127" s="9" t="s">
        <v>31</v>
      </c>
      <c r="N127" s="9">
        <v>655.83</v>
      </c>
      <c r="O127" s="9">
        <v>4.5</v>
      </c>
    </row>
    <row r="128" spans="1:15">
      <c r="A128" s="9" t="s">
        <v>160</v>
      </c>
      <c r="B128" s="9" t="s">
        <v>16</v>
      </c>
      <c r="C128" s="9" t="s">
        <v>17</v>
      </c>
      <c r="D128" s="9" t="s">
        <v>25</v>
      </c>
      <c r="E128" s="9" t="s">
        <v>19</v>
      </c>
      <c r="F128" s="9" t="s">
        <v>34</v>
      </c>
      <c r="G128" s="9">
        <v>32.25</v>
      </c>
      <c r="H128" s="9">
        <v>5</v>
      </c>
      <c r="I128" s="9">
        <v>8.0625</v>
      </c>
      <c r="J128" s="9">
        <v>169.3125</v>
      </c>
      <c r="K128" s="10">
        <v>43492</v>
      </c>
      <c r="L128" s="11">
        <v>0.55972222222222223</v>
      </c>
      <c r="M128" s="9" t="s">
        <v>27</v>
      </c>
      <c r="N128" s="9">
        <v>161.25</v>
      </c>
      <c r="O128" s="9">
        <v>9</v>
      </c>
    </row>
    <row r="129" spans="1:15">
      <c r="A129" s="9" t="s">
        <v>161</v>
      </c>
      <c r="B129" s="9" t="s">
        <v>23</v>
      </c>
      <c r="C129" s="9" t="s">
        <v>24</v>
      </c>
      <c r="D129" s="9" t="s">
        <v>25</v>
      </c>
      <c r="E129" s="9" t="s">
        <v>19</v>
      </c>
      <c r="F129" s="9" t="s">
        <v>44</v>
      </c>
      <c r="G129" s="9">
        <v>31.73</v>
      </c>
      <c r="H129" s="9">
        <v>9</v>
      </c>
      <c r="I129" s="9">
        <v>14.278499999999999</v>
      </c>
      <c r="J129" s="9">
        <v>299.8485</v>
      </c>
      <c r="K129" s="10">
        <v>43473</v>
      </c>
      <c r="L129" s="11">
        <v>0.67847222222222225</v>
      </c>
      <c r="M129" s="9" t="s">
        <v>31</v>
      </c>
      <c r="N129" s="9">
        <v>285.57</v>
      </c>
      <c r="O129" s="9">
        <v>5.9</v>
      </c>
    </row>
    <row r="130" spans="1:15">
      <c r="A130" s="9" t="s">
        <v>162</v>
      </c>
      <c r="B130" s="9" t="s">
        <v>23</v>
      </c>
      <c r="C130" s="9" t="s">
        <v>24</v>
      </c>
      <c r="D130" s="9" t="s">
        <v>18</v>
      </c>
      <c r="E130" s="9" t="s">
        <v>19</v>
      </c>
      <c r="F130" s="9" t="s">
        <v>42</v>
      </c>
      <c r="G130" s="9">
        <v>68.540000000000006</v>
      </c>
      <c r="H130" s="9">
        <v>8</v>
      </c>
      <c r="I130" s="9">
        <v>27.416</v>
      </c>
      <c r="J130" s="9">
        <v>575.73599999999999</v>
      </c>
      <c r="K130" s="10">
        <v>43473</v>
      </c>
      <c r="L130" s="11">
        <v>0.6645833333333333</v>
      </c>
      <c r="M130" s="9" t="s">
        <v>21</v>
      </c>
      <c r="N130" s="9">
        <v>548.32000000000005</v>
      </c>
      <c r="O130" s="9">
        <v>8.5</v>
      </c>
    </row>
    <row r="131" spans="1:15">
      <c r="A131" s="9" t="s">
        <v>163</v>
      </c>
      <c r="B131" s="9" t="s">
        <v>40</v>
      </c>
      <c r="C131" s="9" t="s">
        <v>41</v>
      </c>
      <c r="D131" s="9" t="s">
        <v>25</v>
      </c>
      <c r="E131" s="9" t="s">
        <v>19</v>
      </c>
      <c r="F131" s="9" t="s">
        <v>34</v>
      </c>
      <c r="G131" s="9">
        <v>90.28</v>
      </c>
      <c r="H131" s="9">
        <v>9</v>
      </c>
      <c r="I131" s="9">
        <v>40.625999999999998</v>
      </c>
      <c r="J131" s="9">
        <v>853.14599999999996</v>
      </c>
      <c r="K131" s="10">
        <v>43504</v>
      </c>
      <c r="L131" s="11">
        <v>0.46875</v>
      </c>
      <c r="M131" s="9" t="s">
        <v>21</v>
      </c>
      <c r="N131" s="9">
        <v>812.52</v>
      </c>
      <c r="O131" s="9">
        <v>7.2</v>
      </c>
    </row>
    <row r="132" spans="1:15">
      <c r="A132" s="9" t="s">
        <v>164</v>
      </c>
      <c r="B132" s="9" t="s">
        <v>40</v>
      </c>
      <c r="C132" s="9" t="s">
        <v>41</v>
      </c>
      <c r="D132" s="9" t="s">
        <v>25</v>
      </c>
      <c r="E132" s="9" t="s">
        <v>19</v>
      </c>
      <c r="F132" s="9" t="s">
        <v>44</v>
      </c>
      <c r="G132" s="9">
        <v>39.619999999999997</v>
      </c>
      <c r="H132" s="9">
        <v>7</v>
      </c>
      <c r="I132" s="9">
        <v>13.867000000000001</v>
      </c>
      <c r="J132" s="9">
        <v>291.20699999999999</v>
      </c>
      <c r="K132" s="10">
        <v>43490</v>
      </c>
      <c r="L132" s="11">
        <v>0.5541666666666667</v>
      </c>
      <c r="M132" s="9" t="s">
        <v>27</v>
      </c>
      <c r="N132" s="9">
        <v>277.33999999999997</v>
      </c>
      <c r="O132" s="9">
        <v>7.5</v>
      </c>
    </row>
    <row r="133" spans="1:15">
      <c r="A133" s="9" t="s">
        <v>165</v>
      </c>
      <c r="B133" s="9" t="s">
        <v>16</v>
      </c>
      <c r="C133" s="9" t="s">
        <v>17</v>
      </c>
      <c r="D133" s="9" t="s">
        <v>18</v>
      </c>
      <c r="E133" s="9" t="s">
        <v>19</v>
      </c>
      <c r="F133" s="9" t="s">
        <v>34</v>
      </c>
      <c r="G133" s="9">
        <v>92.13</v>
      </c>
      <c r="H133" s="9">
        <v>6</v>
      </c>
      <c r="I133" s="9">
        <v>27.638999999999999</v>
      </c>
      <c r="J133" s="9">
        <v>580.41899999999998</v>
      </c>
      <c r="K133" s="10">
        <v>43530</v>
      </c>
      <c r="L133" s="11">
        <v>0.8569444444444444</v>
      </c>
      <c r="M133" s="9" t="s">
        <v>27</v>
      </c>
      <c r="N133" s="9">
        <v>552.78</v>
      </c>
      <c r="O133" s="9">
        <v>8.3000000000000007</v>
      </c>
    </row>
    <row r="134" spans="1:15">
      <c r="A134" s="9" t="s">
        <v>166</v>
      </c>
      <c r="B134" s="9" t="s">
        <v>40</v>
      </c>
      <c r="C134" s="9" t="s">
        <v>41</v>
      </c>
      <c r="D134" s="9" t="s">
        <v>25</v>
      </c>
      <c r="E134" s="9" t="s">
        <v>19</v>
      </c>
      <c r="F134" s="9" t="s">
        <v>34</v>
      </c>
      <c r="G134" s="9">
        <v>34.840000000000003</v>
      </c>
      <c r="H134" s="9">
        <v>4</v>
      </c>
      <c r="I134" s="9">
        <v>6.968</v>
      </c>
      <c r="J134" s="9">
        <v>146.328</v>
      </c>
      <c r="K134" s="10">
        <v>43506</v>
      </c>
      <c r="L134" s="11">
        <v>0.77500000000000002</v>
      </c>
      <c r="M134" s="9" t="s">
        <v>27</v>
      </c>
      <c r="N134" s="9">
        <v>139.36000000000001</v>
      </c>
      <c r="O134" s="9">
        <v>7.4</v>
      </c>
    </row>
    <row r="135" spans="1:15">
      <c r="A135" s="9" t="s">
        <v>167</v>
      </c>
      <c r="B135" s="9" t="s">
        <v>40</v>
      </c>
      <c r="C135" s="9" t="s">
        <v>41</v>
      </c>
      <c r="D135" s="9" t="s">
        <v>18</v>
      </c>
      <c r="E135" s="9" t="s">
        <v>29</v>
      </c>
      <c r="F135" s="9" t="s">
        <v>26</v>
      </c>
      <c r="G135" s="9">
        <v>87.45</v>
      </c>
      <c r="H135" s="9">
        <v>6</v>
      </c>
      <c r="I135" s="9">
        <v>26.234999999999999</v>
      </c>
      <c r="J135" s="9">
        <v>550.93499999999995</v>
      </c>
      <c r="K135" s="10">
        <v>43513</v>
      </c>
      <c r="L135" s="11">
        <v>0.61111111111111116</v>
      </c>
      <c r="M135" s="9" t="s">
        <v>31</v>
      </c>
      <c r="N135" s="9">
        <v>524.70000000000005</v>
      </c>
      <c r="O135" s="9">
        <v>8.8000000000000007</v>
      </c>
    </row>
    <row r="136" spans="1:15">
      <c r="A136" s="9" t="s">
        <v>168</v>
      </c>
      <c r="B136" s="9" t="s">
        <v>23</v>
      </c>
      <c r="C136" s="9" t="s">
        <v>24</v>
      </c>
      <c r="D136" s="9" t="s">
        <v>25</v>
      </c>
      <c r="E136" s="9" t="s">
        <v>19</v>
      </c>
      <c r="F136" s="9" t="s">
        <v>20</v>
      </c>
      <c r="G136" s="9">
        <v>81.3</v>
      </c>
      <c r="H136" s="9">
        <v>6</v>
      </c>
      <c r="I136" s="9">
        <v>24.39</v>
      </c>
      <c r="J136" s="9">
        <v>512.19000000000005</v>
      </c>
      <c r="K136" s="10">
        <v>43532</v>
      </c>
      <c r="L136" s="11">
        <v>0.69652777777777775</v>
      </c>
      <c r="M136" s="9" t="s">
        <v>21</v>
      </c>
      <c r="N136" s="9">
        <v>487.8</v>
      </c>
      <c r="O136" s="9">
        <v>5.3</v>
      </c>
    </row>
    <row r="137" spans="1:15">
      <c r="A137" s="9" t="s">
        <v>169</v>
      </c>
      <c r="B137" s="9" t="s">
        <v>23</v>
      </c>
      <c r="C137" s="9" t="s">
        <v>24</v>
      </c>
      <c r="D137" s="9" t="s">
        <v>25</v>
      </c>
      <c r="E137" s="9" t="s">
        <v>29</v>
      </c>
      <c r="F137" s="9" t="s">
        <v>44</v>
      </c>
      <c r="G137" s="9">
        <v>90.22</v>
      </c>
      <c r="H137" s="9">
        <v>3</v>
      </c>
      <c r="I137" s="9">
        <v>13.532999999999999</v>
      </c>
      <c r="J137" s="9">
        <v>284.19299999999998</v>
      </c>
      <c r="K137" s="10">
        <v>43514</v>
      </c>
      <c r="L137" s="11">
        <v>0.81874999999999998</v>
      </c>
      <c r="M137" s="9" t="s">
        <v>27</v>
      </c>
      <c r="N137" s="9">
        <v>270.66000000000003</v>
      </c>
      <c r="O137" s="9">
        <v>6.2</v>
      </c>
    </row>
    <row r="138" spans="1:15">
      <c r="A138" s="9" t="s">
        <v>170</v>
      </c>
      <c r="B138" s="9" t="s">
        <v>16</v>
      </c>
      <c r="C138" s="9" t="s">
        <v>17</v>
      </c>
      <c r="D138" s="9" t="s">
        <v>25</v>
      </c>
      <c r="E138" s="9" t="s">
        <v>19</v>
      </c>
      <c r="F138" s="9" t="s">
        <v>26</v>
      </c>
      <c r="G138" s="9">
        <v>26.31</v>
      </c>
      <c r="H138" s="9">
        <v>5</v>
      </c>
      <c r="I138" s="9">
        <v>6.5774999999999997</v>
      </c>
      <c r="J138" s="9">
        <v>138.1275</v>
      </c>
      <c r="K138" s="10">
        <v>43483</v>
      </c>
      <c r="L138" s="11">
        <v>0.87430555555555556</v>
      </c>
      <c r="M138" s="9" t="s">
        <v>31</v>
      </c>
      <c r="N138" s="9">
        <v>131.55000000000001</v>
      </c>
      <c r="O138" s="9">
        <v>8.8000000000000007</v>
      </c>
    </row>
    <row r="139" spans="1:15">
      <c r="A139" s="9" t="s">
        <v>171</v>
      </c>
      <c r="B139" s="9" t="s">
        <v>16</v>
      </c>
      <c r="C139" s="9" t="s">
        <v>17</v>
      </c>
      <c r="D139" s="9" t="s">
        <v>18</v>
      </c>
      <c r="E139" s="9" t="s">
        <v>19</v>
      </c>
      <c r="F139" s="9" t="s">
        <v>30</v>
      </c>
      <c r="G139" s="9">
        <v>34.42</v>
      </c>
      <c r="H139" s="9">
        <v>6</v>
      </c>
      <c r="I139" s="9">
        <v>10.326000000000001</v>
      </c>
      <c r="J139" s="9">
        <v>216.846</v>
      </c>
      <c r="K139" s="10">
        <v>43514</v>
      </c>
      <c r="L139" s="11">
        <v>0.65208333333333335</v>
      </c>
      <c r="M139" s="9" t="s">
        <v>27</v>
      </c>
      <c r="N139" s="9">
        <v>206.52</v>
      </c>
      <c r="O139" s="9">
        <v>9.8000000000000007</v>
      </c>
    </row>
    <row r="140" spans="1:15">
      <c r="A140" s="9" t="s">
        <v>172</v>
      </c>
      <c r="B140" s="9" t="s">
        <v>40</v>
      </c>
      <c r="C140" s="9" t="s">
        <v>41</v>
      </c>
      <c r="D140" s="9" t="s">
        <v>25</v>
      </c>
      <c r="E140" s="9" t="s">
        <v>29</v>
      </c>
      <c r="F140" s="9" t="s">
        <v>34</v>
      </c>
      <c r="G140" s="9">
        <v>51.91</v>
      </c>
      <c r="H140" s="9">
        <v>10</v>
      </c>
      <c r="I140" s="9">
        <v>25.954999999999998</v>
      </c>
      <c r="J140" s="9">
        <v>545.05499999999995</v>
      </c>
      <c r="K140" s="10">
        <v>43512</v>
      </c>
      <c r="L140" s="11">
        <v>0.51458333333333328</v>
      </c>
      <c r="M140" s="9" t="s">
        <v>27</v>
      </c>
      <c r="N140" s="9">
        <v>519.1</v>
      </c>
      <c r="O140" s="9">
        <v>8.1999999999999993</v>
      </c>
    </row>
    <row r="141" spans="1:15">
      <c r="A141" s="9" t="s">
        <v>173</v>
      </c>
      <c r="B141" s="9" t="s">
        <v>16</v>
      </c>
      <c r="C141" s="9" t="s">
        <v>17</v>
      </c>
      <c r="D141" s="9" t="s">
        <v>25</v>
      </c>
      <c r="E141" s="9" t="s">
        <v>29</v>
      </c>
      <c r="F141" s="9" t="s">
        <v>34</v>
      </c>
      <c r="G141" s="9">
        <v>72.5</v>
      </c>
      <c r="H141" s="9">
        <v>8</v>
      </c>
      <c r="I141" s="9">
        <v>29</v>
      </c>
      <c r="J141" s="9">
        <v>609</v>
      </c>
      <c r="K141" s="10">
        <v>43540</v>
      </c>
      <c r="L141" s="11">
        <v>0.80902777777777779</v>
      </c>
      <c r="M141" s="9" t="s">
        <v>21</v>
      </c>
      <c r="N141" s="9">
        <v>580</v>
      </c>
      <c r="O141" s="9">
        <v>9.1999999999999993</v>
      </c>
    </row>
    <row r="142" spans="1:15">
      <c r="A142" s="9" t="s">
        <v>174</v>
      </c>
      <c r="B142" s="9" t="s">
        <v>23</v>
      </c>
      <c r="C142" s="9" t="s">
        <v>24</v>
      </c>
      <c r="D142" s="9" t="s">
        <v>18</v>
      </c>
      <c r="E142" s="9" t="s">
        <v>19</v>
      </c>
      <c r="F142" s="9" t="s">
        <v>34</v>
      </c>
      <c r="G142" s="9">
        <v>89.8</v>
      </c>
      <c r="H142" s="9">
        <v>10</v>
      </c>
      <c r="I142" s="9">
        <v>44.9</v>
      </c>
      <c r="J142" s="9">
        <v>942.9</v>
      </c>
      <c r="K142" s="10">
        <v>43488</v>
      </c>
      <c r="L142" s="11">
        <v>0.54166666666666663</v>
      </c>
      <c r="M142" s="9" t="s">
        <v>31</v>
      </c>
      <c r="N142" s="9">
        <v>898</v>
      </c>
      <c r="O142" s="9">
        <v>5.4</v>
      </c>
    </row>
    <row r="143" spans="1:15">
      <c r="A143" s="9" t="s">
        <v>175</v>
      </c>
      <c r="B143" s="9" t="s">
        <v>23</v>
      </c>
      <c r="C143" s="9" t="s">
        <v>24</v>
      </c>
      <c r="D143" s="9" t="s">
        <v>18</v>
      </c>
      <c r="E143" s="9" t="s">
        <v>29</v>
      </c>
      <c r="F143" s="9" t="s">
        <v>20</v>
      </c>
      <c r="G143" s="9">
        <v>90.5</v>
      </c>
      <c r="H143" s="9">
        <v>10</v>
      </c>
      <c r="I143" s="9">
        <v>45.25</v>
      </c>
      <c r="J143" s="9">
        <v>950.25</v>
      </c>
      <c r="K143" s="10">
        <v>43490</v>
      </c>
      <c r="L143" s="11">
        <v>0.57499999999999996</v>
      </c>
      <c r="M143" s="9" t="s">
        <v>27</v>
      </c>
      <c r="N143" s="9">
        <v>905</v>
      </c>
      <c r="O143" s="9">
        <v>8.1</v>
      </c>
    </row>
    <row r="144" spans="1:15">
      <c r="A144" s="9" t="s">
        <v>176</v>
      </c>
      <c r="B144" s="9" t="s">
        <v>23</v>
      </c>
      <c r="C144" s="9" t="s">
        <v>24</v>
      </c>
      <c r="D144" s="9" t="s">
        <v>18</v>
      </c>
      <c r="E144" s="9" t="s">
        <v>19</v>
      </c>
      <c r="F144" s="9" t="s">
        <v>20</v>
      </c>
      <c r="G144" s="9">
        <v>68.599999999999994</v>
      </c>
      <c r="H144" s="9">
        <v>10</v>
      </c>
      <c r="I144" s="9">
        <v>34.299999999999997</v>
      </c>
      <c r="J144" s="9">
        <v>720.3</v>
      </c>
      <c r="K144" s="10">
        <v>43501</v>
      </c>
      <c r="L144" s="11">
        <v>0.83125000000000004</v>
      </c>
      <c r="M144" s="9" t="s">
        <v>27</v>
      </c>
      <c r="N144" s="9">
        <v>686</v>
      </c>
      <c r="O144" s="9">
        <v>9.1</v>
      </c>
    </row>
    <row r="145" spans="1:15">
      <c r="A145" s="9" t="s">
        <v>177</v>
      </c>
      <c r="B145" s="9" t="s">
        <v>23</v>
      </c>
      <c r="C145" s="9" t="s">
        <v>24</v>
      </c>
      <c r="D145" s="9" t="s">
        <v>18</v>
      </c>
      <c r="E145" s="9" t="s">
        <v>19</v>
      </c>
      <c r="F145" s="9" t="s">
        <v>42</v>
      </c>
      <c r="G145" s="9">
        <v>30.41</v>
      </c>
      <c r="H145" s="9">
        <v>1</v>
      </c>
      <c r="I145" s="9">
        <v>1.5205</v>
      </c>
      <c r="J145" s="9">
        <v>31.930499999999999</v>
      </c>
      <c r="K145" s="10">
        <v>43518</v>
      </c>
      <c r="L145" s="11">
        <v>0.44166666666666665</v>
      </c>
      <c r="M145" s="9" t="s">
        <v>31</v>
      </c>
      <c r="N145" s="9">
        <v>30.41</v>
      </c>
      <c r="O145" s="9">
        <v>8.4</v>
      </c>
    </row>
    <row r="146" spans="1:15">
      <c r="A146" s="9" t="s">
        <v>178</v>
      </c>
      <c r="B146" s="9" t="s">
        <v>16</v>
      </c>
      <c r="C146" s="9" t="s">
        <v>17</v>
      </c>
      <c r="D146" s="9" t="s">
        <v>25</v>
      </c>
      <c r="E146" s="9" t="s">
        <v>19</v>
      </c>
      <c r="F146" s="9" t="s">
        <v>30</v>
      </c>
      <c r="G146" s="9">
        <v>77.95</v>
      </c>
      <c r="H146" s="9">
        <v>6</v>
      </c>
      <c r="I146" s="9">
        <v>23.385000000000002</v>
      </c>
      <c r="J146" s="9">
        <v>491.08499999999998</v>
      </c>
      <c r="K146" s="10">
        <v>43486</v>
      </c>
      <c r="L146" s="11">
        <v>0.69236111111111109</v>
      </c>
      <c r="M146" s="9" t="s">
        <v>21</v>
      </c>
      <c r="N146" s="9">
        <v>467.7</v>
      </c>
      <c r="O146" s="9">
        <v>8</v>
      </c>
    </row>
    <row r="147" spans="1:15">
      <c r="A147" s="9" t="s">
        <v>179</v>
      </c>
      <c r="B147" s="9" t="s">
        <v>23</v>
      </c>
      <c r="C147" s="9" t="s">
        <v>24</v>
      </c>
      <c r="D147" s="9" t="s">
        <v>25</v>
      </c>
      <c r="E147" s="9" t="s">
        <v>19</v>
      </c>
      <c r="F147" s="9" t="s">
        <v>20</v>
      </c>
      <c r="G147" s="9">
        <v>46.26</v>
      </c>
      <c r="H147" s="9">
        <v>6</v>
      </c>
      <c r="I147" s="9">
        <v>13.878</v>
      </c>
      <c r="J147" s="9">
        <v>291.43799999999999</v>
      </c>
      <c r="K147" s="10">
        <v>43532</v>
      </c>
      <c r="L147" s="11">
        <v>0.71597222222222223</v>
      </c>
      <c r="M147" s="9" t="s">
        <v>31</v>
      </c>
      <c r="N147" s="9">
        <v>277.56</v>
      </c>
      <c r="O147" s="9">
        <v>9.5</v>
      </c>
    </row>
    <row r="148" spans="1:15">
      <c r="A148" s="9" t="s">
        <v>180</v>
      </c>
      <c r="B148" s="9" t="s">
        <v>16</v>
      </c>
      <c r="C148" s="9" t="s">
        <v>17</v>
      </c>
      <c r="D148" s="9" t="s">
        <v>18</v>
      </c>
      <c r="E148" s="9" t="s">
        <v>19</v>
      </c>
      <c r="F148" s="9" t="s">
        <v>44</v>
      </c>
      <c r="G148" s="9">
        <v>30.14</v>
      </c>
      <c r="H148" s="9">
        <v>10</v>
      </c>
      <c r="I148" s="9">
        <v>15.07</v>
      </c>
      <c r="J148" s="9">
        <v>316.47000000000003</v>
      </c>
      <c r="K148" s="10">
        <v>43506</v>
      </c>
      <c r="L148" s="11">
        <v>0.51944444444444449</v>
      </c>
      <c r="M148" s="9" t="s">
        <v>21</v>
      </c>
      <c r="N148" s="9">
        <v>301.39999999999998</v>
      </c>
      <c r="O148" s="9">
        <v>9.1999999999999993</v>
      </c>
    </row>
    <row r="149" spans="1:15">
      <c r="A149" s="9" t="s">
        <v>181</v>
      </c>
      <c r="B149" s="9" t="s">
        <v>23</v>
      </c>
      <c r="C149" s="9" t="s">
        <v>24</v>
      </c>
      <c r="D149" s="9" t="s">
        <v>25</v>
      </c>
      <c r="E149" s="9" t="s">
        <v>29</v>
      </c>
      <c r="F149" s="9" t="s">
        <v>20</v>
      </c>
      <c r="G149" s="9">
        <v>66.14</v>
      </c>
      <c r="H149" s="9">
        <v>4</v>
      </c>
      <c r="I149" s="9">
        <v>13.228</v>
      </c>
      <c r="J149" s="9">
        <v>277.78800000000001</v>
      </c>
      <c r="K149" s="10">
        <v>43543</v>
      </c>
      <c r="L149" s="11">
        <v>0.53194444444444444</v>
      </c>
      <c r="M149" s="9" t="s">
        <v>31</v>
      </c>
      <c r="N149" s="9">
        <v>264.56</v>
      </c>
      <c r="O149" s="9">
        <v>5.6</v>
      </c>
    </row>
    <row r="150" spans="1:15">
      <c r="A150" s="9" t="s">
        <v>182</v>
      </c>
      <c r="B150" s="9" t="s">
        <v>40</v>
      </c>
      <c r="C150" s="9" t="s">
        <v>41</v>
      </c>
      <c r="D150" s="9" t="s">
        <v>18</v>
      </c>
      <c r="E150" s="9" t="s">
        <v>29</v>
      </c>
      <c r="F150" s="9" t="s">
        <v>30</v>
      </c>
      <c r="G150" s="9">
        <v>71.86</v>
      </c>
      <c r="H150" s="9">
        <v>8</v>
      </c>
      <c r="I150" s="9">
        <v>28.744</v>
      </c>
      <c r="J150" s="9">
        <v>603.62400000000002</v>
      </c>
      <c r="K150" s="10">
        <v>43530</v>
      </c>
      <c r="L150" s="11">
        <v>0.62986111111111109</v>
      </c>
      <c r="M150" s="9" t="s">
        <v>31</v>
      </c>
      <c r="N150" s="9">
        <v>574.88</v>
      </c>
      <c r="O150" s="9">
        <v>6.2</v>
      </c>
    </row>
    <row r="151" spans="1:15">
      <c r="A151" s="9" t="s">
        <v>183</v>
      </c>
      <c r="B151" s="9" t="s">
        <v>16</v>
      </c>
      <c r="C151" s="9" t="s">
        <v>17</v>
      </c>
      <c r="D151" s="9" t="s">
        <v>25</v>
      </c>
      <c r="E151" s="9" t="s">
        <v>29</v>
      </c>
      <c r="F151" s="9" t="s">
        <v>20</v>
      </c>
      <c r="G151" s="9">
        <v>32.46</v>
      </c>
      <c r="H151" s="9">
        <v>8</v>
      </c>
      <c r="I151" s="9">
        <v>12.984</v>
      </c>
      <c r="J151" s="9">
        <v>272.66399999999999</v>
      </c>
      <c r="K151" s="10">
        <v>43551</v>
      </c>
      <c r="L151" s="11">
        <v>0.57499999999999996</v>
      </c>
      <c r="M151" s="9" t="s">
        <v>31</v>
      </c>
      <c r="N151" s="9">
        <v>259.68</v>
      </c>
      <c r="O151" s="9">
        <v>4.9000000000000004</v>
      </c>
    </row>
    <row r="152" spans="1:15">
      <c r="A152" s="9" t="s">
        <v>184</v>
      </c>
      <c r="B152" s="9" t="s">
        <v>40</v>
      </c>
      <c r="C152" s="9" t="s">
        <v>41</v>
      </c>
      <c r="D152" s="9" t="s">
        <v>18</v>
      </c>
      <c r="E152" s="9" t="s">
        <v>19</v>
      </c>
      <c r="F152" s="9" t="s">
        <v>44</v>
      </c>
      <c r="G152" s="9">
        <v>91.54</v>
      </c>
      <c r="H152" s="9">
        <v>4</v>
      </c>
      <c r="I152" s="9">
        <v>18.308</v>
      </c>
      <c r="J152" s="9">
        <v>384.46800000000002</v>
      </c>
      <c r="K152" s="10">
        <v>43547</v>
      </c>
      <c r="L152" s="11">
        <v>0.80555555555555558</v>
      </c>
      <c r="M152" s="9" t="s">
        <v>31</v>
      </c>
      <c r="N152" s="9">
        <v>366.16</v>
      </c>
      <c r="O152" s="9">
        <v>4.8</v>
      </c>
    </row>
    <row r="153" spans="1:15">
      <c r="A153" s="9" t="s">
        <v>185</v>
      </c>
      <c r="B153" s="9" t="s">
        <v>23</v>
      </c>
      <c r="C153" s="9" t="s">
        <v>24</v>
      </c>
      <c r="D153" s="9" t="s">
        <v>18</v>
      </c>
      <c r="E153" s="9" t="s">
        <v>29</v>
      </c>
      <c r="F153" s="9" t="s">
        <v>34</v>
      </c>
      <c r="G153" s="9">
        <v>34.56</v>
      </c>
      <c r="H153" s="9">
        <v>7</v>
      </c>
      <c r="I153" s="9">
        <v>12.096</v>
      </c>
      <c r="J153" s="9">
        <v>254.01599999999999</v>
      </c>
      <c r="K153" s="10">
        <v>43535</v>
      </c>
      <c r="L153" s="11">
        <v>0.67152777777777772</v>
      </c>
      <c r="M153" s="9" t="s">
        <v>31</v>
      </c>
      <c r="N153" s="9">
        <v>241.92</v>
      </c>
      <c r="O153" s="9">
        <v>7.3</v>
      </c>
    </row>
    <row r="154" spans="1:15">
      <c r="A154" s="9" t="s">
        <v>186</v>
      </c>
      <c r="B154" s="9" t="s">
        <v>16</v>
      </c>
      <c r="C154" s="9" t="s">
        <v>17</v>
      </c>
      <c r="D154" s="9" t="s">
        <v>25</v>
      </c>
      <c r="E154" s="9" t="s">
        <v>29</v>
      </c>
      <c r="F154" s="9" t="s">
        <v>44</v>
      </c>
      <c r="G154" s="9">
        <v>83.24</v>
      </c>
      <c r="H154" s="9">
        <v>9</v>
      </c>
      <c r="I154" s="9">
        <v>37.457999999999998</v>
      </c>
      <c r="J154" s="9">
        <v>786.61800000000005</v>
      </c>
      <c r="K154" s="10">
        <v>43494</v>
      </c>
      <c r="L154" s="11">
        <v>0.49722222222222223</v>
      </c>
      <c r="M154" s="9" t="s">
        <v>31</v>
      </c>
      <c r="N154" s="9">
        <v>749.16</v>
      </c>
      <c r="O154" s="9">
        <v>7.4</v>
      </c>
    </row>
    <row r="155" spans="1:15">
      <c r="A155" s="9" t="s">
        <v>187</v>
      </c>
      <c r="B155" s="9" t="s">
        <v>23</v>
      </c>
      <c r="C155" s="9" t="s">
        <v>24</v>
      </c>
      <c r="D155" s="9" t="s">
        <v>25</v>
      </c>
      <c r="E155" s="9" t="s">
        <v>19</v>
      </c>
      <c r="F155" s="9" t="s">
        <v>42</v>
      </c>
      <c r="G155" s="9">
        <v>16.48</v>
      </c>
      <c r="H155" s="9">
        <v>6</v>
      </c>
      <c r="I155" s="9">
        <v>4.944</v>
      </c>
      <c r="J155" s="9">
        <v>103.824</v>
      </c>
      <c r="K155" s="10">
        <v>43503</v>
      </c>
      <c r="L155" s="11">
        <v>0.76597222222222228</v>
      </c>
      <c r="M155" s="9" t="s">
        <v>21</v>
      </c>
      <c r="N155" s="9">
        <v>98.88</v>
      </c>
      <c r="O155" s="9">
        <v>9.9</v>
      </c>
    </row>
    <row r="156" spans="1:15">
      <c r="A156" s="9" t="s">
        <v>188</v>
      </c>
      <c r="B156" s="9" t="s">
        <v>23</v>
      </c>
      <c r="C156" s="9" t="s">
        <v>24</v>
      </c>
      <c r="D156" s="9" t="s">
        <v>25</v>
      </c>
      <c r="E156" s="9" t="s">
        <v>19</v>
      </c>
      <c r="F156" s="9" t="s">
        <v>34</v>
      </c>
      <c r="G156" s="9">
        <v>80.97</v>
      </c>
      <c r="H156" s="9">
        <v>8</v>
      </c>
      <c r="I156" s="9">
        <v>32.387999999999998</v>
      </c>
      <c r="J156" s="9">
        <v>680.14800000000002</v>
      </c>
      <c r="K156" s="10">
        <v>43493</v>
      </c>
      <c r="L156" s="11">
        <v>0.54513888888888884</v>
      </c>
      <c r="M156" s="9" t="s">
        <v>27</v>
      </c>
      <c r="N156" s="9">
        <v>647.76</v>
      </c>
      <c r="O156" s="9">
        <v>9.3000000000000007</v>
      </c>
    </row>
    <row r="157" spans="1:15">
      <c r="A157" s="9" t="s">
        <v>189</v>
      </c>
      <c r="B157" s="9" t="s">
        <v>16</v>
      </c>
      <c r="C157" s="9" t="s">
        <v>17</v>
      </c>
      <c r="D157" s="9" t="s">
        <v>18</v>
      </c>
      <c r="E157" s="9" t="s">
        <v>29</v>
      </c>
      <c r="F157" s="9" t="s">
        <v>42</v>
      </c>
      <c r="G157" s="9">
        <v>92.29</v>
      </c>
      <c r="H157" s="9">
        <v>5</v>
      </c>
      <c r="I157" s="9">
        <v>23.072500000000002</v>
      </c>
      <c r="J157" s="9">
        <v>484.52249999999998</v>
      </c>
      <c r="K157" s="10">
        <v>43516</v>
      </c>
      <c r="L157" s="11">
        <v>0.66319444444444442</v>
      </c>
      <c r="M157" s="9" t="s">
        <v>31</v>
      </c>
      <c r="N157" s="9">
        <v>461.45</v>
      </c>
      <c r="O157" s="9">
        <v>9</v>
      </c>
    </row>
    <row r="158" spans="1:15">
      <c r="A158" s="9" t="s">
        <v>190</v>
      </c>
      <c r="B158" s="9" t="s">
        <v>40</v>
      </c>
      <c r="C158" s="9" t="s">
        <v>41</v>
      </c>
      <c r="D158" s="9" t="s">
        <v>18</v>
      </c>
      <c r="E158" s="9" t="s">
        <v>29</v>
      </c>
      <c r="F158" s="9" t="s">
        <v>26</v>
      </c>
      <c r="G158" s="9">
        <v>72.17</v>
      </c>
      <c r="H158" s="9">
        <v>1</v>
      </c>
      <c r="I158" s="9">
        <v>3.6084999999999998</v>
      </c>
      <c r="J158" s="9">
        <v>75.778499999999994</v>
      </c>
      <c r="K158" s="10">
        <v>43469</v>
      </c>
      <c r="L158" s="11">
        <v>0.81944444444444442</v>
      </c>
      <c r="M158" s="9" t="s">
        <v>27</v>
      </c>
      <c r="N158" s="9">
        <v>72.17</v>
      </c>
      <c r="O158" s="9">
        <v>6.1</v>
      </c>
    </row>
    <row r="159" spans="1:15">
      <c r="A159" s="9" t="s">
        <v>191</v>
      </c>
      <c r="B159" s="9" t="s">
        <v>40</v>
      </c>
      <c r="C159" s="9" t="s">
        <v>41</v>
      </c>
      <c r="D159" s="9" t="s">
        <v>25</v>
      </c>
      <c r="E159" s="9" t="s">
        <v>29</v>
      </c>
      <c r="F159" s="9" t="s">
        <v>30</v>
      </c>
      <c r="G159" s="9">
        <v>50.28</v>
      </c>
      <c r="H159" s="9">
        <v>5</v>
      </c>
      <c r="I159" s="9">
        <v>12.57</v>
      </c>
      <c r="J159" s="9">
        <v>263.97000000000003</v>
      </c>
      <c r="K159" s="10">
        <v>43531</v>
      </c>
      <c r="L159" s="11">
        <v>0.58194444444444449</v>
      </c>
      <c r="M159" s="9" t="s">
        <v>21</v>
      </c>
      <c r="N159" s="9">
        <v>251.4</v>
      </c>
      <c r="O159" s="9">
        <v>9.6999999999999993</v>
      </c>
    </row>
    <row r="160" spans="1:15">
      <c r="A160" s="9" t="s">
        <v>192</v>
      </c>
      <c r="B160" s="9" t="s">
        <v>40</v>
      </c>
      <c r="C160" s="9" t="s">
        <v>41</v>
      </c>
      <c r="D160" s="9" t="s">
        <v>18</v>
      </c>
      <c r="E160" s="9" t="s">
        <v>29</v>
      </c>
      <c r="F160" s="9" t="s">
        <v>20</v>
      </c>
      <c r="G160" s="9">
        <v>97.22</v>
      </c>
      <c r="H160" s="9">
        <v>9</v>
      </c>
      <c r="I160" s="9">
        <v>43.749000000000002</v>
      </c>
      <c r="J160" s="9">
        <v>918.72900000000004</v>
      </c>
      <c r="K160" s="10">
        <v>43554</v>
      </c>
      <c r="L160" s="11">
        <v>0.61319444444444449</v>
      </c>
      <c r="M160" s="9" t="s">
        <v>21</v>
      </c>
      <c r="N160" s="9">
        <v>874.98</v>
      </c>
      <c r="O160" s="9">
        <v>6</v>
      </c>
    </row>
    <row r="161" spans="1:15">
      <c r="A161" s="9" t="s">
        <v>193</v>
      </c>
      <c r="B161" s="9" t="s">
        <v>40</v>
      </c>
      <c r="C161" s="9" t="s">
        <v>41</v>
      </c>
      <c r="D161" s="9" t="s">
        <v>25</v>
      </c>
      <c r="E161" s="9" t="s">
        <v>29</v>
      </c>
      <c r="F161" s="9" t="s">
        <v>34</v>
      </c>
      <c r="G161" s="9">
        <v>93.39</v>
      </c>
      <c r="H161" s="9">
        <v>6</v>
      </c>
      <c r="I161" s="9">
        <v>28.016999999999999</v>
      </c>
      <c r="J161" s="9">
        <v>588.35699999999997</v>
      </c>
      <c r="K161" s="10">
        <v>43551</v>
      </c>
      <c r="L161" s="11">
        <v>0.8041666666666667</v>
      </c>
      <c r="M161" s="9" t="s">
        <v>21</v>
      </c>
      <c r="N161" s="9">
        <v>560.34</v>
      </c>
      <c r="O161" s="9">
        <v>10</v>
      </c>
    </row>
    <row r="162" spans="1:15">
      <c r="A162" s="9" t="s">
        <v>194</v>
      </c>
      <c r="B162" s="9" t="s">
        <v>23</v>
      </c>
      <c r="C162" s="9" t="s">
        <v>24</v>
      </c>
      <c r="D162" s="9" t="s">
        <v>25</v>
      </c>
      <c r="E162" s="9" t="s">
        <v>19</v>
      </c>
      <c r="F162" s="9" t="s">
        <v>42</v>
      </c>
      <c r="G162" s="9">
        <v>43.18</v>
      </c>
      <c r="H162" s="9">
        <v>8</v>
      </c>
      <c r="I162" s="9">
        <v>17.271999999999998</v>
      </c>
      <c r="J162" s="9">
        <v>362.71199999999999</v>
      </c>
      <c r="K162" s="10">
        <v>43484</v>
      </c>
      <c r="L162" s="11">
        <v>0.81874999999999998</v>
      </c>
      <c r="M162" s="9" t="s">
        <v>31</v>
      </c>
      <c r="N162" s="9">
        <v>345.44</v>
      </c>
      <c r="O162" s="9">
        <v>8.3000000000000007</v>
      </c>
    </row>
    <row r="163" spans="1:15">
      <c r="A163" s="9" t="s">
        <v>195</v>
      </c>
      <c r="B163" s="9" t="s">
        <v>16</v>
      </c>
      <c r="C163" s="9" t="s">
        <v>17</v>
      </c>
      <c r="D163" s="9" t="s">
        <v>25</v>
      </c>
      <c r="E163" s="9" t="s">
        <v>29</v>
      </c>
      <c r="F163" s="9" t="s">
        <v>34</v>
      </c>
      <c r="G163" s="9">
        <v>63.69</v>
      </c>
      <c r="H163" s="9">
        <v>1</v>
      </c>
      <c r="I163" s="9">
        <v>3.1844999999999999</v>
      </c>
      <c r="J163" s="9">
        <v>66.874499999999998</v>
      </c>
      <c r="K163" s="10">
        <v>43521</v>
      </c>
      <c r="L163" s="11">
        <v>0.68125000000000002</v>
      </c>
      <c r="M163" s="9" t="s">
        <v>27</v>
      </c>
      <c r="N163" s="9">
        <v>63.69</v>
      </c>
      <c r="O163" s="9">
        <v>6</v>
      </c>
    </row>
    <row r="164" spans="1:15">
      <c r="A164" s="9" t="s">
        <v>196</v>
      </c>
      <c r="B164" s="9" t="s">
        <v>16</v>
      </c>
      <c r="C164" s="9" t="s">
        <v>17</v>
      </c>
      <c r="D164" s="9" t="s">
        <v>25</v>
      </c>
      <c r="E164" s="9" t="s">
        <v>29</v>
      </c>
      <c r="F164" s="9" t="s">
        <v>42</v>
      </c>
      <c r="G164" s="9">
        <v>45.79</v>
      </c>
      <c r="H164" s="9">
        <v>7</v>
      </c>
      <c r="I164" s="9">
        <v>16.026499999999999</v>
      </c>
      <c r="J164" s="9">
        <v>336.55650000000003</v>
      </c>
      <c r="K164" s="10">
        <v>43537</v>
      </c>
      <c r="L164" s="11">
        <v>0.82222222222222219</v>
      </c>
      <c r="M164" s="9" t="s">
        <v>31</v>
      </c>
      <c r="N164" s="9">
        <v>320.52999999999997</v>
      </c>
      <c r="O164" s="9">
        <v>7</v>
      </c>
    </row>
    <row r="165" spans="1:15">
      <c r="A165" s="9" t="s">
        <v>197</v>
      </c>
      <c r="B165" s="9" t="s">
        <v>23</v>
      </c>
      <c r="C165" s="9" t="s">
        <v>24</v>
      </c>
      <c r="D165" s="9" t="s">
        <v>25</v>
      </c>
      <c r="E165" s="9" t="s">
        <v>29</v>
      </c>
      <c r="F165" s="9" t="s">
        <v>34</v>
      </c>
      <c r="G165" s="9">
        <v>76.400000000000006</v>
      </c>
      <c r="H165" s="9">
        <v>2</v>
      </c>
      <c r="I165" s="9">
        <v>7.64</v>
      </c>
      <c r="J165" s="9">
        <v>160.44</v>
      </c>
      <c r="K165" s="10">
        <v>43495</v>
      </c>
      <c r="L165" s="11">
        <v>0.8208333333333333</v>
      </c>
      <c r="M165" s="9" t="s">
        <v>21</v>
      </c>
      <c r="N165" s="9">
        <v>152.80000000000001</v>
      </c>
      <c r="O165" s="9">
        <v>6.5</v>
      </c>
    </row>
    <row r="166" spans="1:15">
      <c r="A166" s="9" t="s">
        <v>198</v>
      </c>
      <c r="B166" s="9" t="s">
        <v>40</v>
      </c>
      <c r="C166" s="9" t="s">
        <v>41</v>
      </c>
      <c r="D166" s="9" t="s">
        <v>25</v>
      </c>
      <c r="E166" s="9" t="s">
        <v>29</v>
      </c>
      <c r="F166" s="9" t="s">
        <v>42</v>
      </c>
      <c r="G166" s="9">
        <v>39.9</v>
      </c>
      <c r="H166" s="9">
        <v>10</v>
      </c>
      <c r="I166" s="9">
        <v>19.95</v>
      </c>
      <c r="J166" s="9">
        <v>418.95</v>
      </c>
      <c r="K166" s="10">
        <v>43516</v>
      </c>
      <c r="L166" s="11">
        <v>0.64166666666666672</v>
      </c>
      <c r="M166" s="9" t="s">
        <v>31</v>
      </c>
      <c r="N166" s="9">
        <v>399</v>
      </c>
      <c r="O166" s="9">
        <v>5.9</v>
      </c>
    </row>
    <row r="167" spans="1:15">
      <c r="A167" s="9" t="s">
        <v>199</v>
      </c>
      <c r="B167" s="9" t="s">
        <v>40</v>
      </c>
      <c r="C167" s="9" t="s">
        <v>41</v>
      </c>
      <c r="D167" s="9" t="s">
        <v>18</v>
      </c>
      <c r="E167" s="9" t="s">
        <v>29</v>
      </c>
      <c r="F167" s="9" t="s">
        <v>20</v>
      </c>
      <c r="G167" s="9">
        <v>42.57</v>
      </c>
      <c r="H167" s="9">
        <v>8</v>
      </c>
      <c r="I167" s="9">
        <v>17.027999999999999</v>
      </c>
      <c r="J167" s="9">
        <v>357.58800000000002</v>
      </c>
      <c r="K167" s="10">
        <v>43521</v>
      </c>
      <c r="L167" s="11">
        <v>0.59166666666666667</v>
      </c>
      <c r="M167" s="9" t="s">
        <v>21</v>
      </c>
      <c r="N167" s="9">
        <v>340.56</v>
      </c>
      <c r="O167" s="9">
        <v>5.6</v>
      </c>
    </row>
    <row r="168" spans="1:15">
      <c r="A168" s="9" t="s">
        <v>200</v>
      </c>
      <c r="B168" s="9" t="s">
        <v>23</v>
      </c>
      <c r="C168" s="9" t="s">
        <v>24</v>
      </c>
      <c r="D168" s="9" t="s">
        <v>25</v>
      </c>
      <c r="E168" s="9" t="s">
        <v>29</v>
      </c>
      <c r="F168" s="9" t="s">
        <v>30</v>
      </c>
      <c r="G168" s="9">
        <v>95.58</v>
      </c>
      <c r="H168" s="9">
        <v>10</v>
      </c>
      <c r="I168" s="9">
        <v>47.79</v>
      </c>
      <c r="J168" s="9">
        <v>1003.59</v>
      </c>
      <c r="K168" s="10">
        <v>43481</v>
      </c>
      <c r="L168" s="11">
        <v>0.56388888888888888</v>
      </c>
      <c r="M168" s="9" t="s">
        <v>27</v>
      </c>
      <c r="N168" s="9">
        <v>955.8</v>
      </c>
      <c r="O168" s="9">
        <v>4.8</v>
      </c>
    </row>
    <row r="169" spans="1:15">
      <c r="A169" s="9" t="s">
        <v>201</v>
      </c>
      <c r="B169" s="9" t="s">
        <v>16</v>
      </c>
      <c r="C169" s="9" t="s">
        <v>17</v>
      </c>
      <c r="D169" s="9" t="s">
        <v>25</v>
      </c>
      <c r="E169" s="9" t="s">
        <v>29</v>
      </c>
      <c r="F169" s="9" t="s">
        <v>44</v>
      </c>
      <c r="G169" s="9">
        <v>98.98</v>
      </c>
      <c r="H169" s="9">
        <v>10</v>
      </c>
      <c r="I169" s="9">
        <v>49.49</v>
      </c>
      <c r="J169" s="9">
        <v>1039.29</v>
      </c>
      <c r="K169" s="10">
        <v>43504</v>
      </c>
      <c r="L169" s="11">
        <v>0.68055555555555558</v>
      </c>
      <c r="M169" s="9" t="s">
        <v>31</v>
      </c>
      <c r="N169" s="9">
        <v>989.8</v>
      </c>
      <c r="O169" s="9">
        <v>8.6999999999999993</v>
      </c>
    </row>
    <row r="170" spans="1:15">
      <c r="A170" s="9" t="s">
        <v>202</v>
      </c>
      <c r="B170" s="9" t="s">
        <v>16</v>
      </c>
      <c r="C170" s="9" t="s">
        <v>17</v>
      </c>
      <c r="D170" s="9" t="s">
        <v>25</v>
      </c>
      <c r="E170" s="9" t="s">
        <v>29</v>
      </c>
      <c r="F170" s="9" t="s">
        <v>42</v>
      </c>
      <c r="G170" s="9">
        <v>51.28</v>
      </c>
      <c r="H170" s="9">
        <v>6</v>
      </c>
      <c r="I170" s="9">
        <v>15.384</v>
      </c>
      <c r="J170" s="9">
        <v>323.06400000000002</v>
      </c>
      <c r="K170" s="10">
        <v>43484</v>
      </c>
      <c r="L170" s="11">
        <v>0.68819444444444444</v>
      </c>
      <c r="M170" s="9" t="s">
        <v>27</v>
      </c>
      <c r="N170" s="9">
        <v>307.68</v>
      </c>
      <c r="O170" s="9">
        <v>6.5</v>
      </c>
    </row>
    <row r="171" spans="1:15">
      <c r="A171" s="9" t="s">
        <v>203</v>
      </c>
      <c r="B171" s="9" t="s">
        <v>16</v>
      </c>
      <c r="C171" s="9" t="s">
        <v>17</v>
      </c>
      <c r="D171" s="9" t="s">
        <v>18</v>
      </c>
      <c r="E171" s="9" t="s">
        <v>29</v>
      </c>
      <c r="F171" s="9" t="s">
        <v>34</v>
      </c>
      <c r="G171" s="9">
        <v>69.52</v>
      </c>
      <c r="H171" s="9">
        <v>7</v>
      </c>
      <c r="I171" s="9">
        <v>24.332000000000001</v>
      </c>
      <c r="J171" s="9">
        <v>510.97199999999998</v>
      </c>
      <c r="K171" s="10">
        <v>43497</v>
      </c>
      <c r="L171" s="11">
        <v>0.63194444444444442</v>
      </c>
      <c r="M171" s="9" t="s">
        <v>31</v>
      </c>
      <c r="N171" s="9">
        <v>486.64</v>
      </c>
      <c r="O171" s="9">
        <v>8.5</v>
      </c>
    </row>
    <row r="172" spans="1:15">
      <c r="A172" s="9" t="s">
        <v>204</v>
      </c>
      <c r="B172" s="9" t="s">
        <v>16</v>
      </c>
      <c r="C172" s="9" t="s">
        <v>17</v>
      </c>
      <c r="D172" s="9" t="s">
        <v>25</v>
      </c>
      <c r="E172" s="9" t="s">
        <v>29</v>
      </c>
      <c r="F172" s="9" t="s">
        <v>20</v>
      </c>
      <c r="G172" s="9">
        <v>70.010000000000005</v>
      </c>
      <c r="H172" s="9">
        <v>5</v>
      </c>
      <c r="I172" s="9">
        <v>17.502500000000001</v>
      </c>
      <c r="J172" s="9">
        <v>367.55250000000001</v>
      </c>
      <c r="K172" s="10">
        <v>43468</v>
      </c>
      <c r="L172" s="11">
        <v>0.48333333333333334</v>
      </c>
      <c r="M172" s="9" t="s">
        <v>21</v>
      </c>
      <c r="N172" s="9">
        <v>350.05</v>
      </c>
      <c r="O172" s="9">
        <v>5.5</v>
      </c>
    </row>
    <row r="173" spans="1:15">
      <c r="A173" s="9" t="s">
        <v>205</v>
      </c>
      <c r="B173" s="9" t="s">
        <v>40</v>
      </c>
      <c r="C173" s="9" t="s">
        <v>41</v>
      </c>
      <c r="D173" s="9" t="s">
        <v>18</v>
      </c>
      <c r="E173" s="9" t="s">
        <v>29</v>
      </c>
      <c r="F173" s="9" t="s">
        <v>42</v>
      </c>
      <c r="G173" s="9">
        <v>80.05</v>
      </c>
      <c r="H173" s="9">
        <v>5</v>
      </c>
      <c r="I173" s="9">
        <v>20.012499999999999</v>
      </c>
      <c r="J173" s="9">
        <v>420.26249999999999</v>
      </c>
      <c r="K173" s="10">
        <v>43491</v>
      </c>
      <c r="L173" s="11">
        <v>0.53125</v>
      </c>
      <c r="M173" s="9" t="s">
        <v>31</v>
      </c>
      <c r="N173" s="9">
        <v>400.25</v>
      </c>
      <c r="O173" s="9">
        <v>9.4</v>
      </c>
    </row>
    <row r="174" spans="1:15">
      <c r="A174" s="9" t="s">
        <v>206</v>
      </c>
      <c r="B174" s="9" t="s">
        <v>23</v>
      </c>
      <c r="C174" s="9" t="s">
        <v>24</v>
      </c>
      <c r="D174" s="9" t="s">
        <v>25</v>
      </c>
      <c r="E174" s="9" t="s">
        <v>29</v>
      </c>
      <c r="F174" s="9" t="s">
        <v>26</v>
      </c>
      <c r="G174" s="9">
        <v>20.85</v>
      </c>
      <c r="H174" s="9">
        <v>8</v>
      </c>
      <c r="I174" s="9">
        <v>8.34</v>
      </c>
      <c r="J174" s="9">
        <v>175.14</v>
      </c>
      <c r="K174" s="10">
        <v>43527</v>
      </c>
      <c r="L174" s="11">
        <v>0.80347222222222225</v>
      </c>
      <c r="M174" s="9" t="s">
        <v>27</v>
      </c>
      <c r="N174" s="9">
        <v>166.8</v>
      </c>
      <c r="O174" s="9">
        <v>6.3</v>
      </c>
    </row>
    <row r="175" spans="1:15">
      <c r="A175" s="9" t="s">
        <v>207</v>
      </c>
      <c r="B175" s="9" t="s">
        <v>40</v>
      </c>
      <c r="C175" s="9" t="s">
        <v>41</v>
      </c>
      <c r="D175" s="9" t="s">
        <v>18</v>
      </c>
      <c r="E175" s="9" t="s">
        <v>29</v>
      </c>
      <c r="F175" s="9" t="s">
        <v>26</v>
      </c>
      <c r="G175" s="9">
        <v>52.89</v>
      </c>
      <c r="H175" s="9">
        <v>6</v>
      </c>
      <c r="I175" s="9">
        <v>15.867000000000001</v>
      </c>
      <c r="J175" s="9">
        <v>333.20699999999999</v>
      </c>
      <c r="K175" s="10">
        <v>43484</v>
      </c>
      <c r="L175" s="11">
        <v>0.7319444444444444</v>
      </c>
      <c r="M175" s="9" t="s">
        <v>31</v>
      </c>
      <c r="N175" s="9">
        <v>317.33999999999997</v>
      </c>
      <c r="O175" s="9">
        <v>9.8000000000000007</v>
      </c>
    </row>
    <row r="176" spans="1:15">
      <c r="A176" s="9" t="s">
        <v>208</v>
      </c>
      <c r="B176" s="9" t="s">
        <v>40</v>
      </c>
      <c r="C176" s="9" t="s">
        <v>41</v>
      </c>
      <c r="D176" s="9" t="s">
        <v>25</v>
      </c>
      <c r="E176" s="9" t="s">
        <v>29</v>
      </c>
      <c r="F176" s="9" t="s">
        <v>42</v>
      </c>
      <c r="G176" s="9">
        <v>19.79</v>
      </c>
      <c r="H176" s="9">
        <v>8</v>
      </c>
      <c r="I176" s="9">
        <v>7.9160000000000004</v>
      </c>
      <c r="J176" s="9">
        <v>166.23599999999999</v>
      </c>
      <c r="K176" s="10">
        <v>43483</v>
      </c>
      <c r="L176" s="11">
        <v>0.50277777777777777</v>
      </c>
      <c r="M176" s="9" t="s">
        <v>21</v>
      </c>
      <c r="N176" s="9">
        <v>158.32</v>
      </c>
      <c r="O176" s="9">
        <v>8.6999999999999993</v>
      </c>
    </row>
    <row r="177" spans="1:15">
      <c r="A177" s="9" t="s">
        <v>209</v>
      </c>
      <c r="B177" s="9" t="s">
        <v>16</v>
      </c>
      <c r="C177" s="9" t="s">
        <v>17</v>
      </c>
      <c r="D177" s="9" t="s">
        <v>18</v>
      </c>
      <c r="E177" s="9" t="s">
        <v>29</v>
      </c>
      <c r="F177" s="9" t="s">
        <v>30</v>
      </c>
      <c r="G177" s="9">
        <v>33.840000000000003</v>
      </c>
      <c r="H177" s="9">
        <v>9</v>
      </c>
      <c r="I177" s="9">
        <v>15.228</v>
      </c>
      <c r="J177" s="9">
        <v>319.78800000000001</v>
      </c>
      <c r="K177" s="10">
        <v>43545</v>
      </c>
      <c r="L177" s="11">
        <v>0.68125000000000002</v>
      </c>
      <c r="M177" s="9" t="s">
        <v>21</v>
      </c>
      <c r="N177" s="9">
        <v>304.56</v>
      </c>
      <c r="O177" s="9">
        <v>8.8000000000000007</v>
      </c>
    </row>
    <row r="178" spans="1:15">
      <c r="A178" s="9" t="s">
        <v>210</v>
      </c>
      <c r="B178" s="9" t="s">
        <v>16</v>
      </c>
      <c r="C178" s="9" t="s">
        <v>17</v>
      </c>
      <c r="D178" s="9" t="s">
        <v>18</v>
      </c>
      <c r="E178" s="9" t="s">
        <v>29</v>
      </c>
      <c r="F178" s="9" t="s">
        <v>42</v>
      </c>
      <c r="G178" s="9">
        <v>22.17</v>
      </c>
      <c r="H178" s="9">
        <v>8</v>
      </c>
      <c r="I178" s="9">
        <v>8.8680000000000003</v>
      </c>
      <c r="J178" s="9">
        <v>186.22800000000001</v>
      </c>
      <c r="K178" s="10">
        <v>43527</v>
      </c>
      <c r="L178" s="11">
        <v>0.70902777777777781</v>
      </c>
      <c r="M178" s="9" t="s">
        <v>31</v>
      </c>
      <c r="N178" s="9">
        <v>177.36</v>
      </c>
      <c r="O178" s="9">
        <v>9.6</v>
      </c>
    </row>
    <row r="179" spans="1:15">
      <c r="A179" s="9" t="s">
        <v>211</v>
      </c>
      <c r="B179" s="9" t="s">
        <v>23</v>
      </c>
      <c r="C179" s="9" t="s">
        <v>24</v>
      </c>
      <c r="D179" s="9" t="s">
        <v>25</v>
      </c>
      <c r="E179" s="9" t="s">
        <v>19</v>
      </c>
      <c r="F179" s="9" t="s">
        <v>44</v>
      </c>
      <c r="G179" s="9">
        <v>22.51</v>
      </c>
      <c r="H179" s="9">
        <v>7</v>
      </c>
      <c r="I179" s="9">
        <v>7.8784999999999998</v>
      </c>
      <c r="J179" s="9">
        <v>165.4485</v>
      </c>
      <c r="K179" s="10">
        <v>43509</v>
      </c>
      <c r="L179" s="11">
        <v>0.4513888888888889</v>
      </c>
      <c r="M179" s="9" t="s">
        <v>31</v>
      </c>
      <c r="N179" s="9">
        <v>157.57</v>
      </c>
      <c r="O179" s="9">
        <v>4.8</v>
      </c>
    </row>
    <row r="180" spans="1:15">
      <c r="A180" s="9" t="s">
        <v>212</v>
      </c>
      <c r="B180" s="9" t="s">
        <v>16</v>
      </c>
      <c r="C180" s="9" t="s">
        <v>17</v>
      </c>
      <c r="D180" s="9" t="s">
        <v>25</v>
      </c>
      <c r="E180" s="9" t="s">
        <v>29</v>
      </c>
      <c r="F180" s="9" t="s">
        <v>42</v>
      </c>
      <c r="G180" s="9">
        <v>73.88</v>
      </c>
      <c r="H180" s="9">
        <v>6</v>
      </c>
      <c r="I180" s="9">
        <v>22.164000000000001</v>
      </c>
      <c r="J180" s="9">
        <v>465.44400000000002</v>
      </c>
      <c r="K180" s="10">
        <v>43547</v>
      </c>
      <c r="L180" s="11">
        <v>0.80277777777777781</v>
      </c>
      <c r="M180" s="9" t="s">
        <v>21</v>
      </c>
      <c r="N180" s="9">
        <v>443.28</v>
      </c>
      <c r="O180" s="9">
        <v>4.4000000000000004</v>
      </c>
    </row>
    <row r="181" spans="1:15">
      <c r="A181" s="9" t="s">
        <v>213</v>
      </c>
      <c r="B181" s="9" t="s">
        <v>23</v>
      </c>
      <c r="C181" s="9" t="s">
        <v>24</v>
      </c>
      <c r="D181" s="9" t="s">
        <v>18</v>
      </c>
      <c r="E181" s="9" t="s">
        <v>29</v>
      </c>
      <c r="F181" s="9" t="s">
        <v>20</v>
      </c>
      <c r="G181" s="9">
        <v>86.8</v>
      </c>
      <c r="H181" s="9">
        <v>3</v>
      </c>
      <c r="I181" s="9">
        <v>13.02</v>
      </c>
      <c r="J181" s="9">
        <v>273.42</v>
      </c>
      <c r="K181" s="10">
        <v>43493</v>
      </c>
      <c r="L181" s="11">
        <v>0.69930555555555551</v>
      </c>
      <c r="M181" s="9" t="s">
        <v>21</v>
      </c>
      <c r="N181" s="9">
        <v>260.39999999999998</v>
      </c>
      <c r="O181" s="9">
        <v>9.9</v>
      </c>
    </row>
    <row r="182" spans="1:15">
      <c r="A182" s="9" t="s">
        <v>214</v>
      </c>
      <c r="B182" s="9" t="s">
        <v>23</v>
      </c>
      <c r="C182" s="9" t="s">
        <v>24</v>
      </c>
      <c r="D182" s="9" t="s">
        <v>25</v>
      </c>
      <c r="E182" s="9" t="s">
        <v>29</v>
      </c>
      <c r="F182" s="9" t="s">
        <v>44</v>
      </c>
      <c r="G182" s="9">
        <v>64.260000000000005</v>
      </c>
      <c r="H182" s="9">
        <v>7</v>
      </c>
      <c r="I182" s="9">
        <v>22.491</v>
      </c>
      <c r="J182" s="9">
        <v>472.31099999999998</v>
      </c>
      <c r="K182" s="10">
        <v>43505</v>
      </c>
      <c r="L182" s="11">
        <v>0.41666666666666669</v>
      </c>
      <c r="M182" s="9" t="s">
        <v>27</v>
      </c>
      <c r="N182" s="9">
        <v>449.82</v>
      </c>
      <c r="O182" s="9">
        <v>5.7</v>
      </c>
    </row>
    <row r="183" spans="1:15">
      <c r="A183" s="9" t="s">
        <v>215</v>
      </c>
      <c r="B183" s="9" t="s">
        <v>23</v>
      </c>
      <c r="C183" s="9" t="s">
        <v>24</v>
      </c>
      <c r="D183" s="9" t="s">
        <v>18</v>
      </c>
      <c r="E183" s="9" t="s">
        <v>29</v>
      </c>
      <c r="F183" s="9" t="s">
        <v>42</v>
      </c>
      <c r="G183" s="9">
        <v>38.47</v>
      </c>
      <c r="H183" s="9">
        <v>8</v>
      </c>
      <c r="I183" s="9">
        <v>15.388</v>
      </c>
      <c r="J183" s="9">
        <v>323.14800000000002</v>
      </c>
      <c r="K183" s="10">
        <v>43488</v>
      </c>
      <c r="L183" s="11">
        <v>0.49375000000000002</v>
      </c>
      <c r="M183" s="9" t="s">
        <v>27</v>
      </c>
      <c r="N183" s="9">
        <v>307.76</v>
      </c>
      <c r="O183" s="9">
        <v>7.7</v>
      </c>
    </row>
    <row r="184" spans="1:15">
      <c r="A184" s="9" t="s">
        <v>216</v>
      </c>
      <c r="B184" s="9" t="s">
        <v>16</v>
      </c>
      <c r="C184" s="9" t="s">
        <v>17</v>
      </c>
      <c r="D184" s="9" t="s">
        <v>18</v>
      </c>
      <c r="E184" s="9" t="s">
        <v>29</v>
      </c>
      <c r="F184" s="9" t="s">
        <v>34</v>
      </c>
      <c r="G184" s="9">
        <v>15.5</v>
      </c>
      <c r="H184" s="9">
        <v>10</v>
      </c>
      <c r="I184" s="9">
        <v>7.75</v>
      </c>
      <c r="J184" s="9">
        <v>162.75</v>
      </c>
      <c r="K184" s="10">
        <v>43547</v>
      </c>
      <c r="L184" s="11">
        <v>0.4548611111111111</v>
      </c>
      <c r="M184" s="9" t="s">
        <v>21</v>
      </c>
      <c r="N184" s="9">
        <v>155</v>
      </c>
      <c r="O184" s="9">
        <v>8</v>
      </c>
    </row>
    <row r="185" spans="1:15">
      <c r="A185" s="9" t="s">
        <v>217</v>
      </c>
      <c r="B185" s="9" t="s">
        <v>23</v>
      </c>
      <c r="C185" s="9" t="s">
        <v>24</v>
      </c>
      <c r="D185" s="9" t="s">
        <v>25</v>
      </c>
      <c r="E185" s="9" t="s">
        <v>29</v>
      </c>
      <c r="F185" s="9" t="s">
        <v>20</v>
      </c>
      <c r="G185" s="9">
        <v>34.31</v>
      </c>
      <c r="H185" s="9">
        <v>8</v>
      </c>
      <c r="I185" s="9">
        <v>13.724</v>
      </c>
      <c r="J185" s="9">
        <v>288.20400000000001</v>
      </c>
      <c r="K185" s="10">
        <v>43490</v>
      </c>
      <c r="L185" s="11">
        <v>0.625</v>
      </c>
      <c r="M185" s="9" t="s">
        <v>21</v>
      </c>
      <c r="N185" s="9">
        <v>274.48</v>
      </c>
      <c r="O185" s="9">
        <v>5.7</v>
      </c>
    </row>
    <row r="186" spans="1:15">
      <c r="A186" s="9" t="s">
        <v>218</v>
      </c>
      <c r="B186" s="9" t="s">
        <v>16</v>
      </c>
      <c r="C186" s="9" t="s">
        <v>17</v>
      </c>
      <c r="D186" s="9" t="s">
        <v>25</v>
      </c>
      <c r="E186" s="9" t="s">
        <v>19</v>
      </c>
      <c r="F186" s="9" t="s">
        <v>34</v>
      </c>
      <c r="G186" s="9">
        <v>12.34</v>
      </c>
      <c r="H186" s="9">
        <v>7</v>
      </c>
      <c r="I186" s="9">
        <v>4.319</v>
      </c>
      <c r="J186" s="9">
        <v>90.698999999999998</v>
      </c>
      <c r="K186" s="10">
        <v>43528</v>
      </c>
      <c r="L186" s="11">
        <v>0.47152777777777777</v>
      </c>
      <c r="M186" s="9" t="s">
        <v>31</v>
      </c>
      <c r="N186" s="9">
        <v>86.38</v>
      </c>
      <c r="O186" s="9">
        <v>6.7</v>
      </c>
    </row>
    <row r="187" spans="1:15">
      <c r="A187" s="9" t="s">
        <v>219</v>
      </c>
      <c r="B187" s="9" t="s">
        <v>40</v>
      </c>
      <c r="C187" s="9" t="s">
        <v>41</v>
      </c>
      <c r="D187" s="9" t="s">
        <v>18</v>
      </c>
      <c r="E187" s="9" t="s">
        <v>29</v>
      </c>
      <c r="F187" s="9" t="s">
        <v>42</v>
      </c>
      <c r="G187" s="9">
        <v>18.079999999999998</v>
      </c>
      <c r="H187" s="9">
        <v>3</v>
      </c>
      <c r="I187" s="9">
        <v>2.7120000000000002</v>
      </c>
      <c r="J187" s="9">
        <v>56.951999999999998</v>
      </c>
      <c r="K187" s="10">
        <v>43529</v>
      </c>
      <c r="L187" s="11">
        <v>0.82361111111111107</v>
      </c>
      <c r="M187" s="9" t="s">
        <v>21</v>
      </c>
      <c r="N187" s="9">
        <v>54.24</v>
      </c>
      <c r="O187" s="9">
        <v>8</v>
      </c>
    </row>
    <row r="188" spans="1:15">
      <c r="A188" s="9" t="s">
        <v>220</v>
      </c>
      <c r="B188" s="9" t="s">
        <v>40</v>
      </c>
      <c r="C188" s="9" t="s">
        <v>41</v>
      </c>
      <c r="D188" s="9" t="s">
        <v>18</v>
      </c>
      <c r="E188" s="9" t="s">
        <v>19</v>
      </c>
      <c r="F188" s="9" t="s">
        <v>30</v>
      </c>
      <c r="G188" s="9">
        <v>94.49</v>
      </c>
      <c r="H188" s="9">
        <v>8</v>
      </c>
      <c r="I188" s="9">
        <v>37.795999999999999</v>
      </c>
      <c r="J188" s="9">
        <v>793.71600000000001</v>
      </c>
      <c r="K188" s="10">
        <v>43527</v>
      </c>
      <c r="L188" s="11">
        <v>0.79166666666666663</v>
      </c>
      <c r="M188" s="9" t="s">
        <v>21</v>
      </c>
      <c r="N188" s="9">
        <v>755.92</v>
      </c>
      <c r="O188" s="9">
        <v>7.5</v>
      </c>
    </row>
    <row r="189" spans="1:15">
      <c r="A189" s="9" t="s">
        <v>221</v>
      </c>
      <c r="B189" s="9" t="s">
        <v>40</v>
      </c>
      <c r="C189" s="9" t="s">
        <v>41</v>
      </c>
      <c r="D189" s="9" t="s">
        <v>18</v>
      </c>
      <c r="E189" s="9" t="s">
        <v>29</v>
      </c>
      <c r="F189" s="9" t="s">
        <v>30</v>
      </c>
      <c r="G189" s="9">
        <v>46.47</v>
      </c>
      <c r="H189" s="9">
        <v>4</v>
      </c>
      <c r="I189" s="9">
        <v>9.2940000000000005</v>
      </c>
      <c r="J189" s="9">
        <v>195.17400000000001</v>
      </c>
      <c r="K189" s="10">
        <v>43504</v>
      </c>
      <c r="L189" s="11">
        <v>0.45347222222222222</v>
      </c>
      <c r="M189" s="9" t="s">
        <v>27</v>
      </c>
      <c r="N189" s="9">
        <v>185.88</v>
      </c>
      <c r="O189" s="9">
        <v>7</v>
      </c>
    </row>
    <row r="190" spans="1:15">
      <c r="A190" s="9" t="s">
        <v>222</v>
      </c>
      <c r="B190" s="9" t="s">
        <v>16</v>
      </c>
      <c r="C190" s="9" t="s">
        <v>17</v>
      </c>
      <c r="D190" s="9" t="s">
        <v>25</v>
      </c>
      <c r="E190" s="9" t="s">
        <v>29</v>
      </c>
      <c r="F190" s="9" t="s">
        <v>30</v>
      </c>
      <c r="G190" s="9">
        <v>74.069999999999993</v>
      </c>
      <c r="H190" s="9">
        <v>1</v>
      </c>
      <c r="I190" s="9">
        <v>3.7035</v>
      </c>
      <c r="J190" s="9">
        <v>77.773499999999999</v>
      </c>
      <c r="K190" s="10">
        <v>43506</v>
      </c>
      <c r="L190" s="11">
        <v>0.53472222222222221</v>
      </c>
      <c r="M190" s="9" t="s">
        <v>21</v>
      </c>
      <c r="N190" s="9">
        <v>74.069999999999993</v>
      </c>
      <c r="O190" s="9">
        <v>9.9</v>
      </c>
    </row>
    <row r="191" spans="1:15">
      <c r="A191" s="9" t="s">
        <v>223</v>
      </c>
      <c r="B191" s="9" t="s">
        <v>23</v>
      </c>
      <c r="C191" s="9" t="s">
        <v>24</v>
      </c>
      <c r="D191" s="9" t="s">
        <v>25</v>
      </c>
      <c r="E191" s="9" t="s">
        <v>19</v>
      </c>
      <c r="F191" s="9" t="s">
        <v>30</v>
      </c>
      <c r="G191" s="9">
        <v>69.81</v>
      </c>
      <c r="H191" s="9">
        <v>4</v>
      </c>
      <c r="I191" s="9">
        <v>13.962</v>
      </c>
      <c r="J191" s="9">
        <v>293.202</v>
      </c>
      <c r="K191" s="10">
        <v>43493</v>
      </c>
      <c r="L191" s="11">
        <v>0.86805555555555558</v>
      </c>
      <c r="M191" s="9" t="s">
        <v>31</v>
      </c>
      <c r="N191" s="9">
        <v>279.24</v>
      </c>
      <c r="O191" s="9">
        <v>5.9</v>
      </c>
    </row>
    <row r="192" spans="1:15">
      <c r="A192" s="9" t="s">
        <v>224</v>
      </c>
      <c r="B192" s="9" t="s">
        <v>40</v>
      </c>
      <c r="C192" s="9" t="s">
        <v>41</v>
      </c>
      <c r="D192" s="9" t="s">
        <v>25</v>
      </c>
      <c r="E192" s="9" t="s">
        <v>19</v>
      </c>
      <c r="F192" s="9" t="s">
        <v>30</v>
      </c>
      <c r="G192" s="9">
        <v>77.040000000000006</v>
      </c>
      <c r="H192" s="9">
        <v>3</v>
      </c>
      <c r="I192" s="9">
        <v>11.555999999999999</v>
      </c>
      <c r="J192" s="9">
        <v>242.67599999999999</v>
      </c>
      <c r="K192" s="10">
        <v>43507</v>
      </c>
      <c r="L192" s="11">
        <v>0.44374999999999998</v>
      </c>
      <c r="M192" s="9" t="s">
        <v>31</v>
      </c>
      <c r="N192" s="9">
        <v>231.12</v>
      </c>
      <c r="O192" s="9">
        <v>7.2</v>
      </c>
    </row>
    <row r="193" spans="1:15">
      <c r="A193" s="9" t="s">
        <v>225</v>
      </c>
      <c r="B193" s="9" t="s">
        <v>40</v>
      </c>
      <c r="C193" s="9" t="s">
        <v>41</v>
      </c>
      <c r="D193" s="9" t="s">
        <v>25</v>
      </c>
      <c r="E193" s="9" t="s">
        <v>19</v>
      </c>
      <c r="F193" s="9" t="s">
        <v>44</v>
      </c>
      <c r="G193" s="9">
        <v>73.52</v>
      </c>
      <c r="H193" s="9">
        <v>2</v>
      </c>
      <c r="I193" s="9">
        <v>7.3520000000000003</v>
      </c>
      <c r="J193" s="9">
        <v>154.392</v>
      </c>
      <c r="K193" s="10">
        <v>43480</v>
      </c>
      <c r="L193" s="11">
        <v>0.57013888888888886</v>
      </c>
      <c r="M193" s="9" t="s">
        <v>21</v>
      </c>
      <c r="N193" s="9">
        <v>147.04</v>
      </c>
      <c r="O193" s="9">
        <v>4.5999999999999996</v>
      </c>
    </row>
    <row r="194" spans="1:15">
      <c r="A194" s="9" t="s">
        <v>226</v>
      </c>
      <c r="B194" s="9" t="s">
        <v>23</v>
      </c>
      <c r="C194" s="9" t="s">
        <v>24</v>
      </c>
      <c r="D194" s="9" t="s">
        <v>25</v>
      </c>
      <c r="E194" s="9" t="s">
        <v>19</v>
      </c>
      <c r="F194" s="9" t="s">
        <v>42</v>
      </c>
      <c r="G194" s="9">
        <v>87.8</v>
      </c>
      <c r="H194" s="9">
        <v>9</v>
      </c>
      <c r="I194" s="9">
        <v>39.51</v>
      </c>
      <c r="J194" s="9">
        <v>829.71</v>
      </c>
      <c r="K194" s="10">
        <v>43540</v>
      </c>
      <c r="L194" s="11">
        <v>0.79722222222222228</v>
      </c>
      <c r="M194" s="9" t="s">
        <v>27</v>
      </c>
      <c r="N194" s="9">
        <v>790.2</v>
      </c>
      <c r="O194" s="9">
        <v>9.1999999999999993</v>
      </c>
    </row>
    <row r="195" spans="1:15">
      <c r="A195" s="9" t="s">
        <v>227</v>
      </c>
      <c r="B195" s="9" t="s">
        <v>40</v>
      </c>
      <c r="C195" s="9" t="s">
        <v>41</v>
      </c>
      <c r="D195" s="9" t="s">
        <v>25</v>
      </c>
      <c r="E195" s="9" t="s">
        <v>29</v>
      </c>
      <c r="F195" s="9" t="s">
        <v>30</v>
      </c>
      <c r="G195" s="9">
        <v>25.55</v>
      </c>
      <c r="H195" s="9">
        <v>4</v>
      </c>
      <c r="I195" s="9">
        <v>5.1100000000000003</v>
      </c>
      <c r="J195" s="9">
        <v>107.31</v>
      </c>
      <c r="K195" s="10">
        <v>43491</v>
      </c>
      <c r="L195" s="11">
        <v>0.84930555555555554</v>
      </c>
      <c r="M195" s="9" t="s">
        <v>21</v>
      </c>
      <c r="N195" s="9">
        <v>102.2</v>
      </c>
      <c r="O195" s="9">
        <v>5.7</v>
      </c>
    </row>
    <row r="196" spans="1:15">
      <c r="A196" s="9" t="s">
        <v>228</v>
      </c>
      <c r="B196" s="9" t="s">
        <v>16</v>
      </c>
      <c r="C196" s="9" t="s">
        <v>17</v>
      </c>
      <c r="D196" s="9" t="s">
        <v>25</v>
      </c>
      <c r="E196" s="9" t="s">
        <v>29</v>
      </c>
      <c r="F196" s="9" t="s">
        <v>26</v>
      </c>
      <c r="G196" s="9">
        <v>32.71</v>
      </c>
      <c r="H196" s="9">
        <v>5</v>
      </c>
      <c r="I196" s="9">
        <v>8.1775000000000002</v>
      </c>
      <c r="J196" s="9">
        <v>171.72749999999999</v>
      </c>
      <c r="K196" s="10">
        <v>43543</v>
      </c>
      <c r="L196" s="11">
        <v>0.47916666666666669</v>
      </c>
      <c r="M196" s="9" t="s">
        <v>31</v>
      </c>
      <c r="N196" s="9">
        <v>163.55000000000001</v>
      </c>
      <c r="O196" s="9">
        <v>9.9</v>
      </c>
    </row>
    <row r="197" spans="1:15">
      <c r="A197" s="9" t="s">
        <v>229</v>
      </c>
      <c r="B197" s="9" t="s">
        <v>23</v>
      </c>
      <c r="C197" s="9" t="s">
        <v>24</v>
      </c>
      <c r="D197" s="9" t="s">
        <v>18</v>
      </c>
      <c r="E197" s="9" t="s">
        <v>19</v>
      </c>
      <c r="F197" s="9" t="s">
        <v>44</v>
      </c>
      <c r="G197" s="9">
        <v>74.290000000000006</v>
      </c>
      <c r="H197" s="9">
        <v>1</v>
      </c>
      <c r="I197" s="9">
        <v>3.7145000000000001</v>
      </c>
      <c r="J197" s="9">
        <v>78.004499999999993</v>
      </c>
      <c r="K197" s="10">
        <v>43478</v>
      </c>
      <c r="L197" s="11">
        <v>0.8125</v>
      </c>
      <c r="M197" s="9" t="s">
        <v>27</v>
      </c>
      <c r="N197" s="9">
        <v>74.290000000000006</v>
      </c>
      <c r="O197" s="9">
        <v>5</v>
      </c>
    </row>
    <row r="198" spans="1:15">
      <c r="A198" s="9" t="s">
        <v>230</v>
      </c>
      <c r="B198" s="9" t="s">
        <v>23</v>
      </c>
      <c r="C198" s="9" t="s">
        <v>24</v>
      </c>
      <c r="D198" s="9" t="s">
        <v>18</v>
      </c>
      <c r="E198" s="9" t="s">
        <v>29</v>
      </c>
      <c r="F198" s="9" t="s">
        <v>20</v>
      </c>
      <c r="G198" s="9">
        <v>43.7</v>
      </c>
      <c r="H198" s="9">
        <v>2</v>
      </c>
      <c r="I198" s="9">
        <v>4.37</v>
      </c>
      <c r="J198" s="9">
        <v>91.77</v>
      </c>
      <c r="K198" s="10">
        <v>43550</v>
      </c>
      <c r="L198" s="11">
        <v>0.75208333333333333</v>
      </c>
      <c r="M198" s="9" t="s">
        <v>27</v>
      </c>
      <c r="N198" s="9">
        <v>87.4</v>
      </c>
      <c r="O198" s="9">
        <v>4.9000000000000004</v>
      </c>
    </row>
    <row r="199" spans="1:15">
      <c r="A199" s="9" t="s">
        <v>231</v>
      </c>
      <c r="B199" s="9" t="s">
        <v>16</v>
      </c>
      <c r="C199" s="9" t="s">
        <v>17</v>
      </c>
      <c r="D199" s="9" t="s">
        <v>25</v>
      </c>
      <c r="E199" s="9" t="s">
        <v>19</v>
      </c>
      <c r="F199" s="9" t="s">
        <v>30</v>
      </c>
      <c r="G199" s="9">
        <v>25.29</v>
      </c>
      <c r="H199" s="9">
        <v>1</v>
      </c>
      <c r="I199" s="9">
        <v>1.2645</v>
      </c>
      <c r="J199" s="9">
        <v>26.554500000000001</v>
      </c>
      <c r="K199" s="10">
        <v>43547</v>
      </c>
      <c r="L199" s="11">
        <v>0.42569444444444443</v>
      </c>
      <c r="M199" s="9" t="s">
        <v>21</v>
      </c>
      <c r="N199" s="9">
        <v>25.29</v>
      </c>
      <c r="O199" s="9">
        <v>6.1</v>
      </c>
    </row>
    <row r="200" spans="1:15">
      <c r="A200" s="9" t="s">
        <v>232</v>
      </c>
      <c r="B200" s="9" t="s">
        <v>23</v>
      </c>
      <c r="C200" s="9" t="s">
        <v>24</v>
      </c>
      <c r="D200" s="9" t="s">
        <v>25</v>
      </c>
      <c r="E200" s="9" t="s">
        <v>29</v>
      </c>
      <c r="F200" s="9" t="s">
        <v>20</v>
      </c>
      <c r="G200" s="9">
        <v>41.5</v>
      </c>
      <c r="H200" s="9">
        <v>4</v>
      </c>
      <c r="I200" s="9">
        <v>8.3000000000000007</v>
      </c>
      <c r="J200" s="9">
        <v>174.3</v>
      </c>
      <c r="K200" s="10">
        <v>43536</v>
      </c>
      <c r="L200" s="11">
        <v>0.83194444444444449</v>
      </c>
      <c r="M200" s="9" t="s">
        <v>31</v>
      </c>
      <c r="N200" s="9">
        <v>166</v>
      </c>
      <c r="O200" s="9">
        <v>8.1999999999999993</v>
      </c>
    </row>
    <row r="201" spans="1:15">
      <c r="A201" s="9" t="s">
        <v>233</v>
      </c>
      <c r="B201" s="9" t="s">
        <v>23</v>
      </c>
      <c r="C201" s="9" t="s">
        <v>24</v>
      </c>
      <c r="D201" s="9" t="s">
        <v>18</v>
      </c>
      <c r="E201" s="9" t="s">
        <v>19</v>
      </c>
      <c r="F201" s="9" t="s">
        <v>42</v>
      </c>
      <c r="G201" s="9">
        <v>71.39</v>
      </c>
      <c r="H201" s="9">
        <v>5</v>
      </c>
      <c r="I201" s="9">
        <v>17.8475</v>
      </c>
      <c r="J201" s="9">
        <v>374.79750000000001</v>
      </c>
      <c r="K201" s="10">
        <v>43513</v>
      </c>
      <c r="L201" s="11">
        <v>0.83125000000000004</v>
      </c>
      <c r="M201" s="9" t="s">
        <v>31</v>
      </c>
      <c r="N201" s="9">
        <v>356.95</v>
      </c>
      <c r="O201" s="9">
        <v>5.5</v>
      </c>
    </row>
    <row r="202" spans="1:15">
      <c r="A202" s="9" t="s">
        <v>234</v>
      </c>
      <c r="B202" s="9" t="s">
        <v>23</v>
      </c>
      <c r="C202" s="9" t="s">
        <v>24</v>
      </c>
      <c r="D202" s="9" t="s">
        <v>18</v>
      </c>
      <c r="E202" s="9" t="s">
        <v>19</v>
      </c>
      <c r="F202" s="9" t="s">
        <v>34</v>
      </c>
      <c r="G202" s="9">
        <v>19.149999999999999</v>
      </c>
      <c r="H202" s="9">
        <v>6</v>
      </c>
      <c r="I202" s="9">
        <v>5.7450000000000001</v>
      </c>
      <c r="J202" s="9">
        <v>120.645</v>
      </c>
      <c r="K202" s="10">
        <v>43494</v>
      </c>
      <c r="L202" s="11">
        <v>0.41736111111111113</v>
      </c>
      <c r="M202" s="9" t="s">
        <v>31</v>
      </c>
      <c r="N202" s="9">
        <v>114.9</v>
      </c>
      <c r="O202" s="9">
        <v>6.8</v>
      </c>
    </row>
    <row r="203" spans="1:15">
      <c r="A203" s="9" t="s">
        <v>235</v>
      </c>
      <c r="B203" s="9" t="s">
        <v>40</v>
      </c>
      <c r="C203" s="9" t="s">
        <v>41</v>
      </c>
      <c r="D203" s="9" t="s">
        <v>18</v>
      </c>
      <c r="E203" s="9" t="s">
        <v>19</v>
      </c>
      <c r="F203" s="9" t="s">
        <v>26</v>
      </c>
      <c r="G203" s="9">
        <v>57.49</v>
      </c>
      <c r="H203" s="9">
        <v>4</v>
      </c>
      <c r="I203" s="9">
        <v>11.497999999999999</v>
      </c>
      <c r="J203" s="9">
        <v>241.458</v>
      </c>
      <c r="K203" s="10">
        <v>43539</v>
      </c>
      <c r="L203" s="11">
        <v>0.49791666666666667</v>
      </c>
      <c r="M203" s="9" t="s">
        <v>27</v>
      </c>
      <c r="N203" s="9">
        <v>229.96</v>
      </c>
      <c r="O203" s="9">
        <v>6.6</v>
      </c>
    </row>
    <row r="204" spans="1:15">
      <c r="A204" s="9" t="s">
        <v>236</v>
      </c>
      <c r="B204" s="9" t="s">
        <v>23</v>
      </c>
      <c r="C204" s="9" t="s">
        <v>24</v>
      </c>
      <c r="D204" s="9" t="s">
        <v>25</v>
      </c>
      <c r="E204" s="9" t="s">
        <v>29</v>
      </c>
      <c r="F204" s="9" t="s">
        <v>26</v>
      </c>
      <c r="G204" s="9">
        <v>61.41</v>
      </c>
      <c r="H204" s="9">
        <v>7</v>
      </c>
      <c r="I204" s="9">
        <v>21.493500000000001</v>
      </c>
      <c r="J204" s="9">
        <v>451.36349999999999</v>
      </c>
      <c r="K204" s="10">
        <v>43479</v>
      </c>
      <c r="L204" s="11">
        <v>0.41805555555555557</v>
      </c>
      <c r="M204" s="9" t="s">
        <v>27</v>
      </c>
      <c r="N204" s="9">
        <v>429.87</v>
      </c>
      <c r="O204" s="9">
        <v>9.8000000000000007</v>
      </c>
    </row>
    <row r="205" spans="1:15">
      <c r="A205" s="9" t="s">
        <v>237</v>
      </c>
      <c r="B205" s="9" t="s">
        <v>40</v>
      </c>
      <c r="C205" s="9" t="s">
        <v>41</v>
      </c>
      <c r="D205" s="9" t="s">
        <v>18</v>
      </c>
      <c r="E205" s="9" t="s">
        <v>29</v>
      </c>
      <c r="F205" s="9" t="s">
        <v>20</v>
      </c>
      <c r="G205" s="9">
        <v>25.9</v>
      </c>
      <c r="H205" s="9">
        <v>10</v>
      </c>
      <c r="I205" s="9">
        <v>12.95</v>
      </c>
      <c r="J205" s="9">
        <v>271.95</v>
      </c>
      <c r="K205" s="10">
        <v>43502</v>
      </c>
      <c r="L205" s="11">
        <v>0.61875000000000002</v>
      </c>
      <c r="M205" s="9" t="s">
        <v>21</v>
      </c>
      <c r="N205" s="9">
        <v>259</v>
      </c>
      <c r="O205" s="9">
        <v>8.6999999999999993</v>
      </c>
    </row>
    <row r="206" spans="1:15">
      <c r="A206" s="9" t="s">
        <v>238</v>
      </c>
      <c r="B206" s="9" t="s">
        <v>40</v>
      </c>
      <c r="C206" s="9" t="s">
        <v>41</v>
      </c>
      <c r="D206" s="9" t="s">
        <v>18</v>
      </c>
      <c r="E206" s="9" t="s">
        <v>29</v>
      </c>
      <c r="F206" s="9" t="s">
        <v>30</v>
      </c>
      <c r="G206" s="9">
        <v>17.77</v>
      </c>
      <c r="H206" s="9">
        <v>5</v>
      </c>
      <c r="I206" s="9">
        <v>4.4424999999999999</v>
      </c>
      <c r="J206" s="9">
        <v>93.292500000000004</v>
      </c>
      <c r="K206" s="10">
        <v>43511</v>
      </c>
      <c r="L206" s="11">
        <v>0.52916666666666667</v>
      </c>
      <c r="M206" s="9" t="s">
        <v>31</v>
      </c>
      <c r="N206" s="9">
        <v>88.85</v>
      </c>
      <c r="O206" s="9">
        <v>5.4</v>
      </c>
    </row>
    <row r="207" spans="1:15">
      <c r="A207" s="9" t="s">
        <v>239</v>
      </c>
      <c r="B207" s="9" t="s">
        <v>16</v>
      </c>
      <c r="C207" s="9" t="s">
        <v>17</v>
      </c>
      <c r="D207" s="9" t="s">
        <v>25</v>
      </c>
      <c r="E207" s="9" t="s">
        <v>19</v>
      </c>
      <c r="F207" s="9" t="s">
        <v>20</v>
      </c>
      <c r="G207" s="9">
        <v>23.03</v>
      </c>
      <c r="H207" s="9">
        <v>9</v>
      </c>
      <c r="I207" s="9">
        <v>10.3635</v>
      </c>
      <c r="J207" s="9">
        <v>217.6335</v>
      </c>
      <c r="K207" s="10">
        <v>43468</v>
      </c>
      <c r="L207" s="11">
        <v>0.50138888888888888</v>
      </c>
      <c r="M207" s="9" t="s">
        <v>21</v>
      </c>
      <c r="N207" s="9">
        <v>207.27</v>
      </c>
      <c r="O207" s="9">
        <v>7.9</v>
      </c>
    </row>
    <row r="208" spans="1:15">
      <c r="A208" s="9" t="s">
        <v>240</v>
      </c>
      <c r="B208" s="9" t="s">
        <v>23</v>
      </c>
      <c r="C208" s="9" t="s">
        <v>24</v>
      </c>
      <c r="D208" s="9" t="s">
        <v>18</v>
      </c>
      <c r="E208" s="9" t="s">
        <v>19</v>
      </c>
      <c r="F208" s="9" t="s">
        <v>26</v>
      </c>
      <c r="G208" s="9">
        <v>66.650000000000006</v>
      </c>
      <c r="H208" s="9">
        <v>9</v>
      </c>
      <c r="I208" s="9">
        <v>29.9925</v>
      </c>
      <c r="J208" s="9">
        <v>629.84249999999997</v>
      </c>
      <c r="K208" s="10">
        <v>43469</v>
      </c>
      <c r="L208" s="11">
        <v>0.7631944444444444</v>
      </c>
      <c r="M208" s="9" t="s">
        <v>31</v>
      </c>
      <c r="N208" s="9">
        <v>599.85</v>
      </c>
      <c r="O208" s="9">
        <v>9.6999999999999993</v>
      </c>
    </row>
    <row r="209" spans="1:15">
      <c r="A209" s="9" t="s">
        <v>241</v>
      </c>
      <c r="B209" s="9" t="s">
        <v>23</v>
      </c>
      <c r="C209" s="9" t="s">
        <v>24</v>
      </c>
      <c r="D209" s="9" t="s">
        <v>18</v>
      </c>
      <c r="E209" s="9" t="s">
        <v>19</v>
      </c>
      <c r="F209" s="9" t="s">
        <v>30</v>
      </c>
      <c r="G209" s="9">
        <v>28.53</v>
      </c>
      <c r="H209" s="9">
        <v>10</v>
      </c>
      <c r="I209" s="9">
        <v>14.265000000000001</v>
      </c>
      <c r="J209" s="9">
        <v>299.565</v>
      </c>
      <c r="K209" s="10">
        <v>43542</v>
      </c>
      <c r="L209" s="11">
        <v>0.73472222222222228</v>
      </c>
      <c r="M209" s="9" t="s">
        <v>21</v>
      </c>
      <c r="N209" s="9">
        <v>285.3</v>
      </c>
      <c r="O209" s="9">
        <v>7.8</v>
      </c>
    </row>
    <row r="210" spans="1:15">
      <c r="A210" s="9" t="s">
        <v>242</v>
      </c>
      <c r="B210" s="9" t="s">
        <v>40</v>
      </c>
      <c r="C210" s="9" t="s">
        <v>41</v>
      </c>
      <c r="D210" s="9" t="s">
        <v>25</v>
      </c>
      <c r="E210" s="9" t="s">
        <v>19</v>
      </c>
      <c r="F210" s="9" t="s">
        <v>44</v>
      </c>
      <c r="G210" s="9">
        <v>30.37</v>
      </c>
      <c r="H210" s="9">
        <v>3</v>
      </c>
      <c r="I210" s="9">
        <v>4.5555000000000003</v>
      </c>
      <c r="J210" s="9">
        <v>95.665499999999994</v>
      </c>
      <c r="K210" s="10">
        <v>43552</v>
      </c>
      <c r="L210" s="11">
        <v>0.57013888888888886</v>
      </c>
      <c r="M210" s="9" t="s">
        <v>21</v>
      </c>
      <c r="N210" s="9">
        <v>91.11</v>
      </c>
      <c r="O210" s="9">
        <v>5.0999999999999996</v>
      </c>
    </row>
    <row r="211" spans="1:15">
      <c r="A211" s="9" t="s">
        <v>243</v>
      </c>
      <c r="B211" s="9" t="s">
        <v>40</v>
      </c>
      <c r="C211" s="9" t="s">
        <v>41</v>
      </c>
      <c r="D211" s="9" t="s">
        <v>25</v>
      </c>
      <c r="E211" s="9" t="s">
        <v>19</v>
      </c>
      <c r="F211" s="9" t="s">
        <v>26</v>
      </c>
      <c r="G211" s="9">
        <v>99.73</v>
      </c>
      <c r="H211" s="9">
        <v>9</v>
      </c>
      <c r="I211" s="9">
        <v>44.878500000000003</v>
      </c>
      <c r="J211" s="9">
        <v>942.44849999999997</v>
      </c>
      <c r="K211" s="10">
        <v>43526</v>
      </c>
      <c r="L211" s="11">
        <v>0.8208333333333333</v>
      </c>
      <c r="M211" s="9" t="s">
        <v>31</v>
      </c>
      <c r="N211" s="9">
        <v>897.57</v>
      </c>
      <c r="O211" s="9">
        <v>6.5</v>
      </c>
    </row>
    <row r="212" spans="1:15">
      <c r="A212" s="9" t="s">
        <v>244</v>
      </c>
      <c r="B212" s="9" t="s">
        <v>16</v>
      </c>
      <c r="C212" s="9" t="s">
        <v>17</v>
      </c>
      <c r="D212" s="9" t="s">
        <v>25</v>
      </c>
      <c r="E212" s="9" t="s">
        <v>29</v>
      </c>
      <c r="F212" s="9" t="s">
        <v>26</v>
      </c>
      <c r="G212" s="9">
        <v>26.23</v>
      </c>
      <c r="H212" s="9">
        <v>9</v>
      </c>
      <c r="I212" s="9">
        <v>11.8035</v>
      </c>
      <c r="J212" s="9">
        <v>247.87350000000001</v>
      </c>
      <c r="K212" s="10">
        <v>43490</v>
      </c>
      <c r="L212" s="11">
        <v>0.85</v>
      </c>
      <c r="M212" s="9" t="s">
        <v>21</v>
      </c>
      <c r="N212" s="9">
        <v>236.07</v>
      </c>
      <c r="O212" s="9">
        <v>5.9</v>
      </c>
    </row>
    <row r="213" spans="1:15">
      <c r="A213" s="9" t="s">
        <v>245</v>
      </c>
      <c r="B213" s="9" t="s">
        <v>23</v>
      </c>
      <c r="C213" s="9" t="s">
        <v>24</v>
      </c>
      <c r="D213" s="9" t="s">
        <v>25</v>
      </c>
      <c r="E213" s="9" t="s">
        <v>19</v>
      </c>
      <c r="F213" s="9" t="s">
        <v>42</v>
      </c>
      <c r="G213" s="9">
        <v>93.26</v>
      </c>
      <c r="H213" s="9">
        <v>9</v>
      </c>
      <c r="I213" s="9">
        <v>41.966999999999999</v>
      </c>
      <c r="J213" s="9">
        <v>881.30700000000002</v>
      </c>
      <c r="K213" s="10">
        <v>43481</v>
      </c>
      <c r="L213" s="11">
        <v>0.75555555555555554</v>
      </c>
      <c r="M213" s="9" t="s">
        <v>27</v>
      </c>
      <c r="N213" s="9">
        <v>839.34</v>
      </c>
      <c r="O213" s="9">
        <v>8.8000000000000007</v>
      </c>
    </row>
    <row r="214" spans="1:15">
      <c r="A214" s="9" t="s">
        <v>246</v>
      </c>
      <c r="B214" s="9" t="s">
        <v>40</v>
      </c>
      <c r="C214" s="9" t="s">
        <v>41</v>
      </c>
      <c r="D214" s="9" t="s">
        <v>25</v>
      </c>
      <c r="E214" s="9" t="s">
        <v>29</v>
      </c>
      <c r="F214" s="9" t="s">
        <v>30</v>
      </c>
      <c r="G214" s="9">
        <v>92.36</v>
      </c>
      <c r="H214" s="9">
        <v>5</v>
      </c>
      <c r="I214" s="9">
        <v>23.09</v>
      </c>
      <c r="J214" s="9">
        <v>484.89</v>
      </c>
      <c r="K214" s="10">
        <v>43544</v>
      </c>
      <c r="L214" s="11">
        <v>0.80347222222222225</v>
      </c>
      <c r="M214" s="9" t="s">
        <v>21</v>
      </c>
      <c r="N214" s="9">
        <v>461.8</v>
      </c>
      <c r="O214" s="9">
        <v>4.9000000000000004</v>
      </c>
    </row>
    <row r="215" spans="1:15">
      <c r="A215" s="9" t="s">
        <v>247</v>
      </c>
      <c r="B215" s="9" t="s">
        <v>40</v>
      </c>
      <c r="C215" s="9" t="s">
        <v>41</v>
      </c>
      <c r="D215" s="9" t="s">
        <v>25</v>
      </c>
      <c r="E215" s="9" t="s">
        <v>29</v>
      </c>
      <c r="F215" s="9" t="s">
        <v>34</v>
      </c>
      <c r="G215" s="9">
        <v>46.42</v>
      </c>
      <c r="H215" s="9">
        <v>3</v>
      </c>
      <c r="I215" s="9">
        <v>6.9630000000000001</v>
      </c>
      <c r="J215" s="9">
        <v>146.22300000000001</v>
      </c>
      <c r="K215" s="10">
        <v>43469</v>
      </c>
      <c r="L215" s="11">
        <v>0.55833333333333335</v>
      </c>
      <c r="M215" s="9" t="s">
        <v>31</v>
      </c>
      <c r="N215" s="9">
        <v>139.26</v>
      </c>
      <c r="O215" s="9">
        <v>4.4000000000000004</v>
      </c>
    </row>
    <row r="216" spans="1:15">
      <c r="A216" s="9" t="s">
        <v>248</v>
      </c>
      <c r="B216" s="9" t="s">
        <v>40</v>
      </c>
      <c r="C216" s="9" t="s">
        <v>41</v>
      </c>
      <c r="D216" s="9" t="s">
        <v>18</v>
      </c>
      <c r="E216" s="9" t="s">
        <v>19</v>
      </c>
      <c r="F216" s="9" t="s">
        <v>34</v>
      </c>
      <c r="G216" s="9">
        <v>29.61</v>
      </c>
      <c r="H216" s="9">
        <v>7</v>
      </c>
      <c r="I216" s="9">
        <v>10.3635</v>
      </c>
      <c r="J216" s="9">
        <v>217.6335</v>
      </c>
      <c r="K216" s="10">
        <v>43535</v>
      </c>
      <c r="L216" s="11">
        <v>0.66180555555555554</v>
      </c>
      <c r="M216" s="9" t="s">
        <v>27</v>
      </c>
      <c r="N216" s="9">
        <v>207.27</v>
      </c>
      <c r="O216" s="9">
        <v>6.5</v>
      </c>
    </row>
    <row r="217" spans="1:15">
      <c r="A217" s="9" t="s">
        <v>249</v>
      </c>
      <c r="B217" s="9" t="s">
        <v>16</v>
      </c>
      <c r="C217" s="9" t="s">
        <v>17</v>
      </c>
      <c r="D217" s="9" t="s">
        <v>25</v>
      </c>
      <c r="E217" s="9" t="s">
        <v>29</v>
      </c>
      <c r="F217" s="9" t="s">
        <v>30</v>
      </c>
      <c r="G217" s="9">
        <v>18.28</v>
      </c>
      <c r="H217" s="9">
        <v>1</v>
      </c>
      <c r="I217" s="9">
        <v>0.91400000000000003</v>
      </c>
      <c r="J217" s="9">
        <v>19.193999999999999</v>
      </c>
      <c r="K217" s="10">
        <v>43546</v>
      </c>
      <c r="L217" s="11">
        <v>0.62847222222222221</v>
      </c>
      <c r="M217" s="9" t="s">
        <v>31</v>
      </c>
      <c r="N217" s="9">
        <v>18.28</v>
      </c>
      <c r="O217" s="9">
        <v>8.3000000000000007</v>
      </c>
    </row>
    <row r="218" spans="1:15">
      <c r="A218" s="9" t="s">
        <v>250</v>
      </c>
      <c r="B218" s="9" t="s">
        <v>40</v>
      </c>
      <c r="C218" s="9" t="s">
        <v>41</v>
      </c>
      <c r="D218" s="9" t="s">
        <v>25</v>
      </c>
      <c r="E218" s="9" t="s">
        <v>19</v>
      </c>
      <c r="F218" s="9" t="s">
        <v>34</v>
      </c>
      <c r="G218" s="9">
        <v>24.77</v>
      </c>
      <c r="H218" s="9">
        <v>5</v>
      </c>
      <c r="I218" s="9">
        <v>6.1924999999999999</v>
      </c>
      <c r="J218" s="9">
        <v>130.04249999999999</v>
      </c>
      <c r="K218" s="10">
        <v>43548</v>
      </c>
      <c r="L218" s="11">
        <v>0.76875000000000004</v>
      </c>
      <c r="M218" s="9" t="s">
        <v>27</v>
      </c>
      <c r="N218" s="9">
        <v>123.85</v>
      </c>
      <c r="O218" s="9">
        <v>8.5</v>
      </c>
    </row>
    <row r="219" spans="1:15">
      <c r="A219" s="9" t="s">
        <v>251</v>
      </c>
      <c r="B219" s="9" t="s">
        <v>16</v>
      </c>
      <c r="C219" s="9" t="s">
        <v>17</v>
      </c>
      <c r="D219" s="9" t="s">
        <v>18</v>
      </c>
      <c r="E219" s="9" t="s">
        <v>19</v>
      </c>
      <c r="F219" s="9" t="s">
        <v>26</v>
      </c>
      <c r="G219" s="9">
        <v>94.64</v>
      </c>
      <c r="H219" s="9">
        <v>3</v>
      </c>
      <c r="I219" s="9">
        <v>14.196</v>
      </c>
      <c r="J219" s="9">
        <v>298.11599999999999</v>
      </c>
      <c r="K219" s="10">
        <v>43517</v>
      </c>
      <c r="L219" s="11">
        <v>0.70486111111111116</v>
      </c>
      <c r="M219" s="9" t="s">
        <v>27</v>
      </c>
      <c r="N219" s="9">
        <v>283.92</v>
      </c>
      <c r="O219" s="9">
        <v>5.5</v>
      </c>
    </row>
    <row r="220" spans="1:15">
      <c r="A220" s="9" t="s">
        <v>252</v>
      </c>
      <c r="B220" s="9" t="s">
        <v>40</v>
      </c>
      <c r="C220" s="9" t="s">
        <v>41</v>
      </c>
      <c r="D220" s="9" t="s">
        <v>25</v>
      </c>
      <c r="E220" s="9" t="s">
        <v>29</v>
      </c>
      <c r="F220" s="9" t="s">
        <v>44</v>
      </c>
      <c r="G220" s="9">
        <v>94.87</v>
      </c>
      <c r="H220" s="9">
        <v>8</v>
      </c>
      <c r="I220" s="9">
        <v>37.948</v>
      </c>
      <c r="J220" s="9">
        <v>796.90800000000002</v>
      </c>
      <c r="K220" s="10">
        <v>43508</v>
      </c>
      <c r="L220" s="11">
        <v>0.54027777777777775</v>
      </c>
      <c r="M220" s="9" t="s">
        <v>21</v>
      </c>
      <c r="N220" s="9">
        <v>758.96</v>
      </c>
      <c r="O220" s="9">
        <v>8.6999999999999993</v>
      </c>
    </row>
    <row r="221" spans="1:15">
      <c r="A221" s="9" t="s">
        <v>253</v>
      </c>
      <c r="B221" s="9" t="s">
        <v>40</v>
      </c>
      <c r="C221" s="9" t="s">
        <v>41</v>
      </c>
      <c r="D221" s="9" t="s">
        <v>25</v>
      </c>
      <c r="E221" s="9" t="s">
        <v>19</v>
      </c>
      <c r="F221" s="9" t="s">
        <v>42</v>
      </c>
      <c r="G221" s="9">
        <v>57.34</v>
      </c>
      <c r="H221" s="9">
        <v>3</v>
      </c>
      <c r="I221" s="9">
        <v>8.6010000000000009</v>
      </c>
      <c r="J221" s="9">
        <v>180.62100000000001</v>
      </c>
      <c r="K221" s="10">
        <v>43534</v>
      </c>
      <c r="L221" s="11">
        <v>0.79097222222222219</v>
      </c>
      <c r="M221" s="9" t="s">
        <v>31</v>
      </c>
      <c r="N221" s="9">
        <v>172.02</v>
      </c>
      <c r="O221" s="9">
        <v>7.9</v>
      </c>
    </row>
    <row r="222" spans="1:15">
      <c r="A222" s="9" t="s">
        <v>254</v>
      </c>
      <c r="B222" s="9" t="s">
        <v>40</v>
      </c>
      <c r="C222" s="9" t="s">
        <v>41</v>
      </c>
      <c r="D222" s="9" t="s">
        <v>25</v>
      </c>
      <c r="E222" s="9" t="s">
        <v>29</v>
      </c>
      <c r="F222" s="9" t="s">
        <v>26</v>
      </c>
      <c r="G222" s="9">
        <v>45.35</v>
      </c>
      <c r="H222" s="9">
        <v>6</v>
      </c>
      <c r="I222" s="9">
        <v>13.605</v>
      </c>
      <c r="J222" s="9">
        <v>285.70499999999998</v>
      </c>
      <c r="K222" s="10">
        <v>43496</v>
      </c>
      <c r="L222" s="11">
        <v>0.57222222222222219</v>
      </c>
      <c r="M222" s="9" t="s">
        <v>21</v>
      </c>
      <c r="N222" s="9">
        <v>272.10000000000002</v>
      </c>
      <c r="O222" s="9">
        <v>6.1</v>
      </c>
    </row>
    <row r="223" spans="1:15">
      <c r="A223" s="9" t="s">
        <v>255</v>
      </c>
      <c r="B223" s="9" t="s">
        <v>40</v>
      </c>
      <c r="C223" s="9" t="s">
        <v>41</v>
      </c>
      <c r="D223" s="9" t="s">
        <v>25</v>
      </c>
      <c r="E223" s="9" t="s">
        <v>29</v>
      </c>
      <c r="F223" s="9" t="s">
        <v>42</v>
      </c>
      <c r="G223" s="9">
        <v>62.08</v>
      </c>
      <c r="H223" s="9">
        <v>7</v>
      </c>
      <c r="I223" s="9">
        <v>21.728000000000002</v>
      </c>
      <c r="J223" s="9">
        <v>456.28800000000001</v>
      </c>
      <c r="K223" s="10">
        <v>43530</v>
      </c>
      <c r="L223" s="11">
        <v>0.57361111111111107</v>
      </c>
      <c r="M223" s="9" t="s">
        <v>21</v>
      </c>
      <c r="N223" s="9">
        <v>434.56</v>
      </c>
      <c r="O223" s="9">
        <v>5.4</v>
      </c>
    </row>
    <row r="224" spans="1:15">
      <c r="A224" s="9" t="s">
        <v>256</v>
      </c>
      <c r="B224" s="9" t="s">
        <v>23</v>
      </c>
      <c r="C224" s="9" t="s">
        <v>24</v>
      </c>
      <c r="D224" s="9" t="s">
        <v>25</v>
      </c>
      <c r="E224" s="9" t="s">
        <v>29</v>
      </c>
      <c r="F224" s="9" t="s">
        <v>26</v>
      </c>
      <c r="G224" s="9">
        <v>11.81</v>
      </c>
      <c r="H224" s="9">
        <v>5</v>
      </c>
      <c r="I224" s="9">
        <v>2.9525000000000001</v>
      </c>
      <c r="J224" s="9">
        <v>62.002499999999998</v>
      </c>
      <c r="K224" s="10">
        <v>43513</v>
      </c>
      <c r="L224" s="11">
        <v>0.75416666666666665</v>
      </c>
      <c r="M224" s="9" t="s">
        <v>27</v>
      </c>
      <c r="N224" s="9">
        <v>59.05</v>
      </c>
      <c r="O224" s="9">
        <v>9.4</v>
      </c>
    </row>
    <row r="225" spans="1:15">
      <c r="A225" s="9" t="s">
        <v>257</v>
      </c>
      <c r="B225" s="9" t="s">
        <v>23</v>
      </c>
      <c r="C225" s="9" t="s">
        <v>24</v>
      </c>
      <c r="D225" s="9" t="s">
        <v>18</v>
      </c>
      <c r="E225" s="9" t="s">
        <v>19</v>
      </c>
      <c r="F225" s="9" t="s">
        <v>44</v>
      </c>
      <c r="G225" s="9">
        <v>12.54</v>
      </c>
      <c r="H225" s="9">
        <v>1</v>
      </c>
      <c r="I225" s="9">
        <v>0.627</v>
      </c>
      <c r="J225" s="9">
        <v>13.167</v>
      </c>
      <c r="K225" s="10">
        <v>43517</v>
      </c>
      <c r="L225" s="11">
        <v>0.52638888888888891</v>
      </c>
      <c r="M225" s="9" t="s">
        <v>27</v>
      </c>
      <c r="N225" s="9">
        <v>12.54</v>
      </c>
      <c r="O225" s="9">
        <v>8.1999999999999993</v>
      </c>
    </row>
    <row r="226" spans="1:15">
      <c r="A226" s="9" t="s">
        <v>258</v>
      </c>
      <c r="B226" s="9" t="s">
        <v>16</v>
      </c>
      <c r="C226" s="9" t="s">
        <v>17</v>
      </c>
      <c r="D226" s="9" t="s">
        <v>25</v>
      </c>
      <c r="E226" s="9" t="s">
        <v>29</v>
      </c>
      <c r="F226" s="9" t="s">
        <v>42</v>
      </c>
      <c r="G226" s="9">
        <v>43.25</v>
      </c>
      <c r="H226" s="9">
        <v>2</v>
      </c>
      <c r="I226" s="9">
        <v>4.3250000000000002</v>
      </c>
      <c r="J226" s="9">
        <v>90.825000000000003</v>
      </c>
      <c r="K226" s="10">
        <v>43544</v>
      </c>
      <c r="L226" s="11">
        <v>0.66388888888888886</v>
      </c>
      <c r="M226" s="9" t="s">
        <v>27</v>
      </c>
      <c r="N226" s="9">
        <v>86.5</v>
      </c>
      <c r="O226" s="9">
        <v>6.2</v>
      </c>
    </row>
    <row r="227" spans="1:15">
      <c r="A227" s="9" t="s">
        <v>259</v>
      </c>
      <c r="B227" s="9" t="s">
        <v>23</v>
      </c>
      <c r="C227" s="9" t="s">
        <v>24</v>
      </c>
      <c r="D227" s="9" t="s">
        <v>18</v>
      </c>
      <c r="E227" s="9" t="s">
        <v>19</v>
      </c>
      <c r="F227" s="9" t="s">
        <v>34</v>
      </c>
      <c r="G227" s="9">
        <v>87.16</v>
      </c>
      <c r="H227" s="9">
        <v>2</v>
      </c>
      <c r="I227" s="9">
        <v>8.7159999999999993</v>
      </c>
      <c r="J227" s="9">
        <v>183.036</v>
      </c>
      <c r="K227" s="10">
        <v>43476</v>
      </c>
      <c r="L227" s="11">
        <v>0.60347222222222219</v>
      </c>
      <c r="M227" s="9" t="s">
        <v>31</v>
      </c>
      <c r="N227" s="9">
        <v>174.32</v>
      </c>
      <c r="O227" s="9">
        <v>9.6999999999999993</v>
      </c>
    </row>
    <row r="228" spans="1:15">
      <c r="A228" s="9" t="s">
        <v>260</v>
      </c>
      <c r="B228" s="9" t="s">
        <v>40</v>
      </c>
      <c r="C228" s="9" t="s">
        <v>41</v>
      </c>
      <c r="D228" s="9" t="s">
        <v>18</v>
      </c>
      <c r="E228" s="9" t="s">
        <v>29</v>
      </c>
      <c r="F228" s="9" t="s">
        <v>20</v>
      </c>
      <c r="G228" s="9">
        <v>69.37</v>
      </c>
      <c r="H228" s="9">
        <v>9</v>
      </c>
      <c r="I228" s="9">
        <v>31.2165</v>
      </c>
      <c r="J228" s="9">
        <v>655.54650000000004</v>
      </c>
      <c r="K228" s="10">
        <v>43491</v>
      </c>
      <c r="L228" s="11">
        <v>0.80138888888888893</v>
      </c>
      <c r="M228" s="9" t="s">
        <v>21</v>
      </c>
      <c r="N228" s="9">
        <v>624.33000000000004</v>
      </c>
      <c r="O228" s="9">
        <v>4</v>
      </c>
    </row>
    <row r="229" spans="1:15">
      <c r="A229" s="9" t="s">
        <v>261</v>
      </c>
      <c r="B229" s="9" t="s">
        <v>23</v>
      </c>
      <c r="C229" s="9" t="s">
        <v>24</v>
      </c>
      <c r="D229" s="9" t="s">
        <v>18</v>
      </c>
      <c r="E229" s="9" t="s">
        <v>29</v>
      </c>
      <c r="F229" s="9" t="s">
        <v>26</v>
      </c>
      <c r="G229" s="9">
        <v>37.06</v>
      </c>
      <c r="H229" s="9">
        <v>4</v>
      </c>
      <c r="I229" s="9">
        <v>7.4119999999999999</v>
      </c>
      <c r="J229" s="9">
        <v>155.65199999999999</v>
      </c>
      <c r="K229" s="10">
        <v>43496</v>
      </c>
      <c r="L229" s="11">
        <v>0.68333333333333335</v>
      </c>
      <c r="M229" s="9" t="s">
        <v>21</v>
      </c>
      <c r="N229" s="9">
        <v>148.24</v>
      </c>
      <c r="O229" s="9">
        <v>9.6999999999999993</v>
      </c>
    </row>
    <row r="230" spans="1:15">
      <c r="A230" s="9" t="s">
        <v>262</v>
      </c>
      <c r="B230" s="9" t="s">
        <v>40</v>
      </c>
      <c r="C230" s="9" t="s">
        <v>41</v>
      </c>
      <c r="D230" s="9" t="s">
        <v>18</v>
      </c>
      <c r="E230" s="9" t="s">
        <v>19</v>
      </c>
      <c r="F230" s="9" t="s">
        <v>26</v>
      </c>
      <c r="G230" s="9">
        <v>90.7</v>
      </c>
      <c r="H230" s="9">
        <v>6</v>
      </c>
      <c r="I230" s="9">
        <v>27.21</v>
      </c>
      <c r="J230" s="9">
        <v>571.41</v>
      </c>
      <c r="K230" s="10">
        <v>43522</v>
      </c>
      <c r="L230" s="11">
        <v>0.45277777777777778</v>
      </c>
      <c r="M230" s="9" t="s">
        <v>27</v>
      </c>
      <c r="N230" s="9">
        <v>544.20000000000005</v>
      </c>
      <c r="O230" s="9">
        <v>5.3</v>
      </c>
    </row>
    <row r="231" spans="1:15">
      <c r="A231" s="9" t="s">
        <v>263</v>
      </c>
      <c r="B231" s="9" t="s">
        <v>16</v>
      </c>
      <c r="C231" s="9" t="s">
        <v>17</v>
      </c>
      <c r="D231" s="9" t="s">
        <v>25</v>
      </c>
      <c r="E231" s="9" t="s">
        <v>19</v>
      </c>
      <c r="F231" s="9" t="s">
        <v>30</v>
      </c>
      <c r="G231" s="9">
        <v>63.42</v>
      </c>
      <c r="H231" s="9">
        <v>8</v>
      </c>
      <c r="I231" s="9">
        <v>25.367999999999999</v>
      </c>
      <c r="J231" s="9">
        <v>532.72799999999995</v>
      </c>
      <c r="K231" s="10">
        <v>43535</v>
      </c>
      <c r="L231" s="11">
        <v>0.53819444444444442</v>
      </c>
      <c r="M231" s="9" t="s">
        <v>21</v>
      </c>
      <c r="N231" s="9">
        <v>507.36</v>
      </c>
      <c r="O231" s="9">
        <v>7.4</v>
      </c>
    </row>
    <row r="232" spans="1:15">
      <c r="A232" s="9" t="s">
        <v>264</v>
      </c>
      <c r="B232" s="9" t="s">
        <v>40</v>
      </c>
      <c r="C232" s="9" t="s">
        <v>41</v>
      </c>
      <c r="D232" s="9" t="s">
        <v>25</v>
      </c>
      <c r="E232" s="9" t="s">
        <v>19</v>
      </c>
      <c r="F232" s="9" t="s">
        <v>44</v>
      </c>
      <c r="G232" s="9">
        <v>81.37</v>
      </c>
      <c r="H232" s="9">
        <v>2</v>
      </c>
      <c r="I232" s="9">
        <v>8.1370000000000005</v>
      </c>
      <c r="J232" s="9">
        <v>170.87700000000001</v>
      </c>
      <c r="K232" s="10">
        <v>43491</v>
      </c>
      <c r="L232" s="11">
        <v>0.81111111111111112</v>
      </c>
      <c r="M232" s="9" t="s">
        <v>27</v>
      </c>
      <c r="N232" s="9">
        <v>162.74</v>
      </c>
      <c r="O232" s="9">
        <v>6.5</v>
      </c>
    </row>
    <row r="233" spans="1:15">
      <c r="A233" s="9" t="s">
        <v>265</v>
      </c>
      <c r="B233" s="9" t="s">
        <v>40</v>
      </c>
      <c r="C233" s="9" t="s">
        <v>41</v>
      </c>
      <c r="D233" s="9" t="s">
        <v>18</v>
      </c>
      <c r="E233" s="9" t="s">
        <v>19</v>
      </c>
      <c r="F233" s="9" t="s">
        <v>26</v>
      </c>
      <c r="G233" s="9">
        <v>10.59</v>
      </c>
      <c r="H233" s="9">
        <v>3</v>
      </c>
      <c r="I233" s="9">
        <v>1.5885</v>
      </c>
      <c r="J233" s="9">
        <v>33.358499999999999</v>
      </c>
      <c r="K233" s="10">
        <v>43536</v>
      </c>
      <c r="L233" s="11">
        <v>0.57777777777777772</v>
      </c>
      <c r="M233" s="9" t="s">
        <v>31</v>
      </c>
      <c r="N233" s="9">
        <v>31.77</v>
      </c>
      <c r="O233" s="9">
        <v>8.6999999999999993</v>
      </c>
    </row>
    <row r="234" spans="1:15">
      <c r="A234" s="9" t="s">
        <v>266</v>
      </c>
      <c r="B234" s="9" t="s">
        <v>40</v>
      </c>
      <c r="C234" s="9" t="s">
        <v>41</v>
      </c>
      <c r="D234" s="9" t="s">
        <v>25</v>
      </c>
      <c r="E234" s="9" t="s">
        <v>19</v>
      </c>
      <c r="F234" s="9" t="s">
        <v>20</v>
      </c>
      <c r="G234" s="9">
        <v>84.09</v>
      </c>
      <c r="H234" s="9">
        <v>9</v>
      </c>
      <c r="I234" s="9">
        <v>37.840499999999999</v>
      </c>
      <c r="J234" s="9">
        <v>794.65049999999997</v>
      </c>
      <c r="K234" s="10">
        <v>43507</v>
      </c>
      <c r="L234" s="11">
        <v>0.45416666666666666</v>
      </c>
      <c r="M234" s="9" t="s">
        <v>27</v>
      </c>
      <c r="N234" s="9">
        <v>756.81</v>
      </c>
      <c r="O234" s="9">
        <v>8</v>
      </c>
    </row>
    <row r="235" spans="1:15">
      <c r="A235" s="9" t="s">
        <v>267</v>
      </c>
      <c r="B235" s="9" t="s">
        <v>40</v>
      </c>
      <c r="C235" s="9" t="s">
        <v>41</v>
      </c>
      <c r="D235" s="9" t="s">
        <v>18</v>
      </c>
      <c r="E235" s="9" t="s">
        <v>29</v>
      </c>
      <c r="F235" s="9" t="s">
        <v>44</v>
      </c>
      <c r="G235" s="9">
        <v>73.819999999999993</v>
      </c>
      <c r="H235" s="9">
        <v>4</v>
      </c>
      <c r="I235" s="9">
        <v>14.763999999999999</v>
      </c>
      <c r="J235" s="9">
        <v>310.04399999999998</v>
      </c>
      <c r="K235" s="10">
        <v>43517</v>
      </c>
      <c r="L235" s="11">
        <v>0.77152777777777781</v>
      </c>
      <c r="M235" s="9" t="s">
        <v>27</v>
      </c>
      <c r="N235" s="9">
        <v>295.27999999999997</v>
      </c>
      <c r="O235" s="9">
        <v>6.7</v>
      </c>
    </row>
    <row r="236" spans="1:15">
      <c r="A236" s="9" t="s">
        <v>268</v>
      </c>
      <c r="B236" s="9" t="s">
        <v>16</v>
      </c>
      <c r="C236" s="9" t="s">
        <v>17</v>
      </c>
      <c r="D236" s="9" t="s">
        <v>18</v>
      </c>
      <c r="E236" s="9" t="s">
        <v>29</v>
      </c>
      <c r="F236" s="9" t="s">
        <v>20</v>
      </c>
      <c r="G236" s="9">
        <v>51.94</v>
      </c>
      <c r="H236" s="9">
        <v>10</v>
      </c>
      <c r="I236" s="9">
        <v>25.97</v>
      </c>
      <c r="J236" s="9">
        <v>545.37</v>
      </c>
      <c r="K236" s="10">
        <v>43533</v>
      </c>
      <c r="L236" s="11">
        <v>0.76666666666666672</v>
      </c>
      <c r="M236" s="9" t="s">
        <v>21</v>
      </c>
      <c r="N236" s="9">
        <v>519.4</v>
      </c>
      <c r="O236" s="9">
        <v>6.5</v>
      </c>
    </row>
    <row r="237" spans="1:15">
      <c r="A237" s="9" t="s">
        <v>269</v>
      </c>
      <c r="B237" s="9" t="s">
        <v>16</v>
      </c>
      <c r="C237" s="9" t="s">
        <v>17</v>
      </c>
      <c r="D237" s="9" t="s">
        <v>25</v>
      </c>
      <c r="E237" s="9" t="s">
        <v>19</v>
      </c>
      <c r="F237" s="9" t="s">
        <v>34</v>
      </c>
      <c r="G237" s="9">
        <v>93.14</v>
      </c>
      <c r="H237" s="9">
        <v>2</v>
      </c>
      <c r="I237" s="9">
        <v>9.3140000000000001</v>
      </c>
      <c r="J237" s="9">
        <v>195.59399999999999</v>
      </c>
      <c r="K237" s="10">
        <v>43485</v>
      </c>
      <c r="L237" s="11">
        <v>0.75624999999999998</v>
      </c>
      <c r="M237" s="9" t="s">
        <v>21</v>
      </c>
      <c r="N237" s="9">
        <v>186.28</v>
      </c>
      <c r="O237" s="9">
        <v>4.0999999999999996</v>
      </c>
    </row>
    <row r="238" spans="1:15">
      <c r="A238" s="9" t="s">
        <v>270</v>
      </c>
      <c r="B238" s="9" t="s">
        <v>23</v>
      </c>
      <c r="C238" s="9" t="s">
        <v>24</v>
      </c>
      <c r="D238" s="9" t="s">
        <v>25</v>
      </c>
      <c r="E238" s="9" t="s">
        <v>29</v>
      </c>
      <c r="F238" s="9" t="s">
        <v>20</v>
      </c>
      <c r="G238" s="9">
        <v>17.41</v>
      </c>
      <c r="H238" s="9">
        <v>5</v>
      </c>
      <c r="I238" s="9">
        <v>4.3525</v>
      </c>
      <c r="J238" s="9">
        <v>91.402500000000003</v>
      </c>
      <c r="K238" s="10">
        <v>43493</v>
      </c>
      <c r="L238" s="11">
        <v>0.63611111111111107</v>
      </c>
      <c r="M238" s="9" t="s">
        <v>31</v>
      </c>
      <c r="N238" s="9">
        <v>87.05</v>
      </c>
      <c r="O238" s="9">
        <v>4.9000000000000004</v>
      </c>
    </row>
    <row r="239" spans="1:15">
      <c r="A239" s="9" t="s">
        <v>271</v>
      </c>
      <c r="B239" s="9" t="s">
        <v>23</v>
      </c>
      <c r="C239" s="9" t="s">
        <v>24</v>
      </c>
      <c r="D239" s="9" t="s">
        <v>18</v>
      </c>
      <c r="E239" s="9" t="s">
        <v>19</v>
      </c>
      <c r="F239" s="9" t="s">
        <v>44</v>
      </c>
      <c r="G239" s="9">
        <v>44.22</v>
      </c>
      <c r="H239" s="9">
        <v>5</v>
      </c>
      <c r="I239" s="9">
        <v>11.055</v>
      </c>
      <c r="J239" s="9">
        <v>232.155</v>
      </c>
      <c r="K239" s="10">
        <v>43529</v>
      </c>
      <c r="L239" s="11">
        <v>0.71319444444444446</v>
      </c>
      <c r="M239" s="9" t="s">
        <v>31</v>
      </c>
      <c r="N239" s="9">
        <v>221.1</v>
      </c>
      <c r="O239" s="9">
        <v>8.6</v>
      </c>
    </row>
    <row r="240" spans="1:15">
      <c r="A240" s="9" t="s">
        <v>272</v>
      </c>
      <c r="B240" s="9" t="s">
        <v>40</v>
      </c>
      <c r="C240" s="9" t="s">
        <v>41</v>
      </c>
      <c r="D240" s="9" t="s">
        <v>18</v>
      </c>
      <c r="E240" s="9" t="s">
        <v>19</v>
      </c>
      <c r="F240" s="9" t="s">
        <v>26</v>
      </c>
      <c r="G240" s="9">
        <v>13.22</v>
      </c>
      <c r="H240" s="9">
        <v>5</v>
      </c>
      <c r="I240" s="9">
        <v>3.3050000000000002</v>
      </c>
      <c r="J240" s="9">
        <v>69.405000000000001</v>
      </c>
      <c r="K240" s="10">
        <v>43526</v>
      </c>
      <c r="L240" s="11">
        <v>0.80972222222222223</v>
      </c>
      <c r="M240" s="9" t="s">
        <v>27</v>
      </c>
      <c r="N240" s="9">
        <v>66.099999999999994</v>
      </c>
      <c r="O240" s="9">
        <v>4.3</v>
      </c>
    </row>
    <row r="241" spans="1:15">
      <c r="A241" s="9" t="s">
        <v>273</v>
      </c>
      <c r="B241" s="9" t="s">
        <v>16</v>
      </c>
      <c r="C241" s="9" t="s">
        <v>17</v>
      </c>
      <c r="D241" s="9" t="s">
        <v>25</v>
      </c>
      <c r="E241" s="9" t="s">
        <v>29</v>
      </c>
      <c r="F241" s="9" t="s">
        <v>44</v>
      </c>
      <c r="G241" s="9">
        <v>89.69</v>
      </c>
      <c r="H241" s="9">
        <v>1</v>
      </c>
      <c r="I241" s="9">
        <v>4.4844999999999997</v>
      </c>
      <c r="J241" s="9">
        <v>94.174499999999995</v>
      </c>
      <c r="K241" s="10">
        <v>43476</v>
      </c>
      <c r="L241" s="11">
        <v>0.47222222222222221</v>
      </c>
      <c r="M241" s="9" t="s">
        <v>21</v>
      </c>
      <c r="N241" s="9">
        <v>89.69</v>
      </c>
      <c r="O241" s="9">
        <v>4.9000000000000004</v>
      </c>
    </row>
    <row r="242" spans="1:15">
      <c r="A242" s="9" t="s">
        <v>274</v>
      </c>
      <c r="B242" s="9" t="s">
        <v>16</v>
      </c>
      <c r="C242" s="9" t="s">
        <v>17</v>
      </c>
      <c r="D242" s="9" t="s">
        <v>25</v>
      </c>
      <c r="E242" s="9" t="s">
        <v>29</v>
      </c>
      <c r="F242" s="9" t="s">
        <v>42</v>
      </c>
      <c r="G242" s="9">
        <v>24.94</v>
      </c>
      <c r="H242" s="9">
        <v>9</v>
      </c>
      <c r="I242" s="9">
        <v>11.223000000000001</v>
      </c>
      <c r="J242" s="9">
        <v>235.68299999999999</v>
      </c>
      <c r="K242" s="10">
        <v>43476</v>
      </c>
      <c r="L242" s="11">
        <v>0.7006944444444444</v>
      </c>
      <c r="M242" s="9" t="s">
        <v>31</v>
      </c>
      <c r="N242" s="9">
        <v>224.46</v>
      </c>
      <c r="O242" s="9">
        <v>5.6</v>
      </c>
    </row>
    <row r="243" spans="1:15">
      <c r="A243" s="9" t="s">
        <v>275</v>
      </c>
      <c r="B243" s="9" t="s">
        <v>16</v>
      </c>
      <c r="C243" s="9" t="s">
        <v>17</v>
      </c>
      <c r="D243" s="9" t="s">
        <v>25</v>
      </c>
      <c r="E243" s="9" t="s">
        <v>29</v>
      </c>
      <c r="F243" s="9" t="s">
        <v>20</v>
      </c>
      <c r="G243" s="9">
        <v>59.77</v>
      </c>
      <c r="H243" s="9">
        <v>2</v>
      </c>
      <c r="I243" s="9">
        <v>5.9770000000000003</v>
      </c>
      <c r="J243" s="9">
        <v>125.517</v>
      </c>
      <c r="K243" s="10">
        <v>43535</v>
      </c>
      <c r="L243" s="11">
        <v>0.50069444444444444</v>
      </c>
      <c r="M243" s="9" t="s">
        <v>31</v>
      </c>
      <c r="N243" s="9">
        <v>119.54</v>
      </c>
      <c r="O243" s="9">
        <v>5.8</v>
      </c>
    </row>
    <row r="244" spans="1:15">
      <c r="A244" s="9" t="s">
        <v>276</v>
      </c>
      <c r="B244" s="9" t="s">
        <v>23</v>
      </c>
      <c r="C244" s="9" t="s">
        <v>24</v>
      </c>
      <c r="D244" s="9" t="s">
        <v>18</v>
      </c>
      <c r="E244" s="9" t="s">
        <v>29</v>
      </c>
      <c r="F244" s="9" t="s">
        <v>44</v>
      </c>
      <c r="G244" s="9">
        <v>93.2</v>
      </c>
      <c r="H244" s="9">
        <v>2</v>
      </c>
      <c r="I244" s="9">
        <v>9.32</v>
      </c>
      <c r="J244" s="9">
        <v>195.72</v>
      </c>
      <c r="K244" s="10">
        <v>43524</v>
      </c>
      <c r="L244" s="11">
        <v>0.77569444444444446</v>
      </c>
      <c r="M244" s="9" t="s">
        <v>31</v>
      </c>
      <c r="N244" s="9">
        <v>186.4</v>
      </c>
      <c r="O244" s="9">
        <v>6</v>
      </c>
    </row>
    <row r="245" spans="1:15">
      <c r="A245" s="9" t="s">
        <v>277</v>
      </c>
      <c r="B245" s="9" t="s">
        <v>16</v>
      </c>
      <c r="C245" s="9" t="s">
        <v>17</v>
      </c>
      <c r="D245" s="9" t="s">
        <v>18</v>
      </c>
      <c r="E245" s="9" t="s">
        <v>29</v>
      </c>
      <c r="F245" s="9" t="s">
        <v>30</v>
      </c>
      <c r="G245" s="9">
        <v>62.65</v>
      </c>
      <c r="H245" s="9">
        <v>4</v>
      </c>
      <c r="I245" s="9">
        <v>12.53</v>
      </c>
      <c r="J245" s="9">
        <v>263.13</v>
      </c>
      <c r="K245" s="10">
        <v>43470</v>
      </c>
      <c r="L245" s="11">
        <v>0.47569444444444442</v>
      </c>
      <c r="M245" s="9" t="s">
        <v>27</v>
      </c>
      <c r="N245" s="9">
        <v>250.6</v>
      </c>
      <c r="O245" s="9">
        <v>4.2</v>
      </c>
    </row>
    <row r="246" spans="1:15">
      <c r="A246" s="9" t="s">
        <v>278</v>
      </c>
      <c r="B246" s="9" t="s">
        <v>40</v>
      </c>
      <c r="C246" s="9" t="s">
        <v>41</v>
      </c>
      <c r="D246" s="9" t="s">
        <v>25</v>
      </c>
      <c r="E246" s="9" t="s">
        <v>29</v>
      </c>
      <c r="F246" s="9" t="s">
        <v>30</v>
      </c>
      <c r="G246" s="9">
        <v>93.87</v>
      </c>
      <c r="H246" s="9">
        <v>8</v>
      </c>
      <c r="I246" s="9">
        <v>37.548000000000002</v>
      </c>
      <c r="J246" s="9">
        <v>788.50800000000004</v>
      </c>
      <c r="K246" s="10">
        <v>43498</v>
      </c>
      <c r="L246" s="11">
        <v>0.77916666666666667</v>
      </c>
      <c r="M246" s="9" t="s">
        <v>31</v>
      </c>
      <c r="N246" s="9">
        <v>750.96</v>
      </c>
      <c r="O246" s="9">
        <v>8.3000000000000007</v>
      </c>
    </row>
    <row r="247" spans="1:15">
      <c r="A247" s="9" t="s">
        <v>279</v>
      </c>
      <c r="B247" s="9" t="s">
        <v>16</v>
      </c>
      <c r="C247" s="9" t="s">
        <v>17</v>
      </c>
      <c r="D247" s="9" t="s">
        <v>18</v>
      </c>
      <c r="E247" s="9" t="s">
        <v>29</v>
      </c>
      <c r="F247" s="9" t="s">
        <v>30</v>
      </c>
      <c r="G247" s="9">
        <v>47.59</v>
      </c>
      <c r="H247" s="9">
        <v>8</v>
      </c>
      <c r="I247" s="9">
        <v>19.036000000000001</v>
      </c>
      <c r="J247" s="9">
        <v>399.75599999999997</v>
      </c>
      <c r="K247" s="10">
        <v>43466</v>
      </c>
      <c r="L247" s="11">
        <v>0.61597222222222225</v>
      </c>
      <c r="M247" s="9" t="s">
        <v>27</v>
      </c>
      <c r="N247" s="9">
        <v>380.72</v>
      </c>
      <c r="O247" s="9">
        <v>5.7</v>
      </c>
    </row>
    <row r="248" spans="1:15">
      <c r="A248" s="9" t="s">
        <v>280</v>
      </c>
      <c r="B248" s="9" t="s">
        <v>40</v>
      </c>
      <c r="C248" s="9" t="s">
        <v>41</v>
      </c>
      <c r="D248" s="9" t="s">
        <v>18</v>
      </c>
      <c r="E248" s="9" t="s">
        <v>19</v>
      </c>
      <c r="F248" s="9" t="s">
        <v>26</v>
      </c>
      <c r="G248" s="9">
        <v>81.400000000000006</v>
      </c>
      <c r="H248" s="9">
        <v>3</v>
      </c>
      <c r="I248" s="9">
        <v>12.21</v>
      </c>
      <c r="J248" s="9">
        <v>256.41000000000003</v>
      </c>
      <c r="K248" s="10">
        <v>43505</v>
      </c>
      <c r="L248" s="11">
        <v>0.82152777777777775</v>
      </c>
      <c r="M248" s="9" t="s">
        <v>27</v>
      </c>
      <c r="N248" s="9">
        <v>244.2</v>
      </c>
      <c r="O248" s="9">
        <v>4.8</v>
      </c>
    </row>
    <row r="249" spans="1:15">
      <c r="A249" s="9" t="s">
        <v>281</v>
      </c>
      <c r="B249" s="9" t="s">
        <v>16</v>
      </c>
      <c r="C249" s="9" t="s">
        <v>17</v>
      </c>
      <c r="D249" s="9" t="s">
        <v>18</v>
      </c>
      <c r="E249" s="9" t="s">
        <v>29</v>
      </c>
      <c r="F249" s="9" t="s">
        <v>44</v>
      </c>
      <c r="G249" s="9">
        <v>17.940000000000001</v>
      </c>
      <c r="H249" s="9">
        <v>5</v>
      </c>
      <c r="I249" s="9">
        <v>4.4850000000000003</v>
      </c>
      <c r="J249" s="9">
        <v>94.185000000000002</v>
      </c>
      <c r="K249" s="10">
        <v>43488</v>
      </c>
      <c r="L249" s="11">
        <v>0.58611111111111114</v>
      </c>
      <c r="M249" s="9" t="s">
        <v>21</v>
      </c>
      <c r="N249" s="9">
        <v>89.7</v>
      </c>
      <c r="O249" s="9">
        <v>6.8</v>
      </c>
    </row>
    <row r="250" spans="1:15">
      <c r="A250" s="9" t="s">
        <v>282</v>
      </c>
      <c r="B250" s="9" t="s">
        <v>16</v>
      </c>
      <c r="C250" s="9" t="s">
        <v>17</v>
      </c>
      <c r="D250" s="9" t="s">
        <v>18</v>
      </c>
      <c r="E250" s="9" t="s">
        <v>29</v>
      </c>
      <c r="F250" s="9" t="s">
        <v>26</v>
      </c>
      <c r="G250" s="9">
        <v>77.72</v>
      </c>
      <c r="H250" s="9">
        <v>4</v>
      </c>
      <c r="I250" s="9">
        <v>15.544</v>
      </c>
      <c r="J250" s="9">
        <v>326.42399999999998</v>
      </c>
      <c r="K250" s="10">
        <v>43472</v>
      </c>
      <c r="L250" s="11">
        <v>0.6743055555555556</v>
      </c>
      <c r="M250" s="9" t="s">
        <v>31</v>
      </c>
      <c r="N250" s="9">
        <v>310.88</v>
      </c>
      <c r="O250" s="9">
        <v>8.8000000000000007</v>
      </c>
    </row>
    <row r="251" spans="1:15">
      <c r="A251" s="9" t="s">
        <v>283</v>
      </c>
      <c r="B251" s="9" t="s">
        <v>40</v>
      </c>
      <c r="C251" s="9" t="s">
        <v>41</v>
      </c>
      <c r="D251" s="9" t="s">
        <v>25</v>
      </c>
      <c r="E251" s="9" t="s">
        <v>29</v>
      </c>
      <c r="F251" s="9" t="s">
        <v>42</v>
      </c>
      <c r="G251" s="9">
        <v>73.06</v>
      </c>
      <c r="H251" s="9">
        <v>7</v>
      </c>
      <c r="I251" s="9">
        <v>25.571000000000002</v>
      </c>
      <c r="J251" s="9">
        <v>536.99099999999999</v>
      </c>
      <c r="K251" s="10">
        <v>43479</v>
      </c>
      <c r="L251" s="11">
        <v>0.79583333333333328</v>
      </c>
      <c r="M251" s="9" t="s">
        <v>31</v>
      </c>
      <c r="N251" s="9">
        <v>511.42</v>
      </c>
      <c r="O251" s="9">
        <v>4.2</v>
      </c>
    </row>
    <row r="252" spans="1:15">
      <c r="A252" s="9" t="s">
        <v>284</v>
      </c>
      <c r="B252" s="9" t="s">
        <v>40</v>
      </c>
      <c r="C252" s="9" t="s">
        <v>41</v>
      </c>
      <c r="D252" s="9" t="s">
        <v>18</v>
      </c>
      <c r="E252" s="9" t="s">
        <v>29</v>
      </c>
      <c r="F252" s="9" t="s">
        <v>42</v>
      </c>
      <c r="G252" s="9">
        <v>46.55</v>
      </c>
      <c r="H252" s="9">
        <v>9</v>
      </c>
      <c r="I252" s="9">
        <v>20.947500000000002</v>
      </c>
      <c r="J252" s="9">
        <v>439.89749999999998</v>
      </c>
      <c r="K252" s="10">
        <v>43498</v>
      </c>
      <c r="L252" s="11">
        <v>0.64861111111111114</v>
      </c>
      <c r="M252" s="9" t="s">
        <v>21</v>
      </c>
      <c r="N252" s="9">
        <v>418.95</v>
      </c>
      <c r="O252" s="9">
        <v>6.4</v>
      </c>
    </row>
    <row r="253" spans="1:15">
      <c r="A253" s="9" t="s">
        <v>285</v>
      </c>
      <c r="B253" s="9" t="s">
        <v>23</v>
      </c>
      <c r="C253" s="9" t="s">
        <v>24</v>
      </c>
      <c r="D253" s="9" t="s">
        <v>18</v>
      </c>
      <c r="E253" s="9" t="s">
        <v>29</v>
      </c>
      <c r="F253" s="9" t="s">
        <v>44</v>
      </c>
      <c r="G253" s="9">
        <v>35.19</v>
      </c>
      <c r="H253" s="9">
        <v>10</v>
      </c>
      <c r="I253" s="9">
        <v>17.594999999999999</v>
      </c>
      <c r="J253" s="9">
        <v>369.495</v>
      </c>
      <c r="K253" s="10">
        <v>43541</v>
      </c>
      <c r="L253" s="11">
        <v>0.79583333333333328</v>
      </c>
      <c r="M253" s="9" t="s">
        <v>31</v>
      </c>
      <c r="N253" s="9">
        <v>351.9</v>
      </c>
      <c r="O253" s="9">
        <v>8.4</v>
      </c>
    </row>
    <row r="254" spans="1:15">
      <c r="A254" s="9" t="s">
        <v>286</v>
      </c>
      <c r="B254" s="9" t="s">
        <v>23</v>
      </c>
      <c r="C254" s="9" t="s">
        <v>24</v>
      </c>
      <c r="D254" s="9" t="s">
        <v>25</v>
      </c>
      <c r="E254" s="9" t="s">
        <v>19</v>
      </c>
      <c r="F254" s="9" t="s">
        <v>34</v>
      </c>
      <c r="G254" s="9">
        <v>14.39</v>
      </c>
      <c r="H254" s="9">
        <v>2</v>
      </c>
      <c r="I254" s="9">
        <v>1.4390000000000001</v>
      </c>
      <c r="J254" s="9">
        <v>30.219000000000001</v>
      </c>
      <c r="K254" s="10">
        <v>43526</v>
      </c>
      <c r="L254" s="11">
        <v>0.82222222222222219</v>
      </c>
      <c r="M254" s="9" t="s">
        <v>31</v>
      </c>
      <c r="N254" s="9">
        <v>28.78</v>
      </c>
      <c r="O254" s="9">
        <v>7.2</v>
      </c>
    </row>
    <row r="255" spans="1:15">
      <c r="A255" s="9" t="s">
        <v>287</v>
      </c>
      <c r="B255" s="9" t="s">
        <v>16</v>
      </c>
      <c r="C255" s="9" t="s">
        <v>17</v>
      </c>
      <c r="D255" s="9" t="s">
        <v>25</v>
      </c>
      <c r="E255" s="9" t="s">
        <v>29</v>
      </c>
      <c r="F255" s="9" t="s">
        <v>30</v>
      </c>
      <c r="G255" s="9">
        <v>23.75</v>
      </c>
      <c r="H255" s="9">
        <v>4</v>
      </c>
      <c r="I255" s="9">
        <v>4.75</v>
      </c>
      <c r="J255" s="9">
        <v>99.75</v>
      </c>
      <c r="K255" s="10">
        <v>43540</v>
      </c>
      <c r="L255" s="11">
        <v>0.47361111111111109</v>
      </c>
      <c r="M255" s="9" t="s">
        <v>27</v>
      </c>
      <c r="N255" s="9">
        <v>95</v>
      </c>
      <c r="O255" s="9">
        <v>5.2</v>
      </c>
    </row>
    <row r="256" spans="1:15">
      <c r="A256" s="9" t="s">
        <v>288</v>
      </c>
      <c r="B256" s="9" t="s">
        <v>16</v>
      </c>
      <c r="C256" s="9" t="s">
        <v>17</v>
      </c>
      <c r="D256" s="9" t="s">
        <v>18</v>
      </c>
      <c r="E256" s="9" t="s">
        <v>29</v>
      </c>
      <c r="F256" s="9" t="s">
        <v>30</v>
      </c>
      <c r="G256" s="9">
        <v>58.9</v>
      </c>
      <c r="H256" s="9">
        <v>8</v>
      </c>
      <c r="I256" s="9">
        <v>23.56</v>
      </c>
      <c r="J256" s="9">
        <v>494.76</v>
      </c>
      <c r="K256" s="10">
        <v>43471</v>
      </c>
      <c r="L256" s="11">
        <v>0.47430555555555554</v>
      </c>
      <c r="M256" s="9" t="s">
        <v>27</v>
      </c>
      <c r="N256" s="9">
        <v>471.2</v>
      </c>
      <c r="O256" s="9">
        <v>8.9</v>
      </c>
    </row>
    <row r="257" spans="1:15">
      <c r="A257" s="9" t="s">
        <v>289</v>
      </c>
      <c r="B257" s="9" t="s">
        <v>40</v>
      </c>
      <c r="C257" s="9" t="s">
        <v>41</v>
      </c>
      <c r="D257" s="9" t="s">
        <v>18</v>
      </c>
      <c r="E257" s="9" t="s">
        <v>29</v>
      </c>
      <c r="F257" s="9" t="s">
        <v>44</v>
      </c>
      <c r="G257" s="9">
        <v>32.619999999999997</v>
      </c>
      <c r="H257" s="9">
        <v>4</v>
      </c>
      <c r="I257" s="9">
        <v>6.524</v>
      </c>
      <c r="J257" s="9">
        <v>137.00399999999999</v>
      </c>
      <c r="K257" s="10">
        <v>43494</v>
      </c>
      <c r="L257" s="11">
        <v>0.59166666666666667</v>
      </c>
      <c r="M257" s="9" t="s">
        <v>27</v>
      </c>
      <c r="N257" s="9">
        <v>130.47999999999999</v>
      </c>
      <c r="O257" s="9">
        <v>9</v>
      </c>
    </row>
    <row r="258" spans="1:15">
      <c r="A258" s="9" t="s">
        <v>290</v>
      </c>
      <c r="B258" s="9" t="s">
        <v>16</v>
      </c>
      <c r="C258" s="9" t="s">
        <v>17</v>
      </c>
      <c r="D258" s="9" t="s">
        <v>18</v>
      </c>
      <c r="E258" s="9" t="s">
        <v>29</v>
      </c>
      <c r="F258" s="9" t="s">
        <v>26</v>
      </c>
      <c r="G258" s="9">
        <v>66.349999999999994</v>
      </c>
      <c r="H258" s="9">
        <v>1</v>
      </c>
      <c r="I258" s="9">
        <v>3.3174999999999999</v>
      </c>
      <c r="J258" s="9">
        <v>69.667500000000004</v>
      </c>
      <c r="K258" s="10">
        <v>43496</v>
      </c>
      <c r="L258" s="11">
        <v>0.44861111111111113</v>
      </c>
      <c r="M258" s="9" t="s">
        <v>31</v>
      </c>
      <c r="N258" s="9">
        <v>66.349999999999994</v>
      </c>
      <c r="O258" s="9">
        <v>9.6999999999999993</v>
      </c>
    </row>
    <row r="259" spans="1:15">
      <c r="A259" s="9" t="s">
        <v>291</v>
      </c>
      <c r="B259" s="9" t="s">
        <v>16</v>
      </c>
      <c r="C259" s="9" t="s">
        <v>17</v>
      </c>
      <c r="D259" s="9" t="s">
        <v>18</v>
      </c>
      <c r="E259" s="9" t="s">
        <v>29</v>
      </c>
      <c r="F259" s="9" t="s">
        <v>30</v>
      </c>
      <c r="G259" s="9">
        <v>25.91</v>
      </c>
      <c r="H259" s="9">
        <v>6</v>
      </c>
      <c r="I259" s="9">
        <v>7.7729999999999997</v>
      </c>
      <c r="J259" s="9">
        <v>163.233</v>
      </c>
      <c r="K259" s="10">
        <v>43501</v>
      </c>
      <c r="L259" s="11">
        <v>0.42777777777777776</v>
      </c>
      <c r="M259" s="9" t="s">
        <v>21</v>
      </c>
      <c r="N259" s="9">
        <v>155.46</v>
      </c>
      <c r="O259" s="9">
        <v>8.6999999999999993</v>
      </c>
    </row>
    <row r="260" spans="1:15">
      <c r="A260" s="9" t="s">
        <v>292</v>
      </c>
      <c r="B260" s="9" t="s">
        <v>16</v>
      </c>
      <c r="C260" s="9" t="s">
        <v>17</v>
      </c>
      <c r="D260" s="9" t="s">
        <v>18</v>
      </c>
      <c r="E260" s="9" t="s">
        <v>29</v>
      </c>
      <c r="F260" s="9" t="s">
        <v>26</v>
      </c>
      <c r="G260" s="9">
        <v>32.25</v>
      </c>
      <c r="H260" s="9">
        <v>4</v>
      </c>
      <c r="I260" s="9">
        <v>6.45</v>
      </c>
      <c r="J260" s="9">
        <v>135.44999999999999</v>
      </c>
      <c r="K260" s="10">
        <v>43509</v>
      </c>
      <c r="L260" s="11">
        <v>0.52638888888888891</v>
      </c>
      <c r="M260" s="9" t="s">
        <v>21</v>
      </c>
      <c r="N260" s="9">
        <v>129</v>
      </c>
      <c r="O260" s="9">
        <v>6.5</v>
      </c>
    </row>
    <row r="261" spans="1:15">
      <c r="A261" s="9" t="s">
        <v>293</v>
      </c>
      <c r="B261" s="9" t="s">
        <v>23</v>
      </c>
      <c r="C261" s="9" t="s">
        <v>24</v>
      </c>
      <c r="D261" s="9" t="s">
        <v>18</v>
      </c>
      <c r="E261" s="9" t="s">
        <v>29</v>
      </c>
      <c r="F261" s="9" t="s">
        <v>26</v>
      </c>
      <c r="G261" s="9">
        <v>65.94</v>
      </c>
      <c r="H261" s="9">
        <v>4</v>
      </c>
      <c r="I261" s="9">
        <v>13.188000000000001</v>
      </c>
      <c r="J261" s="9">
        <v>276.94799999999998</v>
      </c>
      <c r="K261" s="10">
        <v>43503</v>
      </c>
      <c r="L261" s="11">
        <v>0.54513888888888884</v>
      </c>
      <c r="M261" s="9" t="s">
        <v>31</v>
      </c>
      <c r="N261" s="9">
        <v>263.76</v>
      </c>
      <c r="O261" s="9">
        <v>6.9</v>
      </c>
    </row>
    <row r="262" spans="1:15">
      <c r="A262" s="9" t="s">
        <v>294</v>
      </c>
      <c r="B262" s="9" t="s">
        <v>16</v>
      </c>
      <c r="C262" s="9" t="s">
        <v>17</v>
      </c>
      <c r="D262" s="9" t="s">
        <v>25</v>
      </c>
      <c r="E262" s="9" t="s">
        <v>19</v>
      </c>
      <c r="F262" s="9" t="s">
        <v>26</v>
      </c>
      <c r="G262" s="9">
        <v>75.06</v>
      </c>
      <c r="H262" s="9">
        <v>9</v>
      </c>
      <c r="I262" s="9">
        <v>33.777000000000001</v>
      </c>
      <c r="J262" s="9">
        <v>709.31700000000001</v>
      </c>
      <c r="K262" s="10">
        <v>43543</v>
      </c>
      <c r="L262" s="11">
        <v>0.55902777777777779</v>
      </c>
      <c r="M262" s="9" t="s">
        <v>21</v>
      </c>
      <c r="N262" s="9">
        <v>675.54</v>
      </c>
      <c r="O262" s="9">
        <v>6.2</v>
      </c>
    </row>
    <row r="263" spans="1:15">
      <c r="A263" s="9" t="s">
        <v>295</v>
      </c>
      <c r="B263" s="9" t="s">
        <v>23</v>
      </c>
      <c r="C263" s="9" t="s">
        <v>24</v>
      </c>
      <c r="D263" s="9" t="s">
        <v>25</v>
      </c>
      <c r="E263" s="9" t="s">
        <v>19</v>
      </c>
      <c r="F263" s="9" t="s">
        <v>44</v>
      </c>
      <c r="G263" s="9">
        <v>16.45</v>
      </c>
      <c r="H263" s="9">
        <v>4</v>
      </c>
      <c r="I263" s="9">
        <v>3.29</v>
      </c>
      <c r="J263" s="9">
        <v>69.09</v>
      </c>
      <c r="K263" s="10">
        <v>43531</v>
      </c>
      <c r="L263" s="11">
        <v>0.62013888888888891</v>
      </c>
      <c r="M263" s="9" t="s">
        <v>21</v>
      </c>
      <c r="N263" s="9">
        <v>65.8</v>
      </c>
      <c r="O263" s="9">
        <v>5.6</v>
      </c>
    </row>
    <row r="264" spans="1:15">
      <c r="A264" s="9" t="s">
        <v>296</v>
      </c>
      <c r="B264" s="9" t="s">
        <v>40</v>
      </c>
      <c r="C264" s="9" t="s">
        <v>41</v>
      </c>
      <c r="D264" s="9" t="s">
        <v>18</v>
      </c>
      <c r="E264" s="9" t="s">
        <v>19</v>
      </c>
      <c r="F264" s="9" t="s">
        <v>44</v>
      </c>
      <c r="G264" s="9">
        <v>38.299999999999997</v>
      </c>
      <c r="H264" s="9">
        <v>4</v>
      </c>
      <c r="I264" s="9">
        <v>7.66</v>
      </c>
      <c r="J264" s="9">
        <v>160.86000000000001</v>
      </c>
      <c r="K264" s="10">
        <v>43537</v>
      </c>
      <c r="L264" s="11">
        <v>0.80694444444444446</v>
      </c>
      <c r="M264" s="9" t="s">
        <v>27</v>
      </c>
      <c r="N264" s="9">
        <v>153.19999999999999</v>
      </c>
      <c r="O264" s="9">
        <v>5.7</v>
      </c>
    </row>
    <row r="265" spans="1:15">
      <c r="A265" s="9" t="s">
        <v>297</v>
      </c>
      <c r="B265" s="9" t="s">
        <v>16</v>
      </c>
      <c r="C265" s="9" t="s">
        <v>17</v>
      </c>
      <c r="D265" s="9" t="s">
        <v>18</v>
      </c>
      <c r="E265" s="9" t="s">
        <v>19</v>
      </c>
      <c r="F265" s="9" t="s">
        <v>34</v>
      </c>
      <c r="G265" s="9">
        <v>22.24</v>
      </c>
      <c r="H265" s="9">
        <v>10</v>
      </c>
      <c r="I265" s="9">
        <v>11.12</v>
      </c>
      <c r="J265" s="9">
        <v>233.52</v>
      </c>
      <c r="K265" s="10">
        <v>43505</v>
      </c>
      <c r="L265" s="11">
        <v>0.45833333333333331</v>
      </c>
      <c r="M265" s="9" t="s">
        <v>27</v>
      </c>
      <c r="N265" s="9">
        <v>222.4</v>
      </c>
      <c r="O265" s="9">
        <v>4.2</v>
      </c>
    </row>
    <row r="266" spans="1:15">
      <c r="A266" s="9" t="s">
        <v>298</v>
      </c>
      <c r="B266" s="9" t="s">
        <v>40</v>
      </c>
      <c r="C266" s="9" t="s">
        <v>41</v>
      </c>
      <c r="D266" s="9" t="s">
        <v>25</v>
      </c>
      <c r="E266" s="9" t="s">
        <v>29</v>
      </c>
      <c r="F266" s="9" t="s">
        <v>34</v>
      </c>
      <c r="G266" s="9">
        <v>54.45</v>
      </c>
      <c r="H266" s="9">
        <v>1</v>
      </c>
      <c r="I266" s="9">
        <v>2.7225000000000001</v>
      </c>
      <c r="J266" s="9">
        <v>57.172499999999999</v>
      </c>
      <c r="K266" s="10">
        <v>43522</v>
      </c>
      <c r="L266" s="11">
        <v>0.80833333333333335</v>
      </c>
      <c r="M266" s="9" t="s">
        <v>21</v>
      </c>
      <c r="N266" s="9">
        <v>54.45</v>
      </c>
      <c r="O266" s="9">
        <v>7.9</v>
      </c>
    </row>
    <row r="267" spans="1:15">
      <c r="A267" s="9" t="s">
        <v>299</v>
      </c>
      <c r="B267" s="9" t="s">
        <v>16</v>
      </c>
      <c r="C267" s="9" t="s">
        <v>17</v>
      </c>
      <c r="D267" s="9" t="s">
        <v>18</v>
      </c>
      <c r="E267" s="9" t="s">
        <v>19</v>
      </c>
      <c r="F267" s="9" t="s">
        <v>34</v>
      </c>
      <c r="G267" s="9">
        <v>98.4</v>
      </c>
      <c r="H267" s="9">
        <v>7</v>
      </c>
      <c r="I267" s="9">
        <v>34.44</v>
      </c>
      <c r="J267" s="9">
        <v>723.24</v>
      </c>
      <c r="K267" s="10">
        <v>43536</v>
      </c>
      <c r="L267" s="11">
        <v>0.52986111111111112</v>
      </c>
      <c r="M267" s="9" t="s">
        <v>31</v>
      </c>
      <c r="N267" s="9">
        <v>688.8</v>
      </c>
      <c r="O267" s="9">
        <v>8.6999999999999993</v>
      </c>
    </row>
    <row r="268" spans="1:15">
      <c r="A268" s="9" t="s">
        <v>300</v>
      </c>
      <c r="B268" s="9" t="s">
        <v>23</v>
      </c>
      <c r="C268" s="9" t="s">
        <v>24</v>
      </c>
      <c r="D268" s="9" t="s">
        <v>25</v>
      </c>
      <c r="E268" s="9" t="s">
        <v>29</v>
      </c>
      <c r="F268" s="9" t="s">
        <v>30</v>
      </c>
      <c r="G268" s="9">
        <v>35.47</v>
      </c>
      <c r="H268" s="9">
        <v>4</v>
      </c>
      <c r="I268" s="9">
        <v>7.0940000000000003</v>
      </c>
      <c r="J268" s="9">
        <v>148.97399999999999</v>
      </c>
      <c r="K268" s="10">
        <v>43538</v>
      </c>
      <c r="L268" s="11">
        <v>0.72361111111111109</v>
      </c>
      <c r="M268" s="9" t="s">
        <v>31</v>
      </c>
      <c r="N268" s="9">
        <v>141.88</v>
      </c>
      <c r="O268" s="9">
        <v>6.9</v>
      </c>
    </row>
    <row r="269" spans="1:15">
      <c r="A269" s="9" t="s">
        <v>301</v>
      </c>
      <c r="B269" s="9" t="s">
        <v>40</v>
      </c>
      <c r="C269" s="9" t="s">
        <v>41</v>
      </c>
      <c r="D269" s="9" t="s">
        <v>18</v>
      </c>
      <c r="E269" s="9" t="s">
        <v>19</v>
      </c>
      <c r="F269" s="9" t="s">
        <v>42</v>
      </c>
      <c r="G269" s="9">
        <v>74.599999999999994</v>
      </c>
      <c r="H269" s="9">
        <v>10</v>
      </c>
      <c r="I269" s="9">
        <v>37.299999999999997</v>
      </c>
      <c r="J269" s="9">
        <v>783.3</v>
      </c>
      <c r="K269" s="10">
        <v>43473</v>
      </c>
      <c r="L269" s="11">
        <v>0.87152777777777779</v>
      </c>
      <c r="M269" s="9" t="s">
        <v>27</v>
      </c>
      <c r="N269" s="9">
        <v>746</v>
      </c>
      <c r="O269" s="9">
        <v>9.5</v>
      </c>
    </row>
    <row r="270" spans="1:15">
      <c r="A270" s="9" t="s">
        <v>302</v>
      </c>
      <c r="B270" s="9" t="s">
        <v>16</v>
      </c>
      <c r="C270" s="9" t="s">
        <v>17</v>
      </c>
      <c r="D270" s="9" t="s">
        <v>18</v>
      </c>
      <c r="E270" s="9" t="s">
        <v>29</v>
      </c>
      <c r="F270" s="9" t="s">
        <v>30</v>
      </c>
      <c r="G270" s="9">
        <v>70.739999999999995</v>
      </c>
      <c r="H270" s="9">
        <v>4</v>
      </c>
      <c r="I270" s="9">
        <v>14.148</v>
      </c>
      <c r="J270" s="9">
        <v>297.108</v>
      </c>
      <c r="K270" s="10">
        <v>43470</v>
      </c>
      <c r="L270" s="11">
        <v>0.67013888888888884</v>
      </c>
      <c r="M270" s="9" t="s">
        <v>31</v>
      </c>
      <c r="N270" s="9">
        <v>282.95999999999998</v>
      </c>
      <c r="O270" s="9">
        <v>4.4000000000000004</v>
      </c>
    </row>
    <row r="271" spans="1:15">
      <c r="A271" s="9" t="s">
        <v>303</v>
      </c>
      <c r="B271" s="9" t="s">
        <v>16</v>
      </c>
      <c r="C271" s="9" t="s">
        <v>17</v>
      </c>
      <c r="D271" s="9" t="s">
        <v>18</v>
      </c>
      <c r="E271" s="9" t="s">
        <v>19</v>
      </c>
      <c r="F271" s="9" t="s">
        <v>30</v>
      </c>
      <c r="G271" s="9">
        <v>35.54</v>
      </c>
      <c r="H271" s="9">
        <v>10</v>
      </c>
      <c r="I271" s="9">
        <v>17.77</v>
      </c>
      <c r="J271" s="9">
        <v>373.17</v>
      </c>
      <c r="K271" s="10">
        <v>43469</v>
      </c>
      <c r="L271" s="11">
        <v>0.56527777777777777</v>
      </c>
      <c r="M271" s="9" t="s">
        <v>21</v>
      </c>
      <c r="N271" s="9">
        <v>355.4</v>
      </c>
      <c r="O271" s="9">
        <v>7</v>
      </c>
    </row>
    <row r="272" spans="1:15">
      <c r="A272" s="9" t="s">
        <v>304</v>
      </c>
      <c r="B272" s="9" t="s">
        <v>40</v>
      </c>
      <c r="C272" s="9" t="s">
        <v>41</v>
      </c>
      <c r="D272" s="9" t="s">
        <v>25</v>
      </c>
      <c r="E272" s="9" t="s">
        <v>19</v>
      </c>
      <c r="F272" s="9" t="s">
        <v>34</v>
      </c>
      <c r="G272" s="9">
        <v>67.430000000000007</v>
      </c>
      <c r="H272" s="9">
        <v>5</v>
      </c>
      <c r="I272" s="9">
        <v>16.857500000000002</v>
      </c>
      <c r="J272" s="9">
        <v>354.00749999999999</v>
      </c>
      <c r="K272" s="10">
        <v>43530</v>
      </c>
      <c r="L272" s="11">
        <v>0.75902777777777775</v>
      </c>
      <c r="M272" s="9" t="s">
        <v>21</v>
      </c>
      <c r="N272" s="9">
        <v>337.15</v>
      </c>
      <c r="O272" s="9">
        <v>6.3</v>
      </c>
    </row>
    <row r="273" spans="1:15">
      <c r="A273" s="9" t="s">
        <v>305</v>
      </c>
      <c r="B273" s="9" t="s">
        <v>23</v>
      </c>
      <c r="C273" s="9" t="s">
        <v>24</v>
      </c>
      <c r="D273" s="9" t="s">
        <v>18</v>
      </c>
      <c r="E273" s="9" t="s">
        <v>19</v>
      </c>
      <c r="F273" s="9" t="s">
        <v>20</v>
      </c>
      <c r="G273" s="9">
        <v>21.12</v>
      </c>
      <c r="H273" s="9">
        <v>2</v>
      </c>
      <c r="I273" s="9">
        <v>2.1120000000000001</v>
      </c>
      <c r="J273" s="9">
        <v>44.351999999999997</v>
      </c>
      <c r="K273" s="10">
        <v>43468</v>
      </c>
      <c r="L273" s="11">
        <v>0.80347222222222225</v>
      </c>
      <c r="M273" s="9" t="s">
        <v>27</v>
      </c>
      <c r="N273" s="9">
        <v>42.24</v>
      </c>
      <c r="O273" s="9">
        <v>9.6999999999999993</v>
      </c>
    </row>
    <row r="274" spans="1:15">
      <c r="A274" s="9" t="s">
        <v>306</v>
      </c>
      <c r="B274" s="9" t="s">
        <v>16</v>
      </c>
      <c r="C274" s="9" t="s">
        <v>17</v>
      </c>
      <c r="D274" s="9" t="s">
        <v>18</v>
      </c>
      <c r="E274" s="9" t="s">
        <v>19</v>
      </c>
      <c r="F274" s="9" t="s">
        <v>30</v>
      </c>
      <c r="G274" s="9">
        <v>21.54</v>
      </c>
      <c r="H274" s="9">
        <v>9</v>
      </c>
      <c r="I274" s="9">
        <v>9.6929999999999996</v>
      </c>
      <c r="J274" s="9">
        <v>203.553</v>
      </c>
      <c r="K274" s="10">
        <v>43472</v>
      </c>
      <c r="L274" s="11">
        <v>0.48888888888888887</v>
      </c>
      <c r="M274" s="9" t="s">
        <v>31</v>
      </c>
      <c r="N274" s="9">
        <v>193.86</v>
      </c>
      <c r="O274" s="9">
        <v>8.8000000000000007</v>
      </c>
    </row>
    <row r="275" spans="1:15">
      <c r="A275" s="9" t="s">
        <v>307</v>
      </c>
      <c r="B275" s="9" t="s">
        <v>16</v>
      </c>
      <c r="C275" s="9" t="s">
        <v>17</v>
      </c>
      <c r="D275" s="9" t="s">
        <v>25</v>
      </c>
      <c r="E275" s="9" t="s">
        <v>19</v>
      </c>
      <c r="F275" s="9" t="s">
        <v>30</v>
      </c>
      <c r="G275" s="9">
        <v>12.03</v>
      </c>
      <c r="H275" s="9">
        <v>2</v>
      </c>
      <c r="I275" s="9">
        <v>1.2030000000000001</v>
      </c>
      <c r="J275" s="9">
        <v>25.263000000000002</v>
      </c>
      <c r="K275" s="10">
        <v>43492</v>
      </c>
      <c r="L275" s="11">
        <v>0.66041666666666665</v>
      </c>
      <c r="M275" s="9" t="s">
        <v>27</v>
      </c>
      <c r="N275" s="9">
        <v>24.06</v>
      </c>
      <c r="O275" s="9">
        <v>5.0999999999999996</v>
      </c>
    </row>
    <row r="276" spans="1:15">
      <c r="A276" s="9" t="s">
        <v>308</v>
      </c>
      <c r="B276" s="9" t="s">
        <v>40</v>
      </c>
      <c r="C276" s="9" t="s">
        <v>41</v>
      </c>
      <c r="D276" s="9" t="s">
        <v>25</v>
      </c>
      <c r="E276" s="9" t="s">
        <v>19</v>
      </c>
      <c r="F276" s="9" t="s">
        <v>20</v>
      </c>
      <c r="G276" s="9">
        <v>99.71</v>
      </c>
      <c r="H276" s="9">
        <v>6</v>
      </c>
      <c r="I276" s="9">
        <v>29.913</v>
      </c>
      <c r="J276" s="9">
        <v>628.173</v>
      </c>
      <c r="K276" s="10">
        <v>43522</v>
      </c>
      <c r="L276" s="11">
        <v>0.70277777777777772</v>
      </c>
      <c r="M276" s="9" t="s">
        <v>21</v>
      </c>
      <c r="N276" s="9">
        <v>598.26</v>
      </c>
      <c r="O276" s="9">
        <v>7.9</v>
      </c>
    </row>
    <row r="277" spans="1:15">
      <c r="A277" s="9" t="s">
        <v>309</v>
      </c>
      <c r="B277" s="9" t="s">
        <v>40</v>
      </c>
      <c r="C277" s="9" t="s">
        <v>41</v>
      </c>
      <c r="D277" s="9" t="s">
        <v>25</v>
      </c>
      <c r="E277" s="9" t="s">
        <v>29</v>
      </c>
      <c r="F277" s="9" t="s">
        <v>44</v>
      </c>
      <c r="G277" s="9">
        <v>47.97</v>
      </c>
      <c r="H277" s="9">
        <v>7</v>
      </c>
      <c r="I277" s="9">
        <v>16.7895</v>
      </c>
      <c r="J277" s="9">
        <v>352.5795</v>
      </c>
      <c r="K277" s="10">
        <v>43472</v>
      </c>
      <c r="L277" s="11">
        <v>0.86944444444444446</v>
      </c>
      <c r="M277" s="9" t="s">
        <v>27</v>
      </c>
      <c r="N277" s="9">
        <v>335.79</v>
      </c>
      <c r="O277" s="9">
        <v>6.2</v>
      </c>
    </row>
    <row r="278" spans="1:15">
      <c r="A278" s="9" t="s">
        <v>310</v>
      </c>
      <c r="B278" s="9" t="s">
        <v>23</v>
      </c>
      <c r="C278" s="9" t="s">
        <v>24</v>
      </c>
      <c r="D278" s="9" t="s">
        <v>18</v>
      </c>
      <c r="E278" s="9" t="s">
        <v>19</v>
      </c>
      <c r="F278" s="9" t="s">
        <v>30</v>
      </c>
      <c r="G278" s="9">
        <v>21.82</v>
      </c>
      <c r="H278" s="9">
        <v>10</v>
      </c>
      <c r="I278" s="9">
        <v>10.91</v>
      </c>
      <c r="J278" s="9">
        <v>229.11</v>
      </c>
      <c r="K278" s="10">
        <v>43472</v>
      </c>
      <c r="L278" s="11">
        <v>0.73333333333333328</v>
      </c>
      <c r="M278" s="9" t="s">
        <v>27</v>
      </c>
      <c r="N278" s="9">
        <v>218.2</v>
      </c>
      <c r="O278" s="9">
        <v>7.1</v>
      </c>
    </row>
    <row r="279" spans="1:15">
      <c r="A279" s="9" t="s">
        <v>311</v>
      </c>
      <c r="B279" s="9" t="s">
        <v>23</v>
      </c>
      <c r="C279" s="9" t="s">
        <v>24</v>
      </c>
      <c r="D279" s="9" t="s">
        <v>25</v>
      </c>
      <c r="E279" s="9" t="s">
        <v>19</v>
      </c>
      <c r="F279" s="9" t="s">
        <v>44</v>
      </c>
      <c r="G279" s="9">
        <v>95.42</v>
      </c>
      <c r="H279" s="9">
        <v>4</v>
      </c>
      <c r="I279" s="9">
        <v>19.084</v>
      </c>
      <c r="J279" s="9">
        <v>400.76400000000001</v>
      </c>
      <c r="K279" s="10">
        <v>43498</v>
      </c>
      <c r="L279" s="11">
        <v>0.55763888888888891</v>
      </c>
      <c r="M279" s="9" t="s">
        <v>21</v>
      </c>
      <c r="N279" s="9">
        <v>381.68</v>
      </c>
      <c r="O279" s="9">
        <v>6.4</v>
      </c>
    </row>
    <row r="280" spans="1:15">
      <c r="A280" s="9" t="s">
        <v>312</v>
      </c>
      <c r="B280" s="9" t="s">
        <v>23</v>
      </c>
      <c r="C280" s="9" t="s">
        <v>24</v>
      </c>
      <c r="D280" s="9" t="s">
        <v>18</v>
      </c>
      <c r="E280" s="9" t="s">
        <v>29</v>
      </c>
      <c r="F280" s="9" t="s">
        <v>44</v>
      </c>
      <c r="G280" s="9">
        <v>70.989999999999995</v>
      </c>
      <c r="H280" s="9">
        <v>10</v>
      </c>
      <c r="I280" s="9">
        <v>35.494999999999997</v>
      </c>
      <c r="J280" s="9">
        <v>745.39499999999998</v>
      </c>
      <c r="K280" s="10">
        <v>43544</v>
      </c>
      <c r="L280" s="11">
        <v>0.68611111111111112</v>
      </c>
      <c r="M280" s="9" t="s">
        <v>27</v>
      </c>
      <c r="N280" s="9">
        <v>709.9</v>
      </c>
      <c r="O280" s="9">
        <v>5.7</v>
      </c>
    </row>
    <row r="281" spans="1:15">
      <c r="A281" s="9" t="s">
        <v>313</v>
      </c>
      <c r="B281" s="9" t="s">
        <v>16</v>
      </c>
      <c r="C281" s="9" t="s">
        <v>17</v>
      </c>
      <c r="D281" s="9" t="s">
        <v>18</v>
      </c>
      <c r="E281" s="9" t="s">
        <v>29</v>
      </c>
      <c r="F281" s="9" t="s">
        <v>34</v>
      </c>
      <c r="G281" s="9">
        <v>44.02</v>
      </c>
      <c r="H281" s="9">
        <v>10</v>
      </c>
      <c r="I281" s="9">
        <v>22.01</v>
      </c>
      <c r="J281" s="9">
        <v>462.21</v>
      </c>
      <c r="K281" s="10">
        <v>43544</v>
      </c>
      <c r="L281" s="11">
        <v>0.83125000000000004</v>
      </c>
      <c r="M281" s="9" t="s">
        <v>31</v>
      </c>
      <c r="N281" s="9">
        <v>440.2</v>
      </c>
      <c r="O281" s="9">
        <v>9.6</v>
      </c>
    </row>
    <row r="282" spans="1:15">
      <c r="A282" s="9" t="s">
        <v>314</v>
      </c>
      <c r="B282" s="9" t="s">
        <v>16</v>
      </c>
      <c r="C282" s="9" t="s">
        <v>17</v>
      </c>
      <c r="D282" s="9" t="s">
        <v>25</v>
      </c>
      <c r="E282" s="9" t="s">
        <v>19</v>
      </c>
      <c r="F282" s="9" t="s">
        <v>30</v>
      </c>
      <c r="G282" s="9">
        <v>69.959999999999994</v>
      </c>
      <c r="H282" s="9">
        <v>8</v>
      </c>
      <c r="I282" s="9">
        <v>27.984000000000002</v>
      </c>
      <c r="J282" s="9">
        <v>587.66399999999999</v>
      </c>
      <c r="K282" s="10">
        <v>43511</v>
      </c>
      <c r="L282" s="11">
        <v>0.70902777777777781</v>
      </c>
      <c r="M282" s="9" t="s">
        <v>31</v>
      </c>
      <c r="N282" s="9">
        <v>559.67999999999995</v>
      </c>
      <c r="O282" s="9">
        <v>6.4</v>
      </c>
    </row>
    <row r="283" spans="1:15">
      <c r="A283" s="9" t="s">
        <v>315</v>
      </c>
      <c r="B283" s="9" t="s">
        <v>23</v>
      </c>
      <c r="C283" s="9" t="s">
        <v>24</v>
      </c>
      <c r="D283" s="9" t="s">
        <v>25</v>
      </c>
      <c r="E283" s="9" t="s">
        <v>29</v>
      </c>
      <c r="F283" s="9" t="s">
        <v>30</v>
      </c>
      <c r="G283" s="9">
        <v>37</v>
      </c>
      <c r="H283" s="9">
        <v>1</v>
      </c>
      <c r="I283" s="9">
        <v>1.85</v>
      </c>
      <c r="J283" s="9">
        <v>38.85</v>
      </c>
      <c r="K283" s="10">
        <v>43530</v>
      </c>
      <c r="L283" s="11">
        <v>0.56180555555555556</v>
      </c>
      <c r="M283" s="9" t="s">
        <v>31</v>
      </c>
      <c r="N283" s="9">
        <v>37</v>
      </c>
      <c r="O283" s="9">
        <v>7.9</v>
      </c>
    </row>
    <row r="284" spans="1:15">
      <c r="A284" s="9" t="s">
        <v>316</v>
      </c>
      <c r="B284" s="9" t="s">
        <v>16</v>
      </c>
      <c r="C284" s="9" t="s">
        <v>17</v>
      </c>
      <c r="D284" s="9" t="s">
        <v>25</v>
      </c>
      <c r="E284" s="9" t="s">
        <v>19</v>
      </c>
      <c r="F284" s="9" t="s">
        <v>34</v>
      </c>
      <c r="G284" s="9">
        <v>15.34</v>
      </c>
      <c r="H284" s="9">
        <v>1</v>
      </c>
      <c r="I284" s="9">
        <v>0.76700000000000002</v>
      </c>
      <c r="J284" s="9">
        <v>16.106999999999999</v>
      </c>
      <c r="K284" s="10">
        <v>43471</v>
      </c>
      <c r="L284" s="11">
        <v>0.46458333333333335</v>
      </c>
      <c r="M284" s="9" t="s">
        <v>27</v>
      </c>
      <c r="N284" s="9">
        <v>15.34</v>
      </c>
      <c r="O284" s="9">
        <v>6.5</v>
      </c>
    </row>
    <row r="285" spans="1:15">
      <c r="A285" s="9" t="s">
        <v>317</v>
      </c>
      <c r="B285" s="9" t="s">
        <v>16</v>
      </c>
      <c r="C285" s="9" t="s">
        <v>17</v>
      </c>
      <c r="D285" s="9" t="s">
        <v>18</v>
      </c>
      <c r="E285" s="9" t="s">
        <v>29</v>
      </c>
      <c r="F285" s="9" t="s">
        <v>20</v>
      </c>
      <c r="G285" s="9">
        <v>99.83</v>
      </c>
      <c r="H285" s="9">
        <v>6</v>
      </c>
      <c r="I285" s="9">
        <v>29.949000000000002</v>
      </c>
      <c r="J285" s="9">
        <v>628.92899999999997</v>
      </c>
      <c r="K285" s="10">
        <v>43528</v>
      </c>
      <c r="L285" s="11">
        <v>0.62638888888888888</v>
      </c>
      <c r="M285" s="9" t="s">
        <v>21</v>
      </c>
      <c r="N285" s="9">
        <v>598.98</v>
      </c>
      <c r="O285" s="9">
        <v>8.5</v>
      </c>
    </row>
    <row r="286" spans="1:15">
      <c r="A286" s="9" t="s">
        <v>318</v>
      </c>
      <c r="B286" s="9" t="s">
        <v>16</v>
      </c>
      <c r="C286" s="9" t="s">
        <v>17</v>
      </c>
      <c r="D286" s="9" t="s">
        <v>18</v>
      </c>
      <c r="E286" s="9" t="s">
        <v>19</v>
      </c>
      <c r="F286" s="9" t="s">
        <v>20</v>
      </c>
      <c r="G286" s="9">
        <v>47.67</v>
      </c>
      <c r="H286" s="9">
        <v>4</v>
      </c>
      <c r="I286" s="9">
        <v>9.5340000000000007</v>
      </c>
      <c r="J286" s="9">
        <v>200.214</v>
      </c>
      <c r="K286" s="10">
        <v>43536</v>
      </c>
      <c r="L286" s="11">
        <v>0.59791666666666665</v>
      </c>
      <c r="M286" s="9" t="s">
        <v>27</v>
      </c>
      <c r="N286" s="9">
        <v>190.68</v>
      </c>
      <c r="O286" s="9">
        <v>9.1</v>
      </c>
    </row>
    <row r="287" spans="1:15">
      <c r="A287" s="9" t="s">
        <v>319</v>
      </c>
      <c r="B287" s="9" t="s">
        <v>40</v>
      </c>
      <c r="C287" s="9" t="s">
        <v>41</v>
      </c>
      <c r="D287" s="9" t="s">
        <v>25</v>
      </c>
      <c r="E287" s="9" t="s">
        <v>29</v>
      </c>
      <c r="F287" s="9" t="s">
        <v>20</v>
      </c>
      <c r="G287" s="9">
        <v>66.680000000000007</v>
      </c>
      <c r="H287" s="9">
        <v>5</v>
      </c>
      <c r="I287" s="9">
        <v>16.670000000000002</v>
      </c>
      <c r="J287" s="9">
        <v>350.07</v>
      </c>
      <c r="K287" s="10">
        <v>43516</v>
      </c>
      <c r="L287" s="11">
        <v>0.75069444444444444</v>
      </c>
      <c r="M287" s="9" t="s">
        <v>27</v>
      </c>
      <c r="N287" s="9">
        <v>333.4</v>
      </c>
      <c r="O287" s="9">
        <v>7.6</v>
      </c>
    </row>
    <row r="288" spans="1:15">
      <c r="A288" s="9" t="s">
        <v>320</v>
      </c>
      <c r="B288" s="9" t="s">
        <v>23</v>
      </c>
      <c r="C288" s="9" t="s">
        <v>24</v>
      </c>
      <c r="D288" s="9" t="s">
        <v>18</v>
      </c>
      <c r="E288" s="9" t="s">
        <v>29</v>
      </c>
      <c r="F288" s="9" t="s">
        <v>30</v>
      </c>
      <c r="G288" s="9">
        <v>74.86</v>
      </c>
      <c r="H288" s="9">
        <v>1</v>
      </c>
      <c r="I288" s="9">
        <v>3.7429999999999999</v>
      </c>
      <c r="J288" s="9">
        <v>78.602999999999994</v>
      </c>
      <c r="K288" s="10">
        <v>43548</v>
      </c>
      <c r="L288" s="11">
        <v>0.61736111111111114</v>
      </c>
      <c r="M288" s="9" t="s">
        <v>27</v>
      </c>
      <c r="N288" s="9">
        <v>74.86</v>
      </c>
      <c r="O288" s="9">
        <v>6.9</v>
      </c>
    </row>
    <row r="289" spans="1:15">
      <c r="A289" s="9" t="s">
        <v>321</v>
      </c>
      <c r="B289" s="9" t="s">
        <v>23</v>
      </c>
      <c r="C289" s="9" t="s">
        <v>24</v>
      </c>
      <c r="D289" s="9" t="s">
        <v>25</v>
      </c>
      <c r="E289" s="9" t="s">
        <v>19</v>
      </c>
      <c r="F289" s="9" t="s">
        <v>34</v>
      </c>
      <c r="G289" s="9">
        <v>23.75</v>
      </c>
      <c r="H289" s="9">
        <v>9</v>
      </c>
      <c r="I289" s="9">
        <v>10.6875</v>
      </c>
      <c r="J289" s="9">
        <v>224.4375</v>
      </c>
      <c r="K289" s="10">
        <v>43496</v>
      </c>
      <c r="L289" s="11">
        <v>0.50138888888888888</v>
      </c>
      <c r="M289" s="9" t="s">
        <v>27</v>
      </c>
      <c r="N289" s="9">
        <v>213.75</v>
      </c>
      <c r="O289" s="9">
        <v>9.5</v>
      </c>
    </row>
    <row r="290" spans="1:15">
      <c r="A290" s="9" t="s">
        <v>322</v>
      </c>
      <c r="B290" s="9" t="s">
        <v>40</v>
      </c>
      <c r="C290" s="9" t="s">
        <v>41</v>
      </c>
      <c r="D290" s="9" t="s">
        <v>25</v>
      </c>
      <c r="E290" s="9" t="s">
        <v>19</v>
      </c>
      <c r="F290" s="9" t="s">
        <v>42</v>
      </c>
      <c r="G290" s="9">
        <v>48.51</v>
      </c>
      <c r="H290" s="9">
        <v>7</v>
      </c>
      <c r="I290" s="9">
        <v>16.9785</v>
      </c>
      <c r="J290" s="9">
        <v>356.54849999999999</v>
      </c>
      <c r="K290" s="10">
        <v>43490</v>
      </c>
      <c r="L290" s="11">
        <v>0.5625</v>
      </c>
      <c r="M290" s="9" t="s">
        <v>31</v>
      </c>
      <c r="N290" s="9">
        <v>339.57</v>
      </c>
      <c r="O290" s="9">
        <v>5.2</v>
      </c>
    </row>
    <row r="291" spans="1:15">
      <c r="A291" s="9" t="s">
        <v>323</v>
      </c>
      <c r="B291" s="9" t="s">
        <v>16</v>
      </c>
      <c r="C291" s="9" t="s">
        <v>17</v>
      </c>
      <c r="D291" s="9" t="s">
        <v>18</v>
      </c>
      <c r="E291" s="9" t="s">
        <v>19</v>
      </c>
      <c r="F291" s="9" t="s">
        <v>30</v>
      </c>
      <c r="G291" s="9">
        <v>94.88</v>
      </c>
      <c r="H291" s="9">
        <v>7</v>
      </c>
      <c r="I291" s="9">
        <v>33.207999999999998</v>
      </c>
      <c r="J291" s="9">
        <v>697.36800000000005</v>
      </c>
      <c r="K291" s="10">
        <v>43499</v>
      </c>
      <c r="L291" s="11">
        <v>0.60972222222222228</v>
      </c>
      <c r="M291" s="9" t="s">
        <v>27</v>
      </c>
      <c r="N291" s="9">
        <v>664.16</v>
      </c>
      <c r="O291" s="9">
        <v>4.2</v>
      </c>
    </row>
    <row r="292" spans="1:15">
      <c r="A292" s="9" t="s">
        <v>324</v>
      </c>
      <c r="B292" s="9" t="s">
        <v>40</v>
      </c>
      <c r="C292" s="9" t="s">
        <v>41</v>
      </c>
      <c r="D292" s="9" t="s">
        <v>18</v>
      </c>
      <c r="E292" s="9" t="s">
        <v>29</v>
      </c>
      <c r="F292" s="9" t="s">
        <v>26</v>
      </c>
      <c r="G292" s="9">
        <v>40.299999999999997</v>
      </c>
      <c r="H292" s="9">
        <v>10</v>
      </c>
      <c r="I292" s="9">
        <v>20.149999999999999</v>
      </c>
      <c r="J292" s="9">
        <v>423.15</v>
      </c>
      <c r="K292" s="10">
        <v>43489</v>
      </c>
      <c r="L292" s="11">
        <v>0.73402777777777772</v>
      </c>
      <c r="M292" s="9" t="s">
        <v>31</v>
      </c>
      <c r="N292" s="9">
        <v>403</v>
      </c>
      <c r="O292" s="9">
        <v>7</v>
      </c>
    </row>
    <row r="293" spans="1:15">
      <c r="A293" s="9" t="s">
        <v>325</v>
      </c>
      <c r="B293" s="9" t="s">
        <v>23</v>
      </c>
      <c r="C293" s="9" t="s">
        <v>24</v>
      </c>
      <c r="D293" s="9" t="s">
        <v>25</v>
      </c>
      <c r="E293" s="9" t="s">
        <v>29</v>
      </c>
      <c r="F293" s="9" t="s">
        <v>26</v>
      </c>
      <c r="G293" s="9">
        <v>27.85</v>
      </c>
      <c r="H293" s="9">
        <v>7</v>
      </c>
      <c r="I293" s="9">
        <v>9.7475000000000005</v>
      </c>
      <c r="J293" s="9">
        <v>204.69749999999999</v>
      </c>
      <c r="K293" s="10">
        <v>43538</v>
      </c>
      <c r="L293" s="11">
        <v>0.72222222222222221</v>
      </c>
      <c r="M293" s="9" t="s">
        <v>21</v>
      </c>
      <c r="N293" s="9">
        <v>194.95</v>
      </c>
      <c r="O293" s="9">
        <v>6</v>
      </c>
    </row>
    <row r="294" spans="1:15">
      <c r="A294" s="9" t="s">
        <v>326</v>
      </c>
      <c r="B294" s="9" t="s">
        <v>16</v>
      </c>
      <c r="C294" s="9" t="s">
        <v>17</v>
      </c>
      <c r="D294" s="9" t="s">
        <v>18</v>
      </c>
      <c r="E294" s="9" t="s">
        <v>19</v>
      </c>
      <c r="F294" s="9" t="s">
        <v>26</v>
      </c>
      <c r="G294" s="9">
        <v>62.48</v>
      </c>
      <c r="H294" s="9">
        <v>1</v>
      </c>
      <c r="I294" s="9">
        <v>3.1240000000000001</v>
      </c>
      <c r="J294" s="9">
        <v>65.603999999999999</v>
      </c>
      <c r="K294" s="10">
        <v>43514</v>
      </c>
      <c r="L294" s="11">
        <v>0.85347222222222219</v>
      </c>
      <c r="M294" s="9" t="s">
        <v>27</v>
      </c>
      <c r="N294" s="9">
        <v>62.48</v>
      </c>
      <c r="O294" s="9">
        <v>4.7</v>
      </c>
    </row>
    <row r="295" spans="1:15">
      <c r="A295" s="9" t="s">
        <v>327</v>
      </c>
      <c r="B295" s="9" t="s">
        <v>16</v>
      </c>
      <c r="C295" s="9" t="s">
        <v>17</v>
      </c>
      <c r="D295" s="9" t="s">
        <v>18</v>
      </c>
      <c r="E295" s="9" t="s">
        <v>19</v>
      </c>
      <c r="F295" s="9" t="s">
        <v>42</v>
      </c>
      <c r="G295" s="9">
        <v>36.36</v>
      </c>
      <c r="H295" s="9">
        <v>2</v>
      </c>
      <c r="I295" s="9">
        <v>3.6360000000000001</v>
      </c>
      <c r="J295" s="9">
        <v>76.355999999999995</v>
      </c>
      <c r="K295" s="10">
        <v>43486</v>
      </c>
      <c r="L295" s="11">
        <v>0.41666666666666669</v>
      </c>
      <c r="M295" s="9" t="s">
        <v>27</v>
      </c>
      <c r="N295" s="9">
        <v>72.72</v>
      </c>
      <c r="O295" s="9">
        <v>7.1</v>
      </c>
    </row>
    <row r="296" spans="1:15">
      <c r="A296" s="9" t="s">
        <v>328</v>
      </c>
      <c r="B296" s="9" t="s">
        <v>40</v>
      </c>
      <c r="C296" s="9" t="s">
        <v>41</v>
      </c>
      <c r="D296" s="9" t="s">
        <v>25</v>
      </c>
      <c r="E296" s="9" t="s">
        <v>29</v>
      </c>
      <c r="F296" s="9" t="s">
        <v>20</v>
      </c>
      <c r="G296" s="9">
        <v>18.11</v>
      </c>
      <c r="H296" s="9">
        <v>10</v>
      </c>
      <c r="I296" s="9">
        <v>9.0549999999999997</v>
      </c>
      <c r="J296" s="9">
        <v>190.155</v>
      </c>
      <c r="K296" s="10">
        <v>43537</v>
      </c>
      <c r="L296" s="11">
        <v>0.49027777777777776</v>
      </c>
      <c r="M296" s="9" t="s">
        <v>21</v>
      </c>
      <c r="N296" s="9">
        <v>181.1</v>
      </c>
      <c r="O296" s="9">
        <v>5.9</v>
      </c>
    </row>
    <row r="297" spans="1:15">
      <c r="A297" s="9" t="s">
        <v>329</v>
      </c>
      <c r="B297" s="9" t="s">
        <v>23</v>
      </c>
      <c r="C297" s="9" t="s">
        <v>24</v>
      </c>
      <c r="D297" s="9" t="s">
        <v>18</v>
      </c>
      <c r="E297" s="9" t="s">
        <v>19</v>
      </c>
      <c r="F297" s="9" t="s">
        <v>26</v>
      </c>
      <c r="G297" s="9">
        <v>51.92</v>
      </c>
      <c r="H297" s="9">
        <v>5</v>
      </c>
      <c r="I297" s="9">
        <v>12.98</v>
      </c>
      <c r="J297" s="9">
        <v>272.58</v>
      </c>
      <c r="K297" s="10">
        <v>43527</v>
      </c>
      <c r="L297" s="11">
        <v>0.5708333333333333</v>
      </c>
      <c r="M297" s="9" t="s">
        <v>27</v>
      </c>
      <c r="N297" s="9">
        <v>259.60000000000002</v>
      </c>
      <c r="O297" s="9">
        <v>7.5</v>
      </c>
    </row>
    <row r="298" spans="1:15">
      <c r="A298" s="9" t="s">
        <v>330</v>
      </c>
      <c r="B298" s="9" t="s">
        <v>23</v>
      </c>
      <c r="C298" s="9" t="s">
        <v>24</v>
      </c>
      <c r="D298" s="9" t="s">
        <v>25</v>
      </c>
      <c r="E298" s="9" t="s">
        <v>29</v>
      </c>
      <c r="F298" s="9" t="s">
        <v>26</v>
      </c>
      <c r="G298" s="9">
        <v>28.84</v>
      </c>
      <c r="H298" s="9">
        <v>4</v>
      </c>
      <c r="I298" s="9">
        <v>5.7679999999999998</v>
      </c>
      <c r="J298" s="9">
        <v>121.128</v>
      </c>
      <c r="K298" s="10">
        <v>43553</v>
      </c>
      <c r="L298" s="11">
        <v>0.61388888888888893</v>
      </c>
      <c r="M298" s="9" t="s">
        <v>27</v>
      </c>
      <c r="N298" s="9">
        <v>115.36</v>
      </c>
      <c r="O298" s="9">
        <v>6.4</v>
      </c>
    </row>
    <row r="299" spans="1:15">
      <c r="A299" s="9" t="s">
        <v>331</v>
      </c>
      <c r="B299" s="9" t="s">
        <v>16</v>
      </c>
      <c r="C299" s="9" t="s">
        <v>17</v>
      </c>
      <c r="D299" s="9" t="s">
        <v>18</v>
      </c>
      <c r="E299" s="9" t="s">
        <v>29</v>
      </c>
      <c r="F299" s="9" t="s">
        <v>30</v>
      </c>
      <c r="G299" s="9">
        <v>78.38</v>
      </c>
      <c r="H299" s="9">
        <v>6</v>
      </c>
      <c r="I299" s="9">
        <v>23.513999999999999</v>
      </c>
      <c r="J299" s="9">
        <v>493.79399999999998</v>
      </c>
      <c r="K299" s="10">
        <v>43475</v>
      </c>
      <c r="L299" s="11">
        <v>0.59444444444444444</v>
      </c>
      <c r="M299" s="9" t="s">
        <v>21</v>
      </c>
      <c r="N299" s="9">
        <v>470.28</v>
      </c>
      <c r="O299" s="9">
        <v>5.8</v>
      </c>
    </row>
    <row r="300" spans="1:15">
      <c r="A300" s="9" t="s">
        <v>332</v>
      </c>
      <c r="B300" s="9" t="s">
        <v>16</v>
      </c>
      <c r="C300" s="9" t="s">
        <v>17</v>
      </c>
      <c r="D300" s="9" t="s">
        <v>18</v>
      </c>
      <c r="E300" s="9" t="s">
        <v>29</v>
      </c>
      <c r="F300" s="9" t="s">
        <v>30</v>
      </c>
      <c r="G300" s="9">
        <v>60.01</v>
      </c>
      <c r="H300" s="9">
        <v>4</v>
      </c>
      <c r="I300" s="9">
        <v>12.002000000000001</v>
      </c>
      <c r="J300" s="9">
        <v>252.042</v>
      </c>
      <c r="K300" s="10">
        <v>43490</v>
      </c>
      <c r="L300" s="11">
        <v>0.66249999999999998</v>
      </c>
      <c r="M300" s="9" t="s">
        <v>27</v>
      </c>
      <c r="N300" s="9">
        <v>240.04</v>
      </c>
      <c r="O300" s="9">
        <v>4.5</v>
      </c>
    </row>
    <row r="301" spans="1:15">
      <c r="A301" s="9" t="s">
        <v>333</v>
      </c>
      <c r="B301" s="9" t="s">
        <v>23</v>
      </c>
      <c r="C301" s="9" t="s">
        <v>24</v>
      </c>
      <c r="D301" s="9" t="s">
        <v>18</v>
      </c>
      <c r="E301" s="9" t="s">
        <v>19</v>
      </c>
      <c r="F301" s="9" t="s">
        <v>30</v>
      </c>
      <c r="G301" s="9">
        <v>88.61</v>
      </c>
      <c r="H301" s="9">
        <v>1</v>
      </c>
      <c r="I301" s="9">
        <v>4.4305000000000003</v>
      </c>
      <c r="J301" s="9">
        <v>93.040499999999994</v>
      </c>
      <c r="K301" s="10">
        <v>43484</v>
      </c>
      <c r="L301" s="11">
        <v>0.43125000000000002</v>
      </c>
      <c r="M301" s="9" t="s">
        <v>27</v>
      </c>
      <c r="N301" s="9">
        <v>88.61</v>
      </c>
      <c r="O301" s="9">
        <v>7.7</v>
      </c>
    </row>
    <row r="302" spans="1:15">
      <c r="A302" s="9" t="s">
        <v>334</v>
      </c>
      <c r="B302" s="9" t="s">
        <v>23</v>
      </c>
      <c r="C302" s="9" t="s">
        <v>24</v>
      </c>
      <c r="D302" s="9" t="s">
        <v>25</v>
      </c>
      <c r="E302" s="9" t="s">
        <v>29</v>
      </c>
      <c r="F302" s="9" t="s">
        <v>44</v>
      </c>
      <c r="G302" s="9">
        <v>99.82</v>
      </c>
      <c r="H302" s="9">
        <v>2</v>
      </c>
      <c r="I302" s="9">
        <v>9.9819999999999993</v>
      </c>
      <c r="J302" s="9">
        <v>209.62200000000001</v>
      </c>
      <c r="K302" s="10">
        <v>43467</v>
      </c>
      <c r="L302" s="11">
        <v>0.75624999999999998</v>
      </c>
      <c r="M302" s="9" t="s">
        <v>31</v>
      </c>
      <c r="N302" s="9">
        <v>199.64</v>
      </c>
      <c r="O302" s="9">
        <v>6.7</v>
      </c>
    </row>
    <row r="303" spans="1:15">
      <c r="A303" s="9" t="s">
        <v>335</v>
      </c>
      <c r="B303" s="9" t="s">
        <v>40</v>
      </c>
      <c r="C303" s="9" t="s">
        <v>41</v>
      </c>
      <c r="D303" s="9" t="s">
        <v>18</v>
      </c>
      <c r="E303" s="9" t="s">
        <v>29</v>
      </c>
      <c r="F303" s="9" t="s">
        <v>20</v>
      </c>
      <c r="G303" s="9">
        <v>39.01</v>
      </c>
      <c r="H303" s="9">
        <v>1</v>
      </c>
      <c r="I303" s="9">
        <v>1.9504999999999999</v>
      </c>
      <c r="J303" s="9">
        <v>40.960500000000003</v>
      </c>
      <c r="K303" s="10">
        <v>43536</v>
      </c>
      <c r="L303" s="11">
        <v>0.69861111111111107</v>
      </c>
      <c r="M303" s="9" t="s">
        <v>31</v>
      </c>
      <c r="N303" s="9">
        <v>39.01</v>
      </c>
      <c r="O303" s="9">
        <v>4.7</v>
      </c>
    </row>
    <row r="304" spans="1:15">
      <c r="A304" s="9" t="s">
        <v>336</v>
      </c>
      <c r="B304" s="9" t="s">
        <v>23</v>
      </c>
      <c r="C304" s="9" t="s">
        <v>24</v>
      </c>
      <c r="D304" s="9" t="s">
        <v>25</v>
      </c>
      <c r="E304" s="9" t="s">
        <v>29</v>
      </c>
      <c r="F304" s="9" t="s">
        <v>42</v>
      </c>
      <c r="G304" s="9">
        <v>48.61</v>
      </c>
      <c r="H304" s="9">
        <v>1</v>
      </c>
      <c r="I304" s="9">
        <v>2.4304999999999999</v>
      </c>
      <c r="J304" s="9">
        <v>51.040500000000002</v>
      </c>
      <c r="K304" s="10">
        <v>43521</v>
      </c>
      <c r="L304" s="11">
        <v>0.64652777777777781</v>
      </c>
      <c r="M304" s="9" t="s">
        <v>27</v>
      </c>
      <c r="N304" s="9">
        <v>48.61</v>
      </c>
      <c r="O304" s="9">
        <v>4.4000000000000004</v>
      </c>
    </row>
    <row r="305" spans="1:15">
      <c r="A305" s="9" t="s">
        <v>337</v>
      </c>
      <c r="B305" s="9" t="s">
        <v>16</v>
      </c>
      <c r="C305" s="9" t="s">
        <v>17</v>
      </c>
      <c r="D305" s="9" t="s">
        <v>25</v>
      </c>
      <c r="E305" s="9" t="s">
        <v>19</v>
      </c>
      <c r="F305" s="9" t="s">
        <v>26</v>
      </c>
      <c r="G305" s="9">
        <v>51.19</v>
      </c>
      <c r="H305" s="9">
        <v>4</v>
      </c>
      <c r="I305" s="9">
        <v>10.238</v>
      </c>
      <c r="J305" s="9">
        <v>214.99799999999999</v>
      </c>
      <c r="K305" s="10">
        <v>43542</v>
      </c>
      <c r="L305" s="11">
        <v>0.71875</v>
      </c>
      <c r="M305" s="9" t="s">
        <v>31</v>
      </c>
      <c r="N305" s="9">
        <v>204.76</v>
      </c>
      <c r="O305" s="9">
        <v>4.7</v>
      </c>
    </row>
    <row r="306" spans="1:15">
      <c r="A306" s="9" t="s">
        <v>338</v>
      </c>
      <c r="B306" s="9" t="s">
        <v>40</v>
      </c>
      <c r="C306" s="9" t="s">
        <v>41</v>
      </c>
      <c r="D306" s="9" t="s">
        <v>25</v>
      </c>
      <c r="E306" s="9" t="s">
        <v>19</v>
      </c>
      <c r="F306" s="9" t="s">
        <v>26</v>
      </c>
      <c r="G306" s="9">
        <v>14.96</v>
      </c>
      <c r="H306" s="9">
        <v>8</v>
      </c>
      <c r="I306" s="9">
        <v>5.984</v>
      </c>
      <c r="J306" s="9">
        <v>125.664</v>
      </c>
      <c r="K306" s="10">
        <v>43519</v>
      </c>
      <c r="L306" s="11">
        <v>0.52013888888888893</v>
      </c>
      <c r="M306" s="9" t="s">
        <v>27</v>
      </c>
      <c r="N306" s="9">
        <v>119.68</v>
      </c>
      <c r="O306" s="9">
        <v>8.6</v>
      </c>
    </row>
    <row r="307" spans="1:15">
      <c r="A307" s="9" t="s">
        <v>339</v>
      </c>
      <c r="B307" s="9" t="s">
        <v>16</v>
      </c>
      <c r="C307" s="9" t="s">
        <v>17</v>
      </c>
      <c r="D307" s="9" t="s">
        <v>18</v>
      </c>
      <c r="E307" s="9" t="s">
        <v>29</v>
      </c>
      <c r="F307" s="9" t="s">
        <v>26</v>
      </c>
      <c r="G307" s="9">
        <v>72.2</v>
      </c>
      <c r="H307" s="9">
        <v>7</v>
      </c>
      <c r="I307" s="9">
        <v>25.27</v>
      </c>
      <c r="J307" s="9">
        <v>530.66999999999996</v>
      </c>
      <c r="K307" s="10">
        <v>43550</v>
      </c>
      <c r="L307" s="11">
        <v>0.84305555555555556</v>
      </c>
      <c r="M307" s="9" t="s">
        <v>21</v>
      </c>
      <c r="N307" s="9">
        <v>505.4</v>
      </c>
      <c r="O307" s="9">
        <v>4.3</v>
      </c>
    </row>
    <row r="308" spans="1:15">
      <c r="A308" s="9" t="s">
        <v>340</v>
      </c>
      <c r="B308" s="9" t="s">
        <v>16</v>
      </c>
      <c r="C308" s="9" t="s">
        <v>17</v>
      </c>
      <c r="D308" s="9" t="s">
        <v>25</v>
      </c>
      <c r="E308" s="9" t="s">
        <v>19</v>
      </c>
      <c r="F308" s="9" t="s">
        <v>34</v>
      </c>
      <c r="G308" s="9">
        <v>40.229999999999997</v>
      </c>
      <c r="H308" s="9">
        <v>7</v>
      </c>
      <c r="I308" s="9">
        <v>14.080500000000001</v>
      </c>
      <c r="J308" s="9">
        <v>295.69049999999999</v>
      </c>
      <c r="K308" s="10">
        <v>43554</v>
      </c>
      <c r="L308" s="11">
        <v>0.55694444444444446</v>
      </c>
      <c r="M308" s="9" t="s">
        <v>27</v>
      </c>
      <c r="N308" s="9">
        <v>281.61</v>
      </c>
      <c r="O308" s="9">
        <v>9.6</v>
      </c>
    </row>
    <row r="309" spans="1:15">
      <c r="A309" s="9" t="s">
        <v>341</v>
      </c>
      <c r="B309" s="9" t="s">
        <v>16</v>
      </c>
      <c r="C309" s="9" t="s">
        <v>17</v>
      </c>
      <c r="D309" s="9" t="s">
        <v>18</v>
      </c>
      <c r="E309" s="9" t="s">
        <v>19</v>
      </c>
      <c r="F309" s="9" t="s">
        <v>30</v>
      </c>
      <c r="G309" s="9">
        <v>88.79</v>
      </c>
      <c r="H309" s="9">
        <v>8</v>
      </c>
      <c r="I309" s="9">
        <v>35.515999999999998</v>
      </c>
      <c r="J309" s="9">
        <v>745.83600000000001</v>
      </c>
      <c r="K309" s="10">
        <v>43513</v>
      </c>
      <c r="L309" s="11">
        <v>0.71458333333333335</v>
      </c>
      <c r="M309" s="9" t="s">
        <v>27</v>
      </c>
      <c r="N309" s="9">
        <v>710.32</v>
      </c>
      <c r="O309" s="9">
        <v>4.0999999999999996</v>
      </c>
    </row>
    <row r="310" spans="1:15">
      <c r="A310" s="9" t="s">
        <v>342</v>
      </c>
      <c r="B310" s="9" t="s">
        <v>16</v>
      </c>
      <c r="C310" s="9" t="s">
        <v>17</v>
      </c>
      <c r="D310" s="9" t="s">
        <v>18</v>
      </c>
      <c r="E310" s="9" t="s">
        <v>19</v>
      </c>
      <c r="F310" s="9" t="s">
        <v>26</v>
      </c>
      <c r="G310" s="9">
        <v>26.48</v>
      </c>
      <c r="H310" s="9">
        <v>3</v>
      </c>
      <c r="I310" s="9">
        <v>3.972</v>
      </c>
      <c r="J310" s="9">
        <v>83.412000000000006</v>
      </c>
      <c r="K310" s="10">
        <v>43545</v>
      </c>
      <c r="L310" s="11">
        <v>0.44444444444444442</v>
      </c>
      <c r="M310" s="9" t="s">
        <v>21</v>
      </c>
      <c r="N310" s="9">
        <v>79.44</v>
      </c>
      <c r="O310" s="9">
        <v>4.7</v>
      </c>
    </row>
    <row r="311" spans="1:15">
      <c r="A311" s="9" t="s">
        <v>343</v>
      </c>
      <c r="B311" s="9" t="s">
        <v>16</v>
      </c>
      <c r="C311" s="9" t="s">
        <v>17</v>
      </c>
      <c r="D311" s="9" t="s">
        <v>25</v>
      </c>
      <c r="E311" s="9" t="s">
        <v>19</v>
      </c>
      <c r="F311" s="9" t="s">
        <v>44</v>
      </c>
      <c r="G311" s="9">
        <v>81.91</v>
      </c>
      <c r="H311" s="9">
        <v>2</v>
      </c>
      <c r="I311" s="9">
        <v>8.1910000000000007</v>
      </c>
      <c r="J311" s="9">
        <v>172.011</v>
      </c>
      <c r="K311" s="10">
        <v>43529</v>
      </c>
      <c r="L311" s="11">
        <v>0.73819444444444449</v>
      </c>
      <c r="M311" s="9" t="s">
        <v>27</v>
      </c>
      <c r="N311" s="9">
        <v>163.82</v>
      </c>
      <c r="O311" s="9">
        <v>7.8</v>
      </c>
    </row>
    <row r="312" spans="1:15">
      <c r="A312" s="9" t="s">
        <v>344</v>
      </c>
      <c r="B312" s="9" t="s">
        <v>40</v>
      </c>
      <c r="C312" s="9" t="s">
        <v>41</v>
      </c>
      <c r="D312" s="9" t="s">
        <v>18</v>
      </c>
      <c r="E312" s="9" t="s">
        <v>29</v>
      </c>
      <c r="F312" s="9" t="s">
        <v>34</v>
      </c>
      <c r="G312" s="9">
        <v>79.930000000000007</v>
      </c>
      <c r="H312" s="9">
        <v>6</v>
      </c>
      <c r="I312" s="9">
        <v>23.978999999999999</v>
      </c>
      <c r="J312" s="9">
        <v>503.55900000000003</v>
      </c>
      <c r="K312" s="10">
        <v>43496</v>
      </c>
      <c r="L312" s="11">
        <v>0.58611111111111114</v>
      </c>
      <c r="M312" s="9" t="s">
        <v>27</v>
      </c>
      <c r="N312" s="9">
        <v>479.58</v>
      </c>
      <c r="O312" s="9">
        <v>5.5</v>
      </c>
    </row>
    <row r="313" spans="1:15">
      <c r="A313" s="9" t="s">
        <v>345</v>
      </c>
      <c r="B313" s="9" t="s">
        <v>23</v>
      </c>
      <c r="C313" s="9" t="s">
        <v>24</v>
      </c>
      <c r="D313" s="9" t="s">
        <v>18</v>
      </c>
      <c r="E313" s="9" t="s">
        <v>29</v>
      </c>
      <c r="F313" s="9" t="s">
        <v>44</v>
      </c>
      <c r="G313" s="9">
        <v>69.33</v>
      </c>
      <c r="H313" s="9">
        <v>2</v>
      </c>
      <c r="I313" s="9">
        <v>6.9329999999999998</v>
      </c>
      <c r="J313" s="9">
        <v>145.59299999999999</v>
      </c>
      <c r="K313" s="10">
        <v>43501</v>
      </c>
      <c r="L313" s="11">
        <v>0.79513888888888884</v>
      </c>
      <c r="M313" s="9" t="s">
        <v>21</v>
      </c>
      <c r="N313" s="9">
        <v>138.66</v>
      </c>
      <c r="O313" s="9">
        <v>9.6999999999999993</v>
      </c>
    </row>
    <row r="314" spans="1:15">
      <c r="A314" s="9" t="s">
        <v>346</v>
      </c>
      <c r="B314" s="9" t="s">
        <v>16</v>
      </c>
      <c r="C314" s="9" t="s">
        <v>17</v>
      </c>
      <c r="D314" s="9" t="s">
        <v>18</v>
      </c>
      <c r="E314" s="9" t="s">
        <v>19</v>
      </c>
      <c r="F314" s="9" t="s">
        <v>42</v>
      </c>
      <c r="G314" s="9">
        <v>14.23</v>
      </c>
      <c r="H314" s="9">
        <v>5</v>
      </c>
      <c r="I314" s="9">
        <v>3.5575000000000001</v>
      </c>
      <c r="J314" s="9">
        <v>74.707499999999996</v>
      </c>
      <c r="K314" s="10">
        <v>43497</v>
      </c>
      <c r="L314" s="11">
        <v>0.42222222222222222</v>
      </c>
      <c r="M314" s="9" t="s">
        <v>31</v>
      </c>
      <c r="N314" s="9">
        <v>71.150000000000006</v>
      </c>
      <c r="O314" s="9">
        <v>4.4000000000000004</v>
      </c>
    </row>
    <row r="315" spans="1:15">
      <c r="A315" s="9" t="s">
        <v>347</v>
      </c>
      <c r="B315" s="9" t="s">
        <v>16</v>
      </c>
      <c r="C315" s="9" t="s">
        <v>17</v>
      </c>
      <c r="D315" s="9" t="s">
        <v>18</v>
      </c>
      <c r="E315" s="9" t="s">
        <v>19</v>
      </c>
      <c r="F315" s="9" t="s">
        <v>20</v>
      </c>
      <c r="G315" s="9">
        <v>15.55</v>
      </c>
      <c r="H315" s="9">
        <v>9</v>
      </c>
      <c r="I315" s="9">
        <v>6.9974999999999996</v>
      </c>
      <c r="J315" s="9">
        <v>146.94749999999999</v>
      </c>
      <c r="K315" s="10">
        <v>43531</v>
      </c>
      <c r="L315" s="11">
        <v>0.55000000000000004</v>
      </c>
      <c r="M315" s="9" t="s">
        <v>27</v>
      </c>
      <c r="N315" s="9">
        <v>139.94999999999999</v>
      </c>
      <c r="O315" s="9">
        <v>5</v>
      </c>
    </row>
    <row r="316" spans="1:15">
      <c r="A316" s="9" t="s">
        <v>348</v>
      </c>
      <c r="B316" s="9" t="s">
        <v>23</v>
      </c>
      <c r="C316" s="9" t="s">
        <v>24</v>
      </c>
      <c r="D316" s="9" t="s">
        <v>18</v>
      </c>
      <c r="E316" s="9" t="s">
        <v>19</v>
      </c>
      <c r="F316" s="9" t="s">
        <v>26</v>
      </c>
      <c r="G316" s="9">
        <v>78.13</v>
      </c>
      <c r="H316" s="9">
        <v>10</v>
      </c>
      <c r="I316" s="9">
        <v>39.064999999999998</v>
      </c>
      <c r="J316" s="9">
        <v>820.36500000000001</v>
      </c>
      <c r="K316" s="10">
        <v>43506</v>
      </c>
      <c r="L316" s="11">
        <v>0.86875000000000002</v>
      </c>
      <c r="M316" s="9" t="s">
        <v>27</v>
      </c>
      <c r="N316" s="9">
        <v>781.3</v>
      </c>
      <c r="O316" s="9">
        <v>4.4000000000000004</v>
      </c>
    </row>
    <row r="317" spans="1:15">
      <c r="A317" s="9" t="s">
        <v>349</v>
      </c>
      <c r="B317" s="9" t="s">
        <v>23</v>
      </c>
      <c r="C317" s="9" t="s">
        <v>24</v>
      </c>
      <c r="D317" s="9" t="s">
        <v>18</v>
      </c>
      <c r="E317" s="9" t="s">
        <v>29</v>
      </c>
      <c r="F317" s="9" t="s">
        <v>42</v>
      </c>
      <c r="G317" s="9">
        <v>99.37</v>
      </c>
      <c r="H317" s="9">
        <v>2</v>
      </c>
      <c r="I317" s="9">
        <v>9.9369999999999994</v>
      </c>
      <c r="J317" s="9">
        <v>208.67699999999999</v>
      </c>
      <c r="K317" s="10">
        <v>43510</v>
      </c>
      <c r="L317" s="11">
        <v>0.72847222222222219</v>
      </c>
      <c r="M317" s="9" t="s">
        <v>27</v>
      </c>
      <c r="N317" s="9">
        <v>198.74</v>
      </c>
      <c r="O317" s="9">
        <v>5.2</v>
      </c>
    </row>
    <row r="318" spans="1:15">
      <c r="A318" s="9" t="s">
        <v>350</v>
      </c>
      <c r="B318" s="9" t="s">
        <v>23</v>
      </c>
      <c r="C318" s="9" t="s">
        <v>24</v>
      </c>
      <c r="D318" s="9" t="s">
        <v>18</v>
      </c>
      <c r="E318" s="9" t="s">
        <v>19</v>
      </c>
      <c r="F318" s="9" t="s">
        <v>42</v>
      </c>
      <c r="G318" s="9">
        <v>21.08</v>
      </c>
      <c r="H318" s="9">
        <v>3</v>
      </c>
      <c r="I318" s="9">
        <v>3.1619999999999999</v>
      </c>
      <c r="J318" s="9">
        <v>66.402000000000001</v>
      </c>
      <c r="K318" s="10">
        <v>43505</v>
      </c>
      <c r="L318" s="11">
        <v>0.43402777777777779</v>
      </c>
      <c r="M318" s="9" t="s">
        <v>27</v>
      </c>
      <c r="N318" s="9">
        <v>63.24</v>
      </c>
      <c r="O318" s="9">
        <v>7.3</v>
      </c>
    </row>
    <row r="319" spans="1:15">
      <c r="A319" s="9" t="s">
        <v>351</v>
      </c>
      <c r="B319" s="9" t="s">
        <v>23</v>
      </c>
      <c r="C319" s="9" t="s">
        <v>24</v>
      </c>
      <c r="D319" s="9" t="s">
        <v>18</v>
      </c>
      <c r="E319" s="9" t="s">
        <v>29</v>
      </c>
      <c r="F319" s="9" t="s">
        <v>26</v>
      </c>
      <c r="G319" s="9">
        <v>74.790000000000006</v>
      </c>
      <c r="H319" s="9">
        <v>5</v>
      </c>
      <c r="I319" s="9">
        <v>18.697500000000002</v>
      </c>
      <c r="J319" s="9">
        <v>392.64749999999998</v>
      </c>
      <c r="K319" s="10">
        <v>43475</v>
      </c>
      <c r="L319" s="11">
        <v>0.48194444444444445</v>
      </c>
      <c r="M319" s="9" t="s">
        <v>27</v>
      </c>
      <c r="N319" s="9">
        <v>373.95</v>
      </c>
      <c r="O319" s="9">
        <v>4.9000000000000004</v>
      </c>
    </row>
    <row r="320" spans="1:15">
      <c r="A320" s="9" t="s">
        <v>352</v>
      </c>
      <c r="B320" s="9" t="s">
        <v>23</v>
      </c>
      <c r="C320" s="9" t="s">
        <v>24</v>
      </c>
      <c r="D320" s="9" t="s">
        <v>18</v>
      </c>
      <c r="E320" s="9" t="s">
        <v>19</v>
      </c>
      <c r="F320" s="9" t="s">
        <v>20</v>
      </c>
      <c r="G320" s="9">
        <v>29.67</v>
      </c>
      <c r="H320" s="9">
        <v>7</v>
      </c>
      <c r="I320" s="9">
        <v>10.384499999999999</v>
      </c>
      <c r="J320" s="9">
        <v>218.0745</v>
      </c>
      <c r="K320" s="10">
        <v>43535</v>
      </c>
      <c r="L320" s="11">
        <v>0.79027777777777775</v>
      </c>
      <c r="M320" s="9" t="s">
        <v>31</v>
      </c>
      <c r="N320" s="9">
        <v>207.69</v>
      </c>
      <c r="O320" s="9">
        <v>8.1</v>
      </c>
    </row>
    <row r="321" spans="1:15">
      <c r="A321" s="9" t="s">
        <v>353</v>
      </c>
      <c r="B321" s="9" t="s">
        <v>23</v>
      </c>
      <c r="C321" s="9" t="s">
        <v>24</v>
      </c>
      <c r="D321" s="9" t="s">
        <v>18</v>
      </c>
      <c r="E321" s="9" t="s">
        <v>29</v>
      </c>
      <c r="F321" s="9" t="s">
        <v>20</v>
      </c>
      <c r="G321" s="9">
        <v>44.07</v>
      </c>
      <c r="H321" s="9">
        <v>4</v>
      </c>
      <c r="I321" s="9">
        <v>8.8140000000000001</v>
      </c>
      <c r="J321" s="9">
        <v>185.09399999999999</v>
      </c>
      <c r="K321" s="10">
        <v>43514</v>
      </c>
      <c r="L321" s="11">
        <v>0.68611111111111112</v>
      </c>
      <c r="M321" s="9" t="s">
        <v>21</v>
      </c>
      <c r="N321" s="9">
        <v>176.28</v>
      </c>
      <c r="O321" s="9">
        <v>8.4</v>
      </c>
    </row>
    <row r="322" spans="1:15">
      <c r="A322" s="9" t="s">
        <v>354</v>
      </c>
      <c r="B322" s="9" t="s">
        <v>23</v>
      </c>
      <c r="C322" s="9" t="s">
        <v>24</v>
      </c>
      <c r="D322" s="9" t="s">
        <v>25</v>
      </c>
      <c r="E322" s="9" t="s">
        <v>19</v>
      </c>
      <c r="F322" s="9" t="s">
        <v>42</v>
      </c>
      <c r="G322" s="9">
        <v>22.93</v>
      </c>
      <c r="H322" s="9">
        <v>9</v>
      </c>
      <c r="I322" s="9">
        <v>10.3185</v>
      </c>
      <c r="J322" s="9">
        <v>216.6885</v>
      </c>
      <c r="K322" s="10">
        <v>43522</v>
      </c>
      <c r="L322" s="11">
        <v>0.85138888888888886</v>
      </c>
      <c r="M322" s="9" t="s">
        <v>27</v>
      </c>
      <c r="N322" s="9">
        <v>206.37</v>
      </c>
      <c r="O322" s="9">
        <v>5.5</v>
      </c>
    </row>
    <row r="323" spans="1:15">
      <c r="A323" s="9" t="s">
        <v>355</v>
      </c>
      <c r="B323" s="9" t="s">
        <v>23</v>
      </c>
      <c r="C323" s="9" t="s">
        <v>24</v>
      </c>
      <c r="D323" s="9" t="s">
        <v>25</v>
      </c>
      <c r="E323" s="9" t="s">
        <v>19</v>
      </c>
      <c r="F323" s="9" t="s">
        <v>20</v>
      </c>
      <c r="G323" s="9">
        <v>39.42</v>
      </c>
      <c r="H323" s="9">
        <v>1</v>
      </c>
      <c r="I323" s="9">
        <v>1.9710000000000001</v>
      </c>
      <c r="J323" s="9">
        <v>41.390999999999998</v>
      </c>
      <c r="K323" s="10">
        <v>43483</v>
      </c>
      <c r="L323" s="11">
        <v>0.63055555555555554</v>
      </c>
      <c r="M323" s="9" t="s">
        <v>27</v>
      </c>
      <c r="N323" s="9">
        <v>39.42</v>
      </c>
      <c r="O323" s="9">
        <v>8.4</v>
      </c>
    </row>
    <row r="324" spans="1:15">
      <c r="A324" s="9" t="s">
        <v>356</v>
      </c>
      <c r="B324" s="9" t="s">
        <v>16</v>
      </c>
      <c r="C324" s="9" t="s">
        <v>17</v>
      </c>
      <c r="D324" s="9" t="s">
        <v>25</v>
      </c>
      <c r="E324" s="9" t="s">
        <v>29</v>
      </c>
      <c r="F324" s="9" t="s">
        <v>20</v>
      </c>
      <c r="G324" s="9">
        <v>15.26</v>
      </c>
      <c r="H324" s="9">
        <v>6</v>
      </c>
      <c r="I324" s="9">
        <v>4.5780000000000003</v>
      </c>
      <c r="J324" s="9">
        <v>96.138000000000005</v>
      </c>
      <c r="K324" s="10">
        <v>43511</v>
      </c>
      <c r="L324" s="11">
        <v>0.75208333333333333</v>
      </c>
      <c r="M324" s="9" t="s">
        <v>21</v>
      </c>
      <c r="N324" s="9">
        <v>91.56</v>
      </c>
      <c r="O324" s="9">
        <v>9.8000000000000007</v>
      </c>
    </row>
    <row r="325" spans="1:15">
      <c r="A325" s="9" t="s">
        <v>357</v>
      </c>
      <c r="B325" s="9" t="s">
        <v>16</v>
      </c>
      <c r="C325" s="9" t="s">
        <v>17</v>
      </c>
      <c r="D325" s="9" t="s">
        <v>25</v>
      </c>
      <c r="E325" s="9" t="s">
        <v>19</v>
      </c>
      <c r="F325" s="9" t="s">
        <v>44</v>
      </c>
      <c r="G325" s="9">
        <v>61.77</v>
      </c>
      <c r="H325" s="9">
        <v>5</v>
      </c>
      <c r="I325" s="9">
        <v>15.442500000000001</v>
      </c>
      <c r="J325" s="9">
        <v>324.29250000000002</v>
      </c>
      <c r="K325" s="10">
        <v>43532</v>
      </c>
      <c r="L325" s="11">
        <v>0.55625000000000002</v>
      </c>
      <c r="M325" s="9" t="s">
        <v>27</v>
      </c>
      <c r="N325" s="9">
        <v>308.85000000000002</v>
      </c>
      <c r="O325" s="9">
        <v>6.7</v>
      </c>
    </row>
    <row r="326" spans="1:15">
      <c r="A326" s="9" t="s">
        <v>358</v>
      </c>
      <c r="B326" s="9" t="s">
        <v>16</v>
      </c>
      <c r="C326" s="9" t="s">
        <v>17</v>
      </c>
      <c r="D326" s="9" t="s">
        <v>25</v>
      </c>
      <c r="E326" s="9" t="s">
        <v>29</v>
      </c>
      <c r="F326" s="9" t="s">
        <v>30</v>
      </c>
      <c r="G326" s="9">
        <v>21.52</v>
      </c>
      <c r="H326" s="9">
        <v>6</v>
      </c>
      <c r="I326" s="9">
        <v>6.4560000000000004</v>
      </c>
      <c r="J326" s="9">
        <v>135.57599999999999</v>
      </c>
      <c r="K326" s="10">
        <v>43482</v>
      </c>
      <c r="L326" s="11">
        <v>0.53333333333333333</v>
      </c>
      <c r="M326" s="9" t="s">
        <v>31</v>
      </c>
      <c r="N326" s="9">
        <v>129.12</v>
      </c>
      <c r="O326" s="9">
        <v>9.4</v>
      </c>
    </row>
    <row r="327" spans="1:15">
      <c r="A327" s="9" t="s">
        <v>359</v>
      </c>
      <c r="B327" s="9" t="s">
        <v>40</v>
      </c>
      <c r="C327" s="9" t="s">
        <v>41</v>
      </c>
      <c r="D327" s="9" t="s">
        <v>25</v>
      </c>
      <c r="E327" s="9" t="s">
        <v>29</v>
      </c>
      <c r="F327" s="9" t="s">
        <v>34</v>
      </c>
      <c r="G327" s="9">
        <v>97.74</v>
      </c>
      <c r="H327" s="9">
        <v>4</v>
      </c>
      <c r="I327" s="9">
        <v>19.547999999999998</v>
      </c>
      <c r="J327" s="9">
        <v>410.50799999999998</v>
      </c>
      <c r="K327" s="10">
        <v>43536</v>
      </c>
      <c r="L327" s="11">
        <v>0.82847222222222228</v>
      </c>
      <c r="M327" s="9" t="s">
        <v>21</v>
      </c>
      <c r="N327" s="9">
        <v>390.96</v>
      </c>
      <c r="O327" s="9">
        <v>6.4</v>
      </c>
    </row>
    <row r="328" spans="1:15">
      <c r="A328" s="9" t="s">
        <v>360</v>
      </c>
      <c r="B328" s="9" t="s">
        <v>16</v>
      </c>
      <c r="C328" s="9" t="s">
        <v>17</v>
      </c>
      <c r="D328" s="9" t="s">
        <v>18</v>
      </c>
      <c r="E328" s="9" t="s">
        <v>29</v>
      </c>
      <c r="F328" s="9" t="s">
        <v>42</v>
      </c>
      <c r="G328" s="9">
        <v>99.78</v>
      </c>
      <c r="H328" s="9">
        <v>5</v>
      </c>
      <c r="I328" s="9">
        <v>24.945</v>
      </c>
      <c r="J328" s="9">
        <v>523.84500000000003</v>
      </c>
      <c r="K328" s="10">
        <v>43533</v>
      </c>
      <c r="L328" s="11">
        <v>0.79791666666666672</v>
      </c>
      <c r="M328" s="9" t="s">
        <v>27</v>
      </c>
      <c r="N328" s="9">
        <v>498.9</v>
      </c>
      <c r="O328" s="9">
        <v>5.4</v>
      </c>
    </row>
    <row r="329" spans="1:15">
      <c r="A329" s="9" t="s">
        <v>361</v>
      </c>
      <c r="B329" s="9" t="s">
        <v>23</v>
      </c>
      <c r="C329" s="9" t="s">
        <v>24</v>
      </c>
      <c r="D329" s="9" t="s">
        <v>18</v>
      </c>
      <c r="E329" s="9" t="s">
        <v>29</v>
      </c>
      <c r="F329" s="9" t="s">
        <v>42</v>
      </c>
      <c r="G329" s="9">
        <v>94.26</v>
      </c>
      <c r="H329" s="9">
        <v>4</v>
      </c>
      <c r="I329" s="9">
        <v>18.852</v>
      </c>
      <c r="J329" s="9">
        <v>395.892</v>
      </c>
      <c r="K329" s="10">
        <v>43536</v>
      </c>
      <c r="L329" s="11">
        <v>0.6875</v>
      </c>
      <c r="M329" s="9" t="s">
        <v>27</v>
      </c>
      <c r="N329" s="9">
        <v>377.04</v>
      </c>
      <c r="O329" s="9">
        <v>8.6</v>
      </c>
    </row>
    <row r="330" spans="1:15">
      <c r="A330" s="9" t="s">
        <v>362</v>
      </c>
      <c r="B330" s="9" t="s">
        <v>40</v>
      </c>
      <c r="C330" s="9" t="s">
        <v>41</v>
      </c>
      <c r="D330" s="9" t="s">
        <v>18</v>
      </c>
      <c r="E330" s="9" t="s">
        <v>29</v>
      </c>
      <c r="F330" s="9" t="s">
        <v>20</v>
      </c>
      <c r="G330" s="9">
        <v>51.13</v>
      </c>
      <c r="H330" s="9">
        <v>4</v>
      </c>
      <c r="I330" s="9">
        <v>10.226000000000001</v>
      </c>
      <c r="J330" s="9">
        <v>214.74600000000001</v>
      </c>
      <c r="K330" s="10">
        <v>43490</v>
      </c>
      <c r="L330" s="11">
        <v>0.42430555555555555</v>
      </c>
      <c r="M330" s="9" t="s">
        <v>31</v>
      </c>
      <c r="N330" s="9">
        <v>204.52</v>
      </c>
      <c r="O330" s="9">
        <v>4</v>
      </c>
    </row>
    <row r="331" spans="1:15">
      <c r="A331" s="9" t="s">
        <v>363</v>
      </c>
      <c r="B331" s="9" t="s">
        <v>16</v>
      </c>
      <c r="C331" s="9" t="s">
        <v>17</v>
      </c>
      <c r="D331" s="9" t="s">
        <v>18</v>
      </c>
      <c r="E331" s="9" t="s">
        <v>29</v>
      </c>
      <c r="F331" s="9" t="s">
        <v>26</v>
      </c>
      <c r="G331" s="9">
        <v>36.36</v>
      </c>
      <c r="H331" s="9">
        <v>4</v>
      </c>
      <c r="I331" s="9">
        <v>7.2720000000000002</v>
      </c>
      <c r="J331" s="9">
        <v>152.71199999999999</v>
      </c>
      <c r="K331" s="10">
        <v>43549</v>
      </c>
      <c r="L331" s="11">
        <v>0.54652777777777772</v>
      </c>
      <c r="M331" s="9" t="s">
        <v>27</v>
      </c>
      <c r="N331" s="9">
        <v>145.44</v>
      </c>
      <c r="O331" s="9">
        <v>7.6</v>
      </c>
    </row>
    <row r="332" spans="1:15">
      <c r="A332" s="9" t="s">
        <v>364</v>
      </c>
      <c r="B332" s="9" t="s">
        <v>40</v>
      </c>
      <c r="C332" s="9" t="s">
        <v>41</v>
      </c>
      <c r="D332" s="9" t="s">
        <v>25</v>
      </c>
      <c r="E332" s="9" t="s">
        <v>29</v>
      </c>
      <c r="F332" s="9" t="s">
        <v>30</v>
      </c>
      <c r="G332" s="9">
        <v>22.02</v>
      </c>
      <c r="H332" s="9">
        <v>9</v>
      </c>
      <c r="I332" s="9">
        <v>9.9090000000000007</v>
      </c>
      <c r="J332" s="9">
        <v>208.089</v>
      </c>
      <c r="K332" s="10">
        <v>43503</v>
      </c>
      <c r="L332" s="11">
        <v>0.78333333333333333</v>
      </c>
      <c r="M332" s="9" t="s">
        <v>27</v>
      </c>
      <c r="N332" s="9">
        <v>198.18</v>
      </c>
      <c r="O332" s="9">
        <v>6.8</v>
      </c>
    </row>
    <row r="333" spans="1:15">
      <c r="A333" s="9" t="s">
        <v>365</v>
      </c>
      <c r="B333" s="9" t="s">
        <v>16</v>
      </c>
      <c r="C333" s="9" t="s">
        <v>17</v>
      </c>
      <c r="D333" s="9" t="s">
        <v>25</v>
      </c>
      <c r="E333" s="9" t="s">
        <v>29</v>
      </c>
      <c r="F333" s="9" t="s">
        <v>42</v>
      </c>
      <c r="G333" s="9">
        <v>32.9</v>
      </c>
      <c r="H333" s="9">
        <v>3</v>
      </c>
      <c r="I333" s="9">
        <v>4.9349999999999996</v>
      </c>
      <c r="J333" s="9">
        <v>103.63500000000001</v>
      </c>
      <c r="K333" s="10">
        <v>43513</v>
      </c>
      <c r="L333" s="11">
        <v>0.7270833333333333</v>
      </c>
      <c r="M333" s="9" t="s">
        <v>31</v>
      </c>
      <c r="N333" s="9">
        <v>98.7</v>
      </c>
      <c r="O333" s="9">
        <v>9.1</v>
      </c>
    </row>
    <row r="334" spans="1:15">
      <c r="A334" s="9" t="s">
        <v>366</v>
      </c>
      <c r="B334" s="9" t="s">
        <v>16</v>
      </c>
      <c r="C334" s="9" t="s">
        <v>17</v>
      </c>
      <c r="D334" s="9" t="s">
        <v>25</v>
      </c>
      <c r="E334" s="9" t="s">
        <v>29</v>
      </c>
      <c r="F334" s="9" t="s">
        <v>44</v>
      </c>
      <c r="G334" s="9">
        <v>77.02</v>
      </c>
      <c r="H334" s="9">
        <v>5</v>
      </c>
      <c r="I334" s="9">
        <v>19.254999999999999</v>
      </c>
      <c r="J334" s="9">
        <v>404.35500000000002</v>
      </c>
      <c r="K334" s="10">
        <v>43499</v>
      </c>
      <c r="L334" s="11">
        <v>0.66597222222222219</v>
      </c>
      <c r="M334" s="9" t="s">
        <v>27</v>
      </c>
      <c r="N334" s="9">
        <v>385.1</v>
      </c>
      <c r="O334" s="9">
        <v>5.5</v>
      </c>
    </row>
    <row r="335" spans="1:15">
      <c r="A335" s="9" t="s">
        <v>367</v>
      </c>
      <c r="B335" s="9" t="s">
        <v>16</v>
      </c>
      <c r="C335" s="9" t="s">
        <v>17</v>
      </c>
      <c r="D335" s="9" t="s">
        <v>18</v>
      </c>
      <c r="E335" s="9" t="s">
        <v>29</v>
      </c>
      <c r="F335" s="9" t="s">
        <v>42</v>
      </c>
      <c r="G335" s="9">
        <v>23.48</v>
      </c>
      <c r="H335" s="9">
        <v>2</v>
      </c>
      <c r="I335" s="9">
        <v>2.3479999999999999</v>
      </c>
      <c r="J335" s="9">
        <v>49.308</v>
      </c>
      <c r="K335" s="10">
        <v>43538</v>
      </c>
      <c r="L335" s="11">
        <v>0.47291666666666665</v>
      </c>
      <c r="M335" s="9" t="s">
        <v>31</v>
      </c>
      <c r="N335" s="9">
        <v>46.96</v>
      </c>
      <c r="O335" s="9">
        <v>7.9</v>
      </c>
    </row>
    <row r="336" spans="1:15">
      <c r="A336" s="9" t="s">
        <v>368</v>
      </c>
      <c r="B336" s="9" t="s">
        <v>23</v>
      </c>
      <c r="C336" s="9" t="s">
        <v>24</v>
      </c>
      <c r="D336" s="9" t="s">
        <v>18</v>
      </c>
      <c r="E336" s="9" t="s">
        <v>29</v>
      </c>
      <c r="F336" s="9" t="s">
        <v>34</v>
      </c>
      <c r="G336" s="9">
        <v>14.7</v>
      </c>
      <c r="H336" s="9">
        <v>5</v>
      </c>
      <c r="I336" s="9">
        <v>3.6749999999999998</v>
      </c>
      <c r="J336" s="9">
        <v>77.174999999999997</v>
      </c>
      <c r="K336" s="10">
        <v>43548</v>
      </c>
      <c r="L336" s="11">
        <v>0.57499999999999996</v>
      </c>
      <c r="M336" s="9" t="s">
        <v>21</v>
      </c>
      <c r="N336" s="9">
        <v>73.5</v>
      </c>
      <c r="O336" s="9">
        <v>8.5</v>
      </c>
    </row>
    <row r="337" spans="1:15">
      <c r="A337" s="9" t="s">
        <v>369</v>
      </c>
      <c r="B337" s="9" t="s">
        <v>16</v>
      </c>
      <c r="C337" s="9" t="s">
        <v>17</v>
      </c>
      <c r="D337" s="9" t="s">
        <v>18</v>
      </c>
      <c r="E337" s="9" t="s">
        <v>19</v>
      </c>
      <c r="F337" s="9" t="s">
        <v>26</v>
      </c>
      <c r="G337" s="9">
        <v>28.45</v>
      </c>
      <c r="H337" s="9">
        <v>5</v>
      </c>
      <c r="I337" s="9">
        <v>7.1124999999999998</v>
      </c>
      <c r="J337" s="9">
        <v>149.36250000000001</v>
      </c>
      <c r="K337" s="10">
        <v>43545</v>
      </c>
      <c r="L337" s="11">
        <v>0.4284722222222222</v>
      </c>
      <c r="M337" s="9" t="s">
        <v>31</v>
      </c>
      <c r="N337" s="9">
        <v>142.25</v>
      </c>
      <c r="O337" s="9">
        <v>9.1</v>
      </c>
    </row>
    <row r="338" spans="1:15">
      <c r="A338" s="9" t="s">
        <v>370</v>
      </c>
      <c r="B338" s="9" t="s">
        <v>16</v>
      </c>
      <c r="C338" s="9" t="s">
        <v>17</v>
      </c>
      <c r="D338" s="9" t="s">
        <v>25</v>
      </c>
      <c r="E338" s="9" t="s">
        <v>29</v>
      </c>
      <c r="F338" s="9" t="s">
        <v>44</v>
      </c>
      <c r="G338" s="9">
        <v>76.400000000000006</v>
      </c>
      <c r="H338" s="9">
        <v>9</v>
      </c>
      <c r="I338" s="9">
        <v>34.380000000000003</v>
      </c>
      <c r="J338" s="9">
        <v>721.98</v>
      </c>
      <c r="K338" s="10">
        <v>43543</v>
      </c>
      <c r="L338" s="11">
        <v>0.65902777777777777</v>
      </c>
      <c r="M338" s="9" t="s">
        <v>21</v>
      </c>
      <c r="N338" s="9">
        <v>687.6</v>
      </c>
      <c r="O338" s="9">
        <v>7.5</v>
      </c>
    </row>
    <row r="339" spans="1:15">
      <c r="A339" s="9" t="s">
        <v>371</v>
      </c>
      <c r="B339" s="9" t="s">
        <v>40</v>
      </c>
      <c r="C339" s="9" t="s">
        <v>41</v>
      </c>
      <c r="D339" s="9" t="s">
        <v>25</v>
      </c>
      <c r="E339" s="9" t="s">
        <v>19</v>
      </c>
      <c r="F339" s="9" t="s">
        <v>34</v>
      </c>
      <c r="G339" s="9">
        <v>57.95</v>
      </c>
      <c r="H339" s="9">
        <v>6</v>
      </c>
      <c r="I339" s="9">
        <v>17.385000000000002</v>
      </c>
      <c r="J339" s="9">
        <v>365.08499999999998</v>
      </c>
      <c r="K339" s="10">
        <v>43520</v>
      </c>
      <c r="L339" s="11">
        <v>0.54305555555555551</v>
      </c>
      <c r="M339" s="9" t="s">
        <v>27</v>
      </c>
      <c r="N339" s="9">
        <v>347.7</v>
      </c>
      <c r="O339" s="9">
        <v>5.2</v>
      </c>
    </row>
    <row r="340" spans="1:15">
      <c r="A340" s="9" t="s">
        <v>372</v>
      </c>
      <c r="B340" s="9" t="s">
        <v>23</v>
      </c>
      <c r="C340" s="9" t="s">
        <v>24</v>
      </c>
      <c r="D340" s="9" t="s">
        <v>25</v>
      </c>
      <c r="E340" s="9" t="s">
        <v>19</v>
      </c>
      <c r="F340" s="9" t="s">
        <v>26</v>
      </c>
      <c r="G340" s="9">
        <v>47.65</v>
      </c>
      <c r="H340" s="9">
        <v>3</v>
      </c>
      <c r="I340" s="9">
        <v>7.1475</v>
      </c>
      <c r="J340" s="9">
        <v>150.0975</v>
      </c>
      <c r="K340" s="10">
        <v>43552</v>
      </c>
      <c r="L340" s="11">
        <v>0.54027777777777775</v>
      </c>
      <c r="M340" s="9" t="s">
        <v>31</v>
      </c>
      <c r="N340" s="9">
        <v>142.94999999999999</v>
      </c>
      <c r="O340" s="9">
        <v>9.5</v>
      </c>
    </row>
    <row r="341" spans="1:15">
      <c r="A341" s="9" t="s">
        <v>373</v>
      </c>
      <c r="B341" s="9" t="s">
        <v>40</v>
      </c>
      <c r="C341" s="9" t="s">
        <v>41</v>
      </c>
      <c r="D341" s="9" t="s">
        <v>18</v>
      </c>
      <c r="E341" s="9" t="s">
        <v>19</v>
      </c>
      <c r="F341" s="9" t="s">
        <v>42</v>
      </c>
      <c r="G341" s="9">
        <v>42.82</v>
      </c>
      <c r="H341" s="9">
        <v>9</v>
      </c>
      <c r="I341" s="9">
        <v>19.268999999999998</v>
      </c>
      <c r="J341" s="9">
        <v>404.649</v>
      </c>
      <c r="K341" s="10">
        <v>43501</v>
      </c>
      <c r="L341" s="11">
        <v>0.6430555555555556</v>
      </c>
      <c r="M341" s="9" t="s">
        <v>31</v>
      </c>
      <c r="N341" s="9">
        <v>385.38</v>
      </c>
      <c r="O341" s="9">
        <v>8.9</v>
      </c>
    </row>
    <row r="342" spans="1:15">
      <c r="A342" s="9" t="s">
        <v>374</v>
      </c>
      <c r="B342" s="9" t="s">
        <v>40</v>
      </c>
      <c r="C342" s="9" t="s">
        <v>41</v>
      </c>
      <c r="D342" s="9" t="s">
        <v>18</v>
      </c>
      <c r="E342" s="9" t="s">
        <v>29</v>
      </c>
      <c r="F342" s="9" t="s">
        <v>26</v>
      </c>
      <c r="G342" s="9">
        <v>48.09</v>
      </c>
      <c r="H342" s="9">
        <v>3</v>
      </c>
      <c r="I342" s="9">
        <v>7.2134999999999998</v>
      </c>
      <c r="J342" s="9">
        <v>151.48349999999999</v>
      </c>
      <c r="K342" s="10">
        <v>43506</v>
      </c>
      <c r="L342" s="11">
        <v>0.76597222222222228</v>
      </c>
      <c r="M342" s="9" t="s">
        <v>31</v>
      </c>
      <c r="N342" s="9">
        <v>144.27000000000001</v>
      </c>
      <c r="O342" s="9">
        <v>7.8</v>
      </c>
    </row>
    <row r="343" spans="1:15">
      <c r="A343" s="9" t="s">
        <v>375</v>
      </c>
      <c r="B343" s="9" t="s">
        <v>40</v>
      </c>
      <c r="C343" s="9" t="s">
        <v>41</v>
      </c>
      <c r="D343" s="9" t="s">
        <v>18</v>
      </c>
      <c r="E343" s="9" t="s">
        <v>19</v>
      </c>
      <c r="F343" s="9" t="s">
        <v>20</v>
      </c>
      <c r="G343" s="9">
        <v>55.97</v>
      </c>
      <c r="H343" s="9">
        <v>7</v>
      </c>
      <c r="I343" s="9">
        <v>19.589500000000001</v>
      </c>
      <c r="J343" s="9">
        <v>411.37950000000001</v>
      </c>
      <c r="K343" s="10">
        <v>43529</v>
      </c>
      <c r="L343" s="11">
        <v>0.79583333333333328</v>
      </c>
      <c r="M343" s="9" t="s">
        <v>21</v>
      </c>
      <c r="N343" s="9">
        <v>391.79</v>
      </c>
      <c r="O343" s="9">
        <v>8.9</v>
      </c>
    </row>
    <row r="344" spans="1:15">
      <c r="A344" s="9" t="s">
        <v>376</v>
      </c>
      <c r="B344" s="9" t="s">
        <v>40</v>
      </c>
      <c r="C344" s="9" t="s">
        <v>41</v>
      </c>
      <c r="D344" s="9" t="s">
        <v>18</v>
      </c>
      <c r="E344" s="9" t="s">
        <v>19</v>
      </c>
      <c r="F344" s="9" t="s">
        <v>20</v>
      </c>
      <c r="G344" s="9">
        <v>76.900000000000006</v>
      </c>
      <c r="H344" s="9">
        <v>7</v>
      </c>
      <c r="I344" s="9">
        <v>26.914999999999999</v>
      </c>
      <c r="J344" s="9">
        <v>565.21500000000003</v>
      </c>
      <c r="K344" s="10">
        <v>43511</v>
      </c>
      <c r="L344" s="11">
        <v>0.84791666666666665</v>
      </c>
      <c r="M344" s="9" t="s">
        <v>27</v>
      </c>
      <c r="N344" s="9">
        <v>538.29999999999995</v>
      </c>
      <c r="O344" s="9">
        <v>7.7</v>
      </c>
    </row>
    <row r="345" spans="1:15">
      <c r="A345" s="9" t="s">
        <v>377</v>
      </c>
      <c r="B345" s="9" t="s">
        <v>23</v>
      </c>
      <c r="C345" s="9" t="s">
        <v>24</v>
      </c>
      <c r="D345" s="9" t="s">
        <v>25</v>
      </c>
      <c r="E345" s="9" t="s">
        <v>19</v>
      </c>
      <c r="F345" s="9" t="s">
        <v>42</v>
      </c>
      <c r="G345" s="9">
        <v>97.03</v>
      </c>
      <c r="H345" s="9">
        <v>5</v>
      </c>
      <c r="I345" s="9">
        <v>24.2575</v>
      </c>
      <c r="J345" s="9">
        <v>509.40750000000003</v>
      </c>
      <c r="K345" s="10">
        <v>43495</v>
      </c>
      <c r="L345" s="11">
        <v>0.68333333333333335</v>
      </c>
      <c r="M345" s="9" t="s">
        <v>21</v>
      </c>
      <c r="N345" s="9">
        <v>485.15</v>
      </c>
      <c r="O345" s="9">
        <v>9.3000000000000007</v>
      </c>
    </row>
    <row r="346" spans="1:15">
      <c r="A346" s="9" t="s">
        <v>378</v>
      </c>
      <c r="B346" s="9" t="s">
        <v>16</v>
      </c>
      <c r="C346" s="9" t="s">
        <v>17</v>
      </c>
      <c r="D346" s="9" t="s">
        <v>25</v>
      </c>
      <c r="E346" s="9" t="s">
        <v>29</v>
      </c>
      <c r="F346" s="9" t="s">
        <v>34</v>
      </c>
      <c r="G346" s="9">
        <v>44.65</v>
      </c>
      <c r="H346" s="9">
        <v>3</v>
      </c>
      <c r="I346" s="9">
        <v>6.6974999999999998</v>
      </c>
      <c r="J346" s="9">
        <v>140.64750000000001</v>
      </c>
      <c r="K346" s="10">
        <v>43510</v>
      </c>
      <c r="L346" s="11">
        <v>0.62777777777777777</v>
      </c>
      <c r="M346" s="9" t="s">
        <v>27</v>
      </c>
      <c r="N346" s="9">
        <v>133.94999999999999</v>
      </c>
      <c r="O346" s="9">
        <v>6.2</v>
      </c>
    </row>
    <row r="347" spans="1:15">
      <c r="A347" s="9" t="s">
        <v>379</v>
      </c>
      <c r="B347" s="9" t="s">
        <v>16</v>
      </c>
      <c r="C347" s="9" t="s">
        <v>17</v>
      </c>
      <c r="D347" s="9" t="s">
        <v>25</v>
      </c>
      <c r="E347" s="9" t="s">
        <v>19</v>
      </c>
      <c r="F347" s="9" t="s">
        <v>44</v>
      </c>
      <c r="G347" s="9">
        <v>77.930000000000007</v>
      </c>
      <c r="H347" s="9">
        <v>9</v>
      </c>
      <c r="I347" s="9">
        <v>35.0685</v>
      </c>
      <c r="J347" s="9">
        <v>736.43849999999998</v>
      </c>
      <c r="K347" s="10">
        <v>43523</v>
      </c>
      <c r="L347" s="11">
        <v>0.67361111111111116</v>
      </c>
      <c r="M347" s="9" t="s">
        <v>21</v>
      </c>
      <c r="N347" s="9">
        <v>701.37</v>
      </c>
      <c r="O347" s="9">
        <v>7.6</v>
      </c>
    </row>
    <row r="348" spans="1:15">
      <c r="A348" s="9" t="s">
        <v>380</v>
      </c>
      <c r="B348" s="9" t="s">
        <v>16</v>
      </c>
      <c r="C348" s="9" t="s">
        <v>17</v>
      </c>
      <c r="D348" s="9" t="s">
        <v>18</v>
      </c>
      <c r="E348" s="9" t="s">
        <v>29</v>
      </c>
      <c r="F348" s="9" t="s">
        <v>26</v>
      </c>
      <c r="G348" s="9">
        <v>71.95</v>
      </c>
      <c r="H348" s="9">
        <v>1</v>
      </c>
      <c r="I348" s="9">
        <v>3.5975000000000001</v>
      </c>
      <c r="J348" s="9">
        <v>75.547499999999999</v>
      </c>
      <c r="K348" s="10">
        <v>43500</v>
      </c>
      <c r="L348" s="11">
        <v>0.50972222222222219</v>
      </c>
      <c r="M348" s="9" t="s">
        <v>27</v>
      </c>
      <c r="N348" s="9">
        <v>71.95</v>
      </c>
      <c r="O348" s="9">
        <v>7.3</v>
      </c>
    </row>
    <row r="349" spans="1:15">
      <c r="A349" s="9" t="s">
        <v>381</v>
      </c>
      <c r="B349" s="9" t="s">
        <v>23</v>
      </c>
      <c r="C349" s="9" t="s">
        <v>24</v>
      </c>
      <c r="D349" s="9" t="s">
        <v>18</v>
      </c>
      <c r="E349" s="9" t="s">
        <v>19</v>
      </c>
      <c r="F349" s="9" t="s">
        <v>30</v>
      </c>
      <c r="G349" s="9">
        <v>89.25</v>
      </c>
      <c r="H349" s="9">
        <v>8</v>
      </c>
      <c r="I349" s="9">
        <v>35.700000000000003</v>
      </c>
      <c r="J349" s="9">
        <v>749.7</v>
      </c>
      <c r="K349" s="10">
        <v>43485</v>
      </c>
      <c r="L349" s="11">
        <v>0.42569444444444443</v>
      </c>
      <c r="M349" s="9" t="s">
        <v>27</v>
      </c>
      <c r="N349" s="9">
        <v>714</v>
      </c>
      <c r="O349" s="9">
        <v>4.7</v>
      </c>
    </row>
    <row r="350" spans="1:15">
      <c r="A350" s="9" t="s">
        <v>382</v>
      </c>
      <c r="B350" s="9" t="s">
        <v>16</v>
      </c>
      <c r="C350" s="9" t="s">
        <v>17</v>
      </c>
      <c r="D350" s="9" t="s">
        <v>25</v>
      </c>
      <c r="E350" s="9" t="s">
        <v>29</v>
      </c>
      <c r="F350" s="9" t="s">
        <v>26</v>
      </c>
      <c r="G350" s="9">
        <v>26.02</v>
      </c>
      <c r="H350" s="9">
        <v>7</v>
      </c>
      <c r="I350" s="9">
        <v>9.1069999999999993</v>
      </c>
      <c r="J350" s="9">
        <v>191.24700000000001</v>
      </c>
      <c r="K350" s="10">
        <v>43552</v>
      </c>
      <c r="L350" s="11">
        <v>0.73472222222222228</v>
      </c>
      <c r="M350" s="9" t="s">
        <v>27</v>
      </c>
      <c r="N350" s="9">
        <v>182.14</v>
      </c>
      <c r="O350" s="9">
        <v>5.0999999999999996</v>
      </c>
    </row>
    <row r="351" spans="1:15">
      <c r="A351" s="9" t="s">
        <v>383</v>
      </c>
      <c r="B351" s="9" t="s">
        <v>40</v>
      </c>
      <c r="C351" s="9" t="s">
        <v>41</v>
      </c>
      <c r="D351" s="9" t="s">
        <v>25</v>
      </c>
      <c r="E351" s="9" t="s">
        <v>19</v>
      </c>
      <c r="F351" s="9" t="s">
        <v>20</v>
      </c>
      <c r="G351" s="9">
        <v>13.5</v>
      </c>
      <c r="H351" s="9">
        <v>10</v>
      </c>
      <c r="I351" s="9">
        <v>6.75</v>
      </c>
      <c r="J351" s="9">
        <v>141.75</v>
      </c>
      <c r="K351" s="10">
        <v>43523</v>
      </c>
      <c r="L351" s="11">
        <v>0.46250000000000002</v>
      </c>
      <c r="M351" s="9" t="s">
        <v>31</v>
      </c>
      <c r="N351" s="9">
        <v>135</v>
      </c>
      <c r="O351" s="9">
        <v>4.8</v>
      </c>
    </row>
    <row r="352" spans="1:15">
      <c r="A352" s="9" t="s">
        <v>384</v>
      </c>
      <c r="B352" s="9" t="s">
        <v>23</v>
      </c>
      <c r="C352" s="9" t="s">
        <v>24</v>
      </c>
      <c r="D352" s="9" t="s">
        <v>18</v>
      </c>
      <c r="E352" s="9" t="s">
        <v>19</v>
      </c>
      <c r="F352" s="9" t="s">
        <v>44</v>
      </c>
      <c r="G352" s="9">
        <v>99.3</v>
      </c>
      <c r="H352" s="9">
        <v>10</v>
      </c>
      <c r="I352" s="9">
        <v>49.65</v>
      </c>
      <c r="J352" s="9">
        <v>1042.6500000000001</v>
      </c>
      <c r="K352" s="10">
        <v>43511</v>
      </c>
      <c r="L352" s="11">
        <v>0.62013888888888891</v>
      </c>
      <c r="M352" s="9" t="s">
        <v>31</v>
      </c>
      <c r="N352" s="9">
        <v>993</v>
      </c>
      <c r="O352" s="9">
        <v>6.6</v>
      </c>
    </row>
    <row r="353" spans="1:15">
      <c r="A353" s="9" t="s">
        <v>385</v>
      </c>
      <c r="B353" s="9" t="s">
        <v>16</v>
      </c>
      <c r="C353" s="9" t="s">
        <v>17</v>
      </c>
      <c r="D353" s="9" t="s">
        <v>25</v>
      </c>
      <c r="E353" s="9" t="s">
        <v>29</v>
      </c>
      <c r="F353" s="9" t="s">
        <v>26</v>
      </c>
      <c r="G353" s="9">
        <v>51.69</v>
      </c>
      <c r="H353" s="9">
        <v>7</v>
      </c>
      <c r="I353" s="9">
        <v>18.0915</v>
      </c>
      <c r="J353" s="9">
        <v>379.92149999999998</v>
      </c>
      <c r="K353" s="10">
        <v>43491</v>
      </c>
      <c r="L353" s="11">
        <v>0.76527777777777772</v>
      </c>
      <c r="M353" s="9" t="s">
        <v>27</v>
      </c>
      <c r="N353" s="9">
        <v>361.83</v>
      </c>
      <c r="O353" s="9">
        <v>5.5</v>
      </c>
    </row>
    <row r="354" spans="1:15">
      <c r="A354" s="9" t="s">
        <v>386</v>
      </c>
      <c r="B354" s="9" t="s">
        <v>40</v>
      </c>
      <c r="C354" s="9" t="s">
        <v>41</v>
      </c>
      <c r="D354" s="9" t="s">
        <v>18</v>
      </c>
      <c r="E354" s="9" t="s">
        <v>19</v>
      </c>
      <c r="F354" s="9" t="s">
        <v>44</v>
      </c>
      <c r="G354" s="9">
        <v>54.73</v>
      </c>
      <c r="H354" s="9">
        <v>7</v>
      </c>
      <c r="I354" s="9">
        <v>19.1555</v>
      </c>
      <c r="J354" s="9">
        <v>402.26549999999997</v>
      </c>
      <c r="K354" s="10">
        <v>43538</v>
      </c>
      <c r="L354" s="11">
        <v>0.79305555555555551</v>
      </c>
      <c r="M354" s="9" t="s">
        <v>31</v>
      </c>
      <c r="N354" s="9">
        <v>383.11</v>
      </c>
      <c r="O354" s="9">
        <v>8.5</v>
      </c>
    </row>
    <row r="355" spans="1:15">
      <c r="A355" s="9" t="s">
        <v>387</v>
      </c>
      <c r="B355" s="9" t="s">
        <v>40</v>
      </c>
      <c r="C355" s="9" t="s">
        <v>41</v>
      </c>
      <c r="D355" s="9" t="s">
        <v>18</v>
      </c>
      <c r="E355" s="9" t="s">
        <v>29</v>
      </c>
      <c r="F355" s="9" t="s">
        <v>30</v>
      </c>
      <c r="G355" s="9">
        <v>27</v>
      </c>
      <c r="H355" s="9">
        <v>9</v>
      </c>
      <c r="I355" s="9">
        <v>12.15</v>
      </c>
      <c r="J355" s="9">
        <v>255.15</v>
      </c>
      <c r="K355" s="10">
        <v>43526</v>
      </c>
      <c r="L355" s="11">
        <v>0.59444444444444444</v>
      </c>
      <c r="M355" s="9" t="s">
        <v>27</v>
      </c>
      <c r="N355" s="9">
        <v>243</v>
      </c>
      <c r="O355" s="9">
        <v>4.8</v>
      </c>
    </row>
    <row r="356" spans="1:15">
      <c r="A356" s="9" t="s">
        <v>388</v>
      </c>
      <c r="B356" s="9" t="s">
        <v>23</v>
      </c>
      <c r="C356" s="9" t="s">
        <v>24</v>
      </c>
      <c r="D356" s="9" t="s">
        <v>25</v>
      </c>
      <c r="E356" s="9" t="s">
        <v>19</v>
      </c>
      <c r="F356" s="9" t="s">
        <v>26</v>
      </c>
      <c r="G356" s="9">
        <v>30.24</v>
      </c>
      <c r="H356" s="9">
        <v>1</v>
      </c>
      <c r="I356" s="9">
        <v>1.512</v>
      </c>
      <c r="J356" s="9">
        <v>31.751999999999999</v>
      </c>
      <c r="K356" s="10">
        <v>43528</v>
      </c>
      <c r="L356" s="11">
        <v>0.65555555555555556</v>
      </c>
      <c r="M356" s="9" t="s">
        <v>27</v>
      </c>
      <c r="N356" s="9">
        <v>30.24</v>
      </c>
      <c r="O356" s="9">
        <v>8.4</v>
      </c>
    </row>
    <row r="357" spans="1:15">
      <c r="A357" s="9" t="s">
        <v>389</v>
      </c>
      <c r="B357" s="9" t="s">
        <v>40</v>
      </c>
      <c r="C357" s="9" t="s">
        <v>41</v>
      </c>
      <c r="D357" s="9" t="s">
        <v>18</v>
      </c>
      <c r="E357" s="9" t="s">
        <v>19</v>
      </c>
      <c r="F357" s="9" t="s">
        <v>42</v>
      </c>
      <c r="G357" s="9">
        <v>89.14</v>
      </c>
      <c r="H357" s="9">
        <v>4</v>
      </c>
      <c r="I357" s="9">
        <v>17.827999999999999</v>
      </c>
      <c r="J357" s="9">
        <v>374.38799999999998</v>
      </c>
      <c r="K357" s="10">
        <v>43472</v>
      </c>
      <c r="L357" s="11">
        <v>0.51388888888888884</v>
      </c>
      <c r="M357" s="9" t="s">
        <v>31</v>
      </c>
      <c r="N357" s="9">
        <v>356.56</v>
      </c>
      <c r="O357" s="9">
        <v>7.8</v>
      </c>
    </row>
    <row r="358" spans="1:15">
      <c r="A358" s="9" t="s">
        <v>390</v>
      </c>
      <c r="B358" s="9" t="s">
        <v>23</v>
      </c>
      <c r="C358" s="9" t="s">
        <v>24</v>
      </c>
      <c r="D358" s="9" t="s">
        <v>25</v>
      </c>
      <c r="E358" s="9" t="s">
        <v>19</v>
      </c>
      <c r="F358" s="9" t="s">
        <v>44</v>
      </c>
      <c r="G358" s="9">
        <v>37.549999999999997</v>
      </c>
      <c r="H358" s="9">
        <v>10</v>
      </c>
      <c r="I358" s="9">
        <v>18.774999999999999</v>
      </c>
      <c r="J358" s="9">
        <v>394.27499999999998</v>
      </c>
      <c r="K358" s="10">
        <v>43532</v>
      </c>
      <c r="L358" s="11">
        <v>0.83402777777777781</v>
      </c>
      <c r="M358" s="9" t="s">
        <v>31</v>
      </c>
      <c r="N358" s="9">
        <v>375.5</v>
      </c>
      <c r="O358" s="9">
        <v>9.3000000000000007</v>
      </c>
    </row>
    <row r="359" spans="1:15">
      <c r="A359" s="9" t="s">
        <v>391</v>
      </c>
      <c r="B359" s="9" t="s">
        <v>23</v>
      </c>
      <c r="C359" s="9" t="s">
        <v>24</v>
      </c>
      <c r="D359" s="9" t="s">
        <v>25</v>
      </c>
      <c r="E359" s="9" t="s">
        <v>19</v>
      </c>
      <c r="F359" s="9" t="s">
        <v>34</v>
      </c>
      <c r="G359" s="9">
        <v>95.44</v>
      </c>
      <c r="H359" s="9">
        <v>10</v>
      </c>
      <c r="I359" s="9">
        <v>47.72</v>
      </c>
      <c r="J359" s="9">
        <v>1002.12</v>
      </c>
      <c r="K359" s="10">
        <v>43474</v>
      </c>
      <c r="L359" s="11">
        <v>0.57291666666666663</v>
      </c>
      <c r="M359" s="9" t="s">
        <v>27</v>
      </c>
      <c r="N359" s="9">
        <v>954.4</v>
      </c>
      <c r="O359" s="9">
        <v>5.2</v>
      </c>
    </row>
    <row r="360" spans="1:15">
      <c r="A360" s="9" t="s">
        <v>392</v>
      </c>
      <c r="B360" s="9" t="s">
        <v>40</v>
      </c>
      <c r="C360" s="9" t="s">
        <v>41</v>
      </c>
      <c r="D360" s="9" t="s">
        <v>25</v>
      </c>
      <c r="E360" s="9" t="s">
        <v>29</v>
      </c>
      <c r="F360" s="9" t="s">
        <v>26</v>
      </c>
      <c r="G360" s="9">
        <v>27.5</v>
      </c>
      <c r="H360" s="9">
        <v>3</v>
      </c>
      <c r="I360" s="9">
        <v>4.125</v>
      </c>
      <c r="J360" s="9">
        <v>86.625</v>
      </c>
      <c r="K360" s="10">
        <v>43525</v>
      </c>
      <c r="L360" s="11">
        <v>0.65277777777777779</v>
      </c>
      <c r="M360" s="9" t="s">
        <v>21</v>
      </c>
      <c r="N360" s="9">
        <v>82.5</v>
      </c>
      <c r="O360" s="9">
        <v>6.5</v>
      </c>
    </row>
    <row r="361" spans="1:15">
      <c r="A361" s="9" t="s">
        <v>393</v>
      </c>
      <c r="B361" s="9" t="s">
        <v>40</v>
      </c>
      <c r="C361" s="9" t="s">
        <v>41</v>
      </c>
      <c r="D361" s="9" t="s">
        <v>25</v>
      </c>
      <c r="E361" s="9" t="s">
        <v>29</v>
      </c>
      <c r="F361" s="9" t="s">
        <v>34</v>
      </c>
      <c r="G361" s="9">
        <v>74.97</v>
      </c>
      <c r="H361" s="9">
        <v>1</v>
      </c>
      <c r="I361" s="9">
        <v>3.7484999999999999</v>
      </c>
      <c r="J361" s="9">
        <v>78.718500000000006</v>
      </c>
      <c r="K361" s="10">
        <v>43540</v>
      </c>
      <c r="L361" s="11">
        <v>0.70694444444444449</v>
      </c>
      <c r="M361" s="9" t="s">
        <v>27</v>
      </c>
      <c r="N361" s="9">
        <v>74.97</v>
      </c>
      <c r="O361" s="9">
        <v>5.6</v>
      </c>
    </row>
    <row r="362" spans="1:15">
      <c r="A362" s="9" t="s">
        <v>394</v>
      </c>
      <c r="B362" s="9" t="s">
        <v>16</v>
      </c>
      <c r="C362" s="9" t="s">
        <v>17</v>
      </c>
      <c r="D362" s="9" t="s">
        <v>18</v>
      </c>
      <c r="E362" s="9" t="s">
        <v>29</v>
      </c>
      <c r="F362" s="9" t="s">
        <v>42</v>
      </c>
      <c r="G362" s="9">
        <v>80.959999999999994</v>
      </c>
      <c r="H362" s="9">
        <v>8</v>
      </c>
      <c r="I362" s="9">
        <v>32.384</v>
      </c>
      <c r="J362" s="9">
        <v>680.06399999999996</v>
      </c>
      <c r="K362" s="10">
        <v>43513</v>
      </c>
      <c r="L362" s="11">
        <v>0.46666666666666667</v>
      </c>
      <c r="M362" s="9" t="s">
        <v>31</v>
      </c>
      <c r="N362" s="9">
        <v>647.67999999999995</v>
      </c>
      <c r="O362" s="9">
        <v>7.4</v>
      </c>
    </row>
    <row r="363" spans="1:15">
      <c r="A363" s="9" t="s">
        <v>395</v>
      </c>
      <c r="B363" s="9" t="s">
        <v>23</v>
      </c>
      <c r="C363" s="9" t="s">
        <v>24</v>
      </c>
      <c r="D363" s="9" t="s">
        <v>25</v>
      </c>
      <c r="E363" s="9" t="s">
        <v>19</v>
      </c>
      <c r="F363" s="9" t="s">
        <v>42</v>
      </c>
      <c r="G363" s="9">
        <v>94.47</v>
      </c>
      <c r="H363" s="9">
        <v>8</v>
      </c>
      <c r="I363" s="9">
        <v>37.787999999999997</v>
      </c>
      <c r="J363" s="9">
        <v>793.548</v>
      </c>
      <c r="K363" s="10">
        <v>43523</v>
      </c>
      <c r="L363" s="11">
        <v>0.6333333333333333</v>
      </c>
      <c r="M363" s="9" t="s">
        <v>27</v>
      </c>
      <c r="N363" s="9">
        <v>755.76</v>
      </c>
      <c r="O363" s="9">
        <v>9.1</v>
      </c>
    </row>
    <row r="364" spans="1:15">
      <c r="A364" s="9" t="s">
        <v>396</v>
      </c>
      <c r="B364" s="9" t="s">
        <v>23</v>
      </c>
      <c r="C364" s="9" t="s">
        <v>24</v>
      </c>
      <c r="D364" s="9" t="s">
        <v>25</v>
      </c>
      <c r="E364" s="9" t="s">
        <v>29</v>
      </c>
      <c r="F364" s="9" t="s">
        <v>42</v>
      </c>
      <c r="G364" s="9">
        <v>99.79</v>
      </c>
      <c r="H364" s="9">
        <v>2</v>
      </c>
      <c r="I364" s="9">
        <v>9.9789999999999992</v>
      </c>
      <c r="J364" s="9">
        <v>209.559</v>
      </c>
      <c r="K364" s="10">
        <v>43531</v>
      </c>
      <c r="L364" s="11">
        <v>0.85902777777777772</v>
      </c>
      <c r="M364" s="9" t="s">
        <v>21</v>
      </c>
      <c r="N364" s="9">
        <v>199.58</v>
      </c>
      <c r="O364" s="9">
        <v>8</v>
      </c>
    </row>
    <row r="365" spans="1:15">
      <c r="A365" s="9" t="s">
        <v>397</v>
      </c>
      <c r="B365" s="9" t="s">
        <v>16</v>
      </c>
      <c r="C365" s="9" t="s">
        <v>17</v>
      </c>
      <c r="D365" s="9" t="s">
        <v>25</v>
      </c>
      <c r="E365" s="9" t="s">
        <v>29</v>
      </c>
      <c r="F365" s="9" t="s">
        <v>30</v>
      </c>
      <c r="G365" s="9">
        <v>73.22</v>
      </c>
      <c r="H365" s="9">
        <v>6</v>
      </c>
      <c r="I365" s="9">
        <v>21.966000000000001</v>
      </c>
      <c r="J365" s="9">
        <v>461.286</v>
      </c>
      <c r="K365" s="10">
        <v>43486</v>
      </c>
      <c r="L365" s="11">
        <v>0.73888888888888893</v>
      </c>
      <c r="M365" s="9" t="s">
        <v>27</v>
      </c>
      <c r="N365" s="9">
        <v>439.32</v>
      </c>
      <c r="O365" s="9">
        <v>7.2</v>
      </c>
    </row>
    <row r="366" spans="1:15">
      <c r="A366" s="9" t="s">
        <v>398</v>
      </c>
      <c r="B366" s="9" t="s">
        <v>23</v>
      </c>
      <c r="C366" s="9" t="s">
        <v>24</v>
      </c>
      <c r="D366" s="9" t="s">
        <v>25</v>
      </c>
      <c r="E366" s="9" t="s">
        <v>19</v>
      </c>
      <c r="F366" s="9" t="s">
        <v>42</v>
      </c>
      <c r="G366" s="9">
        <v>41.24</v>
      </c>
      <c r="H366" s="9">
        <v>4</v>
      </c>
      <c r="I366" s="9">
        <v>8.2479999999999993</v>
      </c>
      <c r="J366" s="9">
        <v>173.208</v>
      </c>
      <c r="K366" s="10">
        <v>43515</v>
      </c>
      <c r="L366" s="11">
        <v>0.68263888888888891</v>
      </c>
      <c r="M366" s="9" t="s">
        <v>27</v>
      </c>
      <c r="N366" s="9">
        <v>164.96</v>
      </c>
      <c r="O366" s="9">
        <v>7.1</v>
      </c>
    </row>
    <row r="367" spans="1:15">
      <c r="A367" s="9" t="s">
        <v>399</v>
      </c>
      <c r="B367" s="9" t="s">
        <v>23</v>
      </c>
      <c r="C367" s="9" t="s">
        <v>24</v>
      </c>
      <c r="D367" s="9" t="s">
        <v>25</v>
      </c>
      <c r="E367" s="9" t="s">
        <v>19</v>
      </c>
      <c r="F367" s="9" t="s">
        <v>44</v>
      </c>
      <c r="G367" s="9">
        <v>81.680000000000007</v>
      </c>
      <c r="H367" s="9">
        <v>4</v>
      </c>
      <c r="I367" s="9">
        <v>16.335999999999999</v>
      </c>
      <c r="J367" s="9">
        <v>343.05599999999998</v>
      </c>
      <c r="K367" s="10">
        <v>43471</v>
      </c>
      <c r="L367" s="11">
        <v>0.5083333333333333</v>
      </c>
      <c r="M367" s="9" t="s">
        <v>27</v>
      </c>
      <c r="N367" s="9">
        <v>326.72000000000003</v>
      </c>
      <c r="O367" s="9">
        <v>9.1</v>
      </c>
    </row>
    <row r="368" spans="1:15">
      <c r="A368" s="9" t="s">
        <v>400</v>
      </c>
      <c r="B368" s="9" t="s">
        <v>23</v>
      </c>
      <c r="C368" s="9" t="s">
        <v>24</v>
      </c>
      <c r="D368" s="9" t="s">
        <v>25</v>
      </c>
      <c r="E368" s="9" t="s">
        <v>19</v>
      </c>
      <c r="F368" s="9" t="s">
        <v>26</v>
      </c>
      <c r="G368" s="9">
        <v>51.32</v>
      </c>
      <c r="H368" s="9">
        <v>9</v>
      </c>
      <c r="I368" s="9">
        <v>23.094000000000001</v>
      </c>
      <c r="J368" s="9">
        <v>484.97399999999999</v>
      </c>
      <c r="K368" s="10">
        <v>43538</v>
      </c>
      <c r="L368" s="11">
        <v>0.81458333333333333</v>
      </c>
      <c r="M368" s="9" t="s">
        <v>27</v>
      </c>
      <c r="N368" s="9">
        <v>461.88</v>
      </c>
      <c r="O368" s="9">
        <v>5.6</v>
      </c>
    </row>
    <row r="369" spans="1:15">
      <c r="A369" s="9" t="s">
        <v>401</v>
      </c>
      <c r="B369" s="9" t="s">
        <v>16</v>
      </c>
      <c r="C369" s="9" t="s">
        <v>17</v>
      </c>
      <c r="D369" s="9" t="s">
        <v>18</v>
      </c>
      <c r="E369" s="9" t="s">
        <v>29</v>
      </c>
      <c r="F369" s="9" t="s">
        <v>30</v>
      </c>
      <c r="G369" s="9">
        <v>65.94</v>
      </c>
      <c r="H369" s="9">
        <v>4</v>
      </c>
      <c r="I369" s="9">
        <v>13.188000000000001</v>
      </c>
      <c r="J369" s="9">
        <v>276.94799999999998</v>
      </c>
      <c r="K369" s="10">
        <v>43548</v>
      </c>
      <c r="L369" s="11">
        <v>0.43680555555555556</v>
      </c>
      <c r="M369" s="9" t="s">
        <v>27</v>
      </c>
      <c r="N369" s="9">
        <v>263.76</v>
      </c>
      <c r="O369" s="9">
        <v>6</v>
      </c>
    </row>
    <row r="370" spans="1:15">
      <c r="A370" s="9" t="s">
        <v>402</v>
      </c>
      <c r="B370" s="9" t="s">
        <v>23</v>
      </c>
      <c r="C370" s="9" t="s">
        <v>24</v>
      </c>
      <c r="D370" s="9" t="s">
        <v>25</v>
      </c>
      <c r="E370" s="9" t="s">
        <v>19</v>
      </c>
      <c r="F370" s="9" t="s">
        <v>34</v>
      </c>
      <c r="G370" s="9">
        <v>14.36</v>
      </c>
      <c r="H370" s="9">
        <v>10</v>
      </c>
      <c r="I370" s="9">
        <v>7.18</v>
      </c>
      <c r="J370" s="9">
        <v>150.78</v>
      </c>
      <c r="K370" s="10">
        <v>43492</v>
      </c>
      <c r="L370" s="11">
        <v>0.60277777777777775</v>
      </c>
      <c r="M370" s="9" t="s">
        <v>27</v>
      </c>
      <c r="N370" s="9">
        <v>143.6</v>
      </c>
      <c r="O370" s="9">
        <v>5.4</v>
      </c>
    </row>
    <row r="371" spans="1:15">
      <c r="A371" s="9" t="s">
        <v>403</v>
      </c>
      <c r="B371" s="9" t="s">
        <v>16</v>
      </c>
      <c r="C371" s="9" t="s">
        <v>17</v>
      </c>
      <c r="D371" s="9" t="s">
        <v>18</v>
      </c>
      <c r="E371" s="9" t="s">
        <v>29</v>
      </c>
      <c r="F371" s="9" t="s">
        <v>26</v>
      </c>
      <c r="G371" s="9">
        <v>21.5</v>
      </c>
      <c r="H371" s="9">
        <v>9</v>
      </c>
      <c r="I371" s="9">
        <v>9.6750000000000007</v>
      </c>
      <c r="J371" s="9">
        <v>203.17500000000001</v>
      </c>
      <c r="K371" s="10">
        <v>43530</v>
      </c>
      <c r="L371" s="11">
        <v>0.53194444444444444</v>
      </c>
      <c r="M371" s="9" t="s">
        <v>31</v>
      </c>
      <c r="N371" s="9">
        <v>193.5</v>
      </c>
      <c r="O371" s="9">
        <v>7.8</v>
      </c>
    </row>
    <row r="372" spans="1:15">
      <c r="A372" s="9" t="s">
        <v>404</v>
      </c>
      <c r="B372" s="9" t="s">
        <v>40</v>
      </c>
      <c r="C372" s="9" t="s">
        <v>41</v>
      </c>
      <c r="D372" s="9" t="s">
        <v>18</v>
      </c>
      <c r="E372" s="9" t="s">
        <v>19</v>
      </c>
      <c r="F372" s="9" t="s">
        <v>26</v>
      </c>
      <c r="G372" s="9">
        <v>26.26</v>
      </c>
      <c r="H372" s="9">
        <v>7</v>
      </c>
      <c r="I372" s="9">
        <v>9.1910000000000007</v>
      </c>
      <c r="J372" s="9">
        <v>193.011</v>
      </c>
      <c r="K372" s="10">
        <v>43498</v>
      </c>
      <c r="L372" s="11">
        <v>0.81944444444444442</v>
      </c>
      <c r="M372" s="9" t="s">
        <v>27</v>
      </c>
      <c r="N372" s="9">
        <v>183.82</v>
      </c>
      <c r="O372" s="9">
        <v>9.9</v>
      </c>
    </row>
    <row r="373" spans="1:15">
      <c r="A373" s="9" t="s">
        <v>405</v>
      </c>
      <c r="B373" s="9" t="s">
        <v>40</v>
      </c>
      <c r="C373" s="9" t="s">
        <v>41</v>
      </c>
      <c r="D373" s="9" t="s">
        <v>25</v>
      </c>
      <c r="E373" s="9" t="s">
        <v>19</v>
      </c>
      <c r="F373" s="9" t="s">
        <v>44</v>
      </c>
      <c r="G373" s="9">
        <v>60.96</v>
      </c>
      <c r="H373" s="9">
        <v>2</v>
      </c>
      <c r="I373" s="9">
        <v>6.0960000000000001</v>
      </c>
      <c r="J373" s="9">
        <v>128.01599999999999</v>
      </c>
      <c r="K373" s="10">
        <v>43490</v>
      </c>
      <c r="L373" s="11">
        <v>0.81874999999999998</v>
      </c>
      <c r="M373" s="9" t="s">
        <v>31</v>
      </c>
      <c r="N373" s="9">
        <v>121.92</v>
      </c>
      <c r="O373" s="9">
        <v>4.9000000000000004</v>
      </c>
    </row>
    <row r="374" spans="1:15">
      <c r="A374" s="9" t="s">
        <v>406</v>
      </c>
      <c r="B374" s="9" t="s">
        <v>23</v>
      </c>
      <c r="C374" s="9" t="s">
        <v>24</v>
      </c>
      <c r="D374" s="9" t="s">
        <v>25</v>
      </c>
      <c r="E374" s="9" t="s">
        <v>19</v>
      </c>
      <c r="F374" s="9" t="s">
        <v>30</v>
      </c>
      <c r="G374" s="9">
        <v>70.11</v>
      </c>
      <c r="H374" s="9">
        <v>6</v>
      </c>
      <c r="I374" s="9">
        <v>21.033000000000001</v>
      </c>
      <c r="J374" s="9">
        <v>441.69299999999998</v>
      </c>
      <c r="K374" s="10">
        <v>43538</v>
      </c>
      <c r="L374" s="11">
        <v>0.74583333333333335</v>
      </c>
      <c r="M374" s="9" t="s">
        <v>21</v>
      </c>
      <c r="N374" s="9">
        <v>420.66</v>
      </c>
      <c r="O374" s="9">
        <v>5.2</v>
      </c>
    </row>
    <row r="375" spans="1:15">
      <c r="A375" s="9" t="s">
        <v>407</v>
      </c>
      <c r="B375" s="9" t="s">
        <v>23</v>
      </c>
      <c r="C375" s="9" t="s">
        <v>24</v>
      </c>
      <c r="D375" s="9" t="s">
        <v>25</v>
      </c>
      <c r="E375" s="9" t="s">
        <v>29</v>
      </c>
      <c r="F375" s="9" t="s">
        <v>44</v>
      </c>
      <c r="G375" s="9">
        <v>42.08</v>
      </c>
      <c r="H375" s="9">
        <v>6</v>
      </c>
      <c r="I375" s="9">
        <v>12.624000000000001</v>
      </c>
      <c r="J375" s="9">
        <v>265.10399999999998</v>
      </c>
      <c r="K375" s="10">
        <v>43494</v>
      </c>
      <c r="L375" s="11">
        <v>0.51736111111111116</v>
      </c>
      <c r="M375" s="9" t="s">
        <v>27</v>
      </c>
      <c r="N375" s="9">
        <v>252.48</v>
      </c>
      <c r="O375" s="9">
        <v>8.9</v>
      </c>
    </row>
    <row r="376" spans="1:15">
      <c r="A376" s="9" t="s">
        <v>408</v>
      </c>
      <c r="B376" s="9" t="s">
        <v>16</v>
      </c>
      <c r="C376" s="9" t="s">
        <v>17</v>
      </c>
      <c r="D376" s="9" t="s">
        <v>25</v>
      </c>
      <c r="E376" s="9" t="s">
        <v>19</v>
      </c>
      <c r="F376" s="9" t="s">
        <v>30</v>
      </c>
      <c r="G376" s="9">
        <v>67.09</v>
      </c>
      <c r="H376" s="9">
        <v>5</v>
      </c>
      <c r="I376" s="9">
        <v>16.772500000000001</v>
      </c>
      <c r="J376" s="9">
        <v>352.22250000000003</v>
      </c>
      <c r="K376" s="10">
        <v>43468</v>
      </c>
      <c r="L376" s="11">
        <v>0.69930555555555551</v>
      </c>
      <c r="M376" s="9" t="s">
        <v>31</v>
      </c>
      <c r="N376" s="9">
        <v>335.45</v>
      </c>
      <c r="O376" s="9">
        <v>9.1</v>
      </c>
    </row>
    <row r="377" spans="1:15">
      <c r="A377" s="9" t="s">
        <v>409</v>
      </c>
      <c r="B377" s="9" t="s">
        <v>16</v>
      </c>
      <c r="C377" s="9" t="s">
        <v>17</v>
      </c>
      <c r="D377" s="9" t="s">
        <v>18</v>
      </c>
      <c r="E377" s="9" t="s">
        <v>19</v>
      </c>
      <c r="F377" s="9" t="s">
        <v>44</v>
      </c>
      <c r="G377" s="9">
        <v>96.7</v>
      </c>
      <c r="H377" s="9">
        <v>5</v>
      </c>
      <c r="I377" s="9">
        <v>24.175000000000001</v>
      </c>
      <c r="J377" s="9">
        <v>507.67500000000001</v>
      </c>
      <c r="K377" s="10">
        <v>43479</v>
      </c>
      <c r="L377" s="11">
        <v>0.53611111111111109</v>
      </c>
      <c r="M377" s="9" t="s">
        <v>21</v>
      </c>
      <c r="N377" s="9">
        <v>483.5</v>
      </c>
      <c r="O377" s="9">
        <v>7</v>
      </c>
    </row>
    <row r="378" spans="1:15">
      <c r="A378" s="9" t="s">
        <v>410</v>
      </c>
      <c r="B378" s="9" t="s">
        <v>40</v>
      </c>
      <c r="C378" s="9" t="s">
        <v>41</v>
      </c>
      <c r="D378" s="9" t="s">
        <v>18</v>
      </c>
      <c r="E378" s="9" t="s">
        <v>19</v>
      </c>
      <c r="F378" s="9" t="s">
        <v>30</v>
      </c>
      <c r="G378" s="9">
        <v>35.380000000000003</v>
      </c>
      <c r="H378" s="9">
        <v>9</v>
      </c>
      <c r="I378" s="9">
        <v>15.920999999999999</v>
      </c>
      <c r="J378" s="9">
        <v>334.34100000000001</v>
      </c>
      <c r="K378" s="10">
        <v>43470</v>
      </c>
      <c r="L378" s="11">
        <v>0.82638888888888884</v>
      </c>
      <c r="M378" s="9" t="s">
        <v>31</v>
      </c>
      <c r="N378" s="9">
        <v>318.42</v>
      </c>
      <c r="O378" s="9">
        <v>9.6</v>
      </c>
    </row>
    <row r="379" spans="1:15">
      <c r="A379" s="9" t="s">
        <v>411</v>
      </c>
      <c r="B379" s="9" t="s">
        <v>23</v>
      </c>
      <c r="C379" s="9" t="s">
        <v>24</v>
      </c>
      <c r="D379" s="9" t="s">
        <v>25</v>
      </c>
      <c r="E379" s="9" t="s">
        <v>29</v>
      </c>
      <c r="F379" s="9" t="s">
        <v>34</v>
      </c>
      <c r="G379" s="9">
        <v>95.49</v>
      </c>
      <c r="H379" s="9">
        <v>7</v>
      </c>
      <c r="I379" s="9">
        <v>33.421500000000002</v>
      </c>
      <c r="J379" s="9">
        <v>701.85149999999999</v>
      </c>
      <c r="K379" s="10">
        <v>43518</v>
      </c>
      <c r="L379" s="11">
        <v>0.76180555555555551</v>
      </c>
      <c r="M379" s="9" t="s">
        <v>21</v>
      </c>
      <c r="N379" s="9">
        <v>668.43</v>
      </c>
      <c r="O379" s="9">
        <v>8.6999999999999993</v>
      </c>
    </row>
    <row r="380" spans="1:15">
      <c r="A380" s="9" t="s">
        <v>412</v>
      </c>
      <c r="B380" s="9" t="s">
        <v>23</v>
      </c>
      <c r="C380" s="9" t="s">
        <v>24</v>
      </c>
      <c r="D380" s="9" t="s">
        <v>18</v>
      </c>
      <c r="E380" s="9" t="s">
        <v>29</v>
      </c>
      <c r="F380" s="9" t="s">
        <v>44</v>
      </c>
      <c r="G380" s="9">
        <v>96.98</v>
      </c>
      <c r="H380" s="9">
        <v>4</v>
      </c>
      <c r="I380" s="9">
        <v>19.396000000000001</v>
      </c>
      <c r="J380" s="9">
        <v>407.31599999999997</v>
      </c>
      <c r="K380" s="10">
        <v>43502</v>
      </c>
      <c r="L380" s="11">
        <v>0.72222222222222221</v>
      </c>
      <c r="M380" s="9" t="s">
        <v>21</v>
      </c>
      <c r="N380" s="9">
        <v>387.92</v>
      </c>
      <c r="O380" s="9">
        <v>9.4</v>
      </c>
    </row>
    <row r="381" spans="1:15">
      <c r="A381" s="9" t="s">
        <v>413</v>
      </c>
      <c r="B381" s="9" t="s">
        <v>40</v>
      </c>
      <c r="C381" s="9" t="s">
        <v>41</v>
      </c>
      <c r="D381" s="9" t="s">
        <v>25</v>
      </c>
      <c r="E381" s="9" t="s">
        <v>19</v>
      </c>
      <c r="F381" s="9" t="s">
        <v>26</v>
      </c>
      <c r="G381" s="9">
        <v>23.65</v>
      </c>
      <c r="H381" s="9">
        <v>4</v>
      </c>
      <c r="I381" s="9">
        <v>4.7300000000000004</v>
      </c>
      <c r="J381" s="9">
        <v>99.33</v>
      </c>
      <c r="K381" s="10">
        <v>43495</v>
      </c>
      <c r="L381" s="11">
        <v>0.56388888888888888</v>
      </c>
      <c r="M381" s="9" t="s">
        <v>31</v>
      </c>
      <c r="N381" s="9">
        <v>94.6</v>
      </c>
      <c r="O381" s="9">
        <v>4</v>
      </c>
    </row>
    <row r="382" spans="1:15">
      <c r="A382" s="9" t="s">
        <v>414</v>
      </c>
      <c r="B382" s="9" t="s">
        <v>16</v>
      </c>
      <c r="C382" s="9" t="s">
        <v>17</v>
      </c>
      <c r="D382" s="9" t="s">
        <v>18</v>
      </c>
      <c r="E382" s="9" t="s">
        <v>29</v>
      </c>
      <c r="F382" s="9" t="s">
        <v>34</v>
      </c>
      <c r="G382" s="9">
        <v>82.33</v>
      </c>
      <c r="H382" s="9">
        <v>4</v>
      </c>
      <c r="I382" s="9">
        <v>16.466000000000001</v>
      </c>
      <c r="J382" s="9">
        <v>345.786</v>
      </c>
      <c r="K382" s="10">
        <v>43476</v>
      </c>
      <c r="L382" s="11">
        <v>0.44236111111111109</v>
      </c>
      <c r="M382" s="9" t="s">
        <v>31</v>
      </c>
      <c r="N382" s="9">
        <v>329.32</v>
      </c>
      <c r="O382" s="9">
        <v>7.5</v>
      </c>
    </row>
    <row r="383" spans="1:15">
      <c r="A383" s="9" t="s">
        <v>415</v>
      </c>
      <c r="B383" s="9" t="s">
        <v>23</v>
      </c>
      <c r="C383" s="9" t="s">
        <v>24</v>
      </c>
      <c r="D383" s="9" t="s">
        <v>25</v>
      </c>
      <c r="E383" s="9" t="s">
        <v>19</v>
      </c>
      <c r="F383" s="9" t="s">
        <v>26</v>
      </c>
      <c r="G383" s="9">
        <v>26.61</v>
      </c>
      <c r="H383" s="9">
        <v>2</v>
      </c>
      <c r="I383" s="9">
        <v>2.661</v>
      </c>
      <c r="J383" s="9">
        <v>55.881</v>
      </c>
      <c r="K383" s="10">
        <v>43543</v>
      </c>
      <c r="L383" s="11">
        <v>0.60763888888888884</v>
      </c>
      <c r="M383" s="9" t="s">
        <v>27</v>
      </c>
      <c r="N383" s="9">
        <v>53.22</v>
      </c>
      <c r="O383" s="9">
        <v>4.2</v>
      </c>
    </row>
    <row r="384" spans="1:15">
      <c r="A384" s="9" t="s">
        <v>416</v>
      </c>
      <c r="B384" s="9" t="s">
        <v>40</v>
      </c>
      <c r="C384" s="9" t="s">
        <v>41</v>
      </c>
      <c r="D384" s="9" t="s">
        <v>25</v>
      </c>
      <c r="E384" s="9" t="s">
        <v>19</v>
      </c>
      <c r="F384" s="9" t="s">
        <v>42</v>
      </c>
      <c r="G384" s="9">
        <v>99.69</v>
      </c>
      <c r="H384" s="9">
        <v>5</v>
      </c>
      <c r="I384" s="9">
        <v>24.922499999999999</v>
      </c>
      <c r="J384" s="9">
        <v>523.37249999999995</v>
      </c>
      <c r="K384" s="10">
        <v>43479</v>
      </c>
      <c r="L384" s="11">
        <v>0.50624999999999998</v>
      </c>
      <c r="M384" s="9" t="s">
        <v>27</v>
      </c>
      <c r="N384" s="9">
        <v>498.45</v>
      </c>
      <c r="O384" s="9">
        <v>9.9</v>
      </c>
    </row>
    <row r="385" spans="1:15">
      <c r="A385" s="9" t="s">
        <v>417</v>
      </c>
      <c r="B385" s="9" t="s">
        <v>23</v>
      </c>
      <c r="C385" s="9" t="s">
        <v>24</v>
      </c>
      <c r="D385" s="9" t="s">
        <v>18</v>
      </c>
      <c r="E385" s="9" t="s">
        <v>19</v>
      </c>
      <c r="F385" s="9" t="s">
        <v>42</v>
      </c>
      <c r="G385" s="9">
        <v>74.89</v>
      </c>
      <c r="H385" s="9">
        <v>4</v>
      </c>
      <c r="I385" s="9">
        <v>14.978</v>
      </c>
      <c r="J385" s="9">
        <v>314.53800000000001</v>
      </c>
      <c r="K385" s="10">
        <v>43525</v>
      </c>
      <c r="L385" s="11">
        <v>0.64722222222222225</v>
      </c>
      <c r="M385" s="9" t="s">
        <v>21</v>
      </c>
      <c r="N385" s="9">
        <v>299.56</v>
      </c>
      <c r="O385" s="9">
        <v>4.2</v>
      </c>
    </row>
    <row r="386" spans="1:15">
      <c r="A386" s="9" t="s">
        <v>418</v>
      </c>
      <c r="B386" s="9" t="s">
        <v>16</v>
      </c>
      <c r="C386" s="9" t="s">
        <v>17</v>
      </c>
      <c r="D386" s="9" t="s">
        <v>25</v>
      </c>
      <c r="E386" s="9" t="s">
        <v>19</v>
      </c>
      <c r="F386" s="9" t="s">
        <v>42</v>
      </c>
      <c r="G386" s="9">
        <v>40.94</v>
      </c>
      <c r="H386" s="9">
        <v>5</v>
      </c>
      <c r="I386" s="9">
        <v>10.234999999999999</v>
      </c>
      <c r="J386" s="9">
        <v>214.935</v>
      </c>
      <c r="K386" s="10">
        <v>43471</v>
      </c>
      <c r="L386" s="11">
        <v>0.58194444444444449</v>
      </c>
      <c r="M386" s="9" t="s">
        <v>21</v>
      </c>
      <c r="N386" s="9">
        <v>204.7</v>
      </c>
      <c r="O386" s="9">
        <v>9.9</v>
      </c>
    </row>
    <row r="387" spans="1:15">
      <c r="A387" s="9" t="s">
        <v>419</v>
      </c>
      <c r="B387" s="9" t="s">
        <v>40</v>
      </c>
      <c r="C387" s="9" t="s">
        <v>41</v>
      </c>
      <c r="D387" s="9" t="s">
        <v>18</v>
      </c>
      <c r="E387" s="9" t="s">
        <v>29</v>
      </c>
      <c r="F387" s="9" t="s">
        <v>34</v>
      </c>
      <c r="G387" s="9">
        <v>75.819999999999993</v>
      </c>
      <c r="H387" s="9">
        <v>1</v>
      </c>
      <c r="I387" s="9">
        <v>3.7909999999999999</v>
      </c>
      <c r="J387" s="9">
        <v>79.611000000000004</v>
      </c>
      <c r="K387" s="10">
        <v>43496</v>
      </c>
      <c r="L387" s="11">
        <v>0.55486111111111114</v>
      </c>
      <c r="M387" s="9" t="s">
        <v>27</v>
      </c>
      <c r="N387" s="9">
        <v>75.819999999999993</v>
      </c>
      <c r="O387" s="9">
        <v>5.8</v>
      </c>
    </row>
    <row r="388" spans="1:15">
      <c r="A388" s="9" t="s">
        <v>420</v>
      </c>
      <c r="B388" s="9" t="s">
        <v>23</v>
      </c>
      <c r="C388" s="9" t="s">
        <v>24</v>
      </c>
      <c r="D388" s="9" t="s">
        <v>25</v>
      </c>
      <c r="E388" s="9" t="s">
        <v>29</v>
      </c>
      <c r="F388" s="9" t="s">
        <v>42</v>
      </c>
      <c r="G388" s="9">
        <v>46.77</v>
      </c>
      <c r="H388" s="9">
        <v>6</v>
      </c>
      <c r="I388" s="9">
        <v>14.031000000000001</v>
      </c>
      <c r="J388" s="9">
        <v>294.65100000000001</v>
      </c>
      <c r="K388" s="10">
        <v>43535</v>
      </c>
      <c r="L388" s="11">
        <v>0.56736111111111109</v>
      </c>
      <c r="M388" s="9" t="s">
        <v>27</v>
      </c>
      <c r="N388" s="9">
        <v>280.62</v>
      </c>
      <c r="O388" s="9">
        <v>6</v>
      </c>
    </row>
    <row r="389" spans="1:15">
      <c r="A389" s="9" t="s">
        <v>421</v>
      </c>
      <c r="B389" s="9" t="s">
        <v>16</v>
      </c>
      <c r="C389" s="9" t="s">
        <v>17</v>
      </c>
      <c r="D389" s="9" t="s">
        <v>25</v>
      </c>
      <c r="E389" s="9" t="s">
        <v>19</v>
      </c>
      <c r="F389" s="9" t="s">
        <v>20</v>
      </c>
      <c r="G389" s="9">
        <v>32.32</v>
      </c>
      <c r="H389" s="9">
        <v>10</v>
      </c>
      <c r="I389" s="9">
        <v>16.16</v>
      </c>
      <c r="J389" s="9">
        <v>339.36</v>
      </c>
      <c r="K389" s="10">
        <v>43516</v>
      </c>
      <c r="L389" s="11">
        <v>0.7006944444444444</v>
      </c>
      <c r="M389" s="9" t="s">
        <v>31</v>
      </c>
      <c r="N389" s="9">
        <v>323.2</v>
      </c>
      <c r="O389" s="9">
        <v>10</v>
      </c>
    </row>
    <row r="390" spans="1:15">
      <c r="A390" s="9" t="s">
        <v>422</v>
      </c>
      <c r="B390" s="9" t="s">
        <v>23</v>
      </c>
      <c r="C390" s="9" t="s">
        <v>24</v>
      </c>
      <c r="D390" s="9" t="s">
        <v>18</v>
      </c>
      <c r="E390" s="9" t="s">
        <v>19</v>
      </c>
      <c r="F390" s="9" t="s">
        <v>44</v>
      </c>
      <c r="G390" s="9">
        <v>54.07</v>
      </c>
      <c r="H390" s="9">
        <v>9</v>
      </c>
      <c r="I390" s="9">
        <v>24.331499999999998</v>
      </c>
      <c r="J390" s="9">
        <v>510.9615</v>
      </c>
      <c r="K390" s="10">
        <v>43492</v>
      </c>
      <c r="L390" s="11">
        <v>0.62152777777777779</v>
      </c>
      <c r="M390" s="9" t="s">
        <v>21</v>
      </c>
      <c r="N390" s="9">
        <v>486.63</v>
      </c>
      <c r="O390" s="9">
        <v>9.5</v>
      </c>
    </row>
    <row r="391" spans="1:15">
      <c r="A391" s="9" t="s">
        <v>423</v>
      </c>
      <c r="B391" s="9" t="s">
        <v>40</v>
      </c>
      <c r="C391" s="9" t="s">
        <v>41</v>
      </c>
      <c r="D391" s="9" t="s">
        <v>25</v>
      </c>
      <c r="E391" s="9" t="s">
        <v>29</v>
      </c>
      <c r="F391" s="9" t="s">
        <v>42</v>
      </c>
      <c r="G391" s="9">
        <v>18.22</v>
      </c>
      <c r="H391" s="9">
        <v>7</v>
      </c>
      <c r="I391" s="9">
        <v>6.3769999999999998</v>
      </c>
      <c r="J391" s="9">
        <v>133.917</v>
      </c>
      <c r="K391" s="10">
        <v>43534</v>
      </c>
      <c r="L391" s="11">
        <v>0.58611111111111114</v>
      </c>
      <c r="M391" s="9" t="s">
        <v>31</v>
      </c>
      <c r="N391" s="9">
        <v>127.54</v>
      </c>
      <c r="O391" s="9">
        <v>6.6</v>
      </c>
    </row>
    <row r="392" spans="1:15">
      <c r="A392" s="9" t="s">
        <v>424</v>
      </c>
      <c r="B392" s="9" t="s">
        <v>23</v>
      </c>
      <c r="C392" s="9" t="s">
        <v>24</v>
      </c>
      <c r="D392" s="9" t="s">
        <v>18</v>
      </c>
      <c r="E392" s="9" t="s">
        <v>19</v>
      </c>
      <c r="F392" s="9" t="s">
        <v>44</v>
      </c>
      <c r="G392" s="9">
        <v>80.48</v>
      </c>
      <c r="H392" s="9">
        <v>3</v>
      </c>
      <c r="I392" s="9">
        <v>12.071999999999999</v>
      </c>
      <c r="J392" s="9">
        <v>253.512</v>
      </c>
      <c r="K392" s="10">
        <v>43511</v>
      </c>
      <c r="L392" s="11">
        <v>0.52152777777777781</v>
      </c>
      <c r="M392" s="9" t="s">
        <v>27</v>
      </c>
      <c r="N392" s="9">
        <v>241.44</v>
      </c>
      <c r="O392" s="9">
        <v>8.1</v>
      </c>
    </row>
    <row r="393" spans="1:15">
      <c r="A393" s="9" t="s">
        <v>425</v>
      </c>
      <c r="B393" s="9" t="s">
        <v>40</v>
      </c>
      <c r="C393" s="9" t="s">
        <v>41</v>
      </c>
      <c r="D393" s="9" t="s">
        <v>25</v>
      </c>
      <c r="E393" s="9" t="s">
        <v>19</v>
      </c>
      <c r="F393" s="9" t="s">
        <v>44</v>
      </c>
      <c r="G393" s="9">
        <v>37.950000000000003</v>
      </c>
      <c r="H393" s="9">
        <v>10</v>
      </c>
      <c r="I393" s="9">
        <v>18.975000000000001</v>
      </c>
      <c r="J393" s="9">
        <v>398.47500000000002</v>
      </c>
      <c r="K393" s="10">
        <v>43491</v>
      </c>
      <c r="L393" s="11">
        <v>0.61875000000000002</v>
      </c>
      <c r="M393" s="9" t="s">
        <v>27</v>
      </c>
      <c r="N393" s="9">
        <v>379.5</v>
      </c>
      <c r="O393" s="9">
        <v>9.6999999999999993</v>
      </c>
    </row>
    <row r="394" spans="1:15">
      <c r="A394" s="9" t="s">
        <v>426</v>
      </c>
      <c r="B394" s="9" t="s">
        <v>16</v>
      </c>
      <c r="C394" s="9" t="s">
        <v>17</v>
      </c>
      <c r="D394" s="9" t="s">
        <v>18</v>
      </c>
      <c r="E394" s="9" t="s">
        <v>29</v>
      </c>
      <c r="F394" s="9" t="s">
        <v>26</v>
      </c>
      <c r="G394" s="9">
        <v>76.819999999999993</v>
      </c>
      <c r="H394" s="9">
        <v>1</v>
      </c>
      <c r="I394" s="9">
        <v>3.8410000000000002</v>
      </c>
      <c r="J394" s="9">
        <v>80.661000000000001</v>
      </c>
      <c r="K394" s="10">
        <v>43509</v>
      </c>
      <c r="L394" s="11">
        <v>0.76875000000000004</v>
      </c>
      <c r="M394" s="9" t="s">
        <v>21</v>
      </c>
      <c r="N394" s="9">
        <v>76.819999999999993</v>
      </c>
      <c r="O394" s="9">
        <v>7.2</v>
      </c>
    </row>
    <row r="395" spans="1:15">
      <c r="A395" s="9" t="s">
        <v>427</v>
      </c>
      <c r="B395" s="9" t="s">
        <v>16</v>
      </c>
      <c r="C395" s="9" t="s">
        <v>17</v>
      </c>
      <c r="D395" s="9" t="s">
        <v>18</v>
      </c>
      <c r="E395" s="9" t="s">
        <v>19</v>
      </c>
      <c r="F395" s="9" t="s">
        <v>34</v>
      </c>
      <c r="G395" s="9">
        <v>52.26</v>
      </c>
      <c r="H395" s="9">
        <v>10</v>
      </c>
      <c r="I395" s="9">
        <v>26.13</v>
      </c>
      <c r="J395" s="9">
        <v>548.73</v>
      </c>
      <c r="K395" s="10">
        <v>43533</v>
      </c>
      <c r="L395" s="11">
        <v>0.53125</v>
      </c>
      <c r="M395" s="9" t="s">
        <v>31</v>
      </c>
      <c r="N395" s="9">
        <v>522.6</v>
      </c>
      <c r="O395" s="9">
        <v>6.2</v>
      </c>
    </row>
    <row r="396" spans="1:15">
      <c r="A396" s="9" t="s">
        <v>428</v>
      </c>
      <c r="B396" s="9" t="s">
        <v>16</v>
      </c>
      <c r="C396" s="9" t="s">
        <v>17</v>
      </c>
      <c r="D396" s="9" t="s">
        <v>25</v>
      </c>
      <c r="E396" s="9" t="s">
        <v>19</v>
      </c>
      <c r="F396" s="9" t="s">
        <v>20</v>
      </c>
      <c r="G396" s="9">
        <v>79.739999999999995</v>
      </c>
      <c r="H396" s="9">
        <v>1</v>
      </c>
      <c r="I396" s="9">
        <v>3.9870000000000001</v>
      </c>
      <c r="J396" s="9">
        <v>83.727000000000004</v>
      </c>
      <c r="K396" s="10">
        <v>43530</v>
      </c>
      <c r="L396" s="11">
        <v>0.44166666666666665</v>
      </c>
      <c r="M396" s="9" t="s">
        <v>21</v>
      </c>
      <c r="N396" s="9">
        <v>79.739999999999995</v>
      </c>
      <c r="O396" s="9">
        <v>7.3</v>
      </c>
    </row>
    <row r="397" spans="1:15">
      <c r="A397" s="9" t="s">
        <v>429</v>
      </c>
      <c r="B397" s="9" t="s">
        <v>16</v>
      </c>
      <c r="C397" s="9" t="s">
        <v>17</v>
      </c>
      <c r="D397" s="9" t="s">
        <v>25</v>
      </c>
      <c r="E397" s="9" t="s">
        <v>19</v>
      </c>
      <c r="F397" s="9" t="s">
        <v>20</v>
      </c>
      <c r="G397" s="9">
        <v>77.5</v>
      </c>
      <c r="H397" s="9">
        <v>5</v>
      </c>
      <c r="I397" s="9">
        <v>19.375</v>
      </c>
      <c r="J397" s="9">
        <v>406.875</v>
      </c>
      <c r="K397" s="10">
        <v>43489</v>
      </c>
      <c r="L397" s="11">
        <v>0.85833333333333328</v>
      </c>
      <c r="M397" s="9" t="s">
        <v>21</v>
      </c>
      <c r="N397" s="9">
        <v>387.5</v>
      </c>
      <c r="O397" s="9">
        <v>4.3</v>
      </c>
    </row>
    <row r="398" spans="1:15">
      <c r="A398" s="9" t="s">
        <v>430</v>
      </c>
      <c r="B398" s="9" t="s">
        <v>16</v>
      </c>
      <c r="C398" s="9" t="s">
        <v>17</v>
      </c>
      <c r="D398" s="9" t="s">
        <v>25</v>
      </c>
      <c r="E398" s="9" t="s">
        <v>19</v>
      </c>
      <c r="F398" s="9" t="s">
        <v>42</v>
      </c>
      <c r="G398" s="9">
        <v>54.27</v>
      </c>
      <c r="H398" s="9">
        <v>5</v>
      </c>
      <c r="I398" s="9">
        <v>13.567500000000001</v>
      </c>
      <c r="J398" s="9">
        <v>284.91750000000002</v>
      </c>
      <c r="K398" s="10">
        <v>43537</v>
      </c>
      <c r="L398" s="11">
        <v>0.59444444444444444</v>
      </c>
      <c r="M398" s="9" t="s">
        <v>21</v>
      </c>
      <c r="N398" s="9">
        <v>271.35000000000002</v>
      </c>
      <c r="O398" s="9">
        <v>4.5999999999999996</v>
      </c>
    </row>
    <row r="399" spans="1:15">
      <c r="A399" s="9" t="s">
        <v>431</v>
      </c>
      <c r="B399" s="9" t="s">
        <v>40</v>
      </c>
      <c r="C399" s="9" t="s">
        <v>41</v>
      </c>
      <c r="D399" s="9" t="s">
        <v>25</v>
      </c>
      <c r="E399" s="9" t="s">
        <v>29</v>
      </c>
      <c r="F399" s="9" t="s">
        <v>30</v>
      </c>
      <c r="G399" s="9">
        <v>13.59</v>
      </c>
      <c r="H399" s="9">
        <v>9</v>
      </c>
      <c r="I399" s="9">
        <v>6.1154999999999999</v>
      </c>
      <c r="J399" s="9">
        <v>128.4255</v>
      </c>
      <c r="K399" s="10">
        <v>43539</v>
      </c>
      <c r="L399" s="11">
        <v>0.43472222222222223</v>
      </c>
      <c r="M399" s="9" t="s">
        <v>27</v>
      </c>
      <c r="N399" s="9">
        <v>122.31</v>
      </c>
      <c r="O399" s="9">
        <v>5.8</v>
      </c>
    </row>
    <row r="400" spans="1:15">
      <c r="A400" s="9" t="s">
        <v>432</v>
      </c>
      <c r="B400" s="9" t="s">
        <v>40</v>
      </c>
      <c r="C400" s="9" t="s">
        <v>41</v>
      </c>
      <c r="D400" s="9" t="s">
        <v>18</v>
      </c>
      <c r="E400" s="9" t="s">
        <v>19</v>
      </c>
      <c r="F400" s="9" t="s">
        <v>20</v>
      </c>
      <c r="G400" s="9">
        <v>41.06</v>
      </c>
      <c r="H400" s="9">
        <v>6</v>
      </c>
      <c r="I400" s="9">
        <v>12.318</v>
      </c>
      <c r="J400" s="9">
        <v>258.678</v>
      </c>
      <c r="K400" s="10">
        <v>43529</v>
      </c>
      <c r="L400" s="11">
        <v>0.5625</v>
      </c>
      <c r="M400" s="9" t="s">
        <v>31</v>
      </c>
      <c r="N400" s="9">
        <v>246.36</v>
      </c>
      <c r="O400" s="9">
        <v>8.3000000000000007</v>
      </c>
    </row>
    <row r="401" spans="1:15">
      <c r="A401" s="9" t="s">
        <v>433</v>
      </c>
      <c r="B401" s="9" t="s">
        <v>40</v>
      </c>
      <c r="C401" s="9" t="s">
        <v>41</v>
      </c>
      <c r="D401" s="9" t="s">
        <v>18</v>
      </c>
      <c r="E401" s="9" t="s">
        <v>29</v>
      </c>
      <c r="F401" s="9" t="s">
        <v>26</v>
      </c>
      <c r="G401" s="9">
        <v>19.239999999999998</v>
      </c>
      <c r="H401" s="9">
        <v>9</v>
      </c>
      <c r="I401" s="9">
        <v>8.6579999999999995</v>
      </c>
      <c r="J401" s="9">
        <v>181.81800000000001</v>
      </c>
      <c r="K401" s="10">
        <v>43528</v>
      </c>
      <c r="L401" s="11">
        <v>0.68611111111111112</v>
      </c>
      <c r="M401" s="9" t="s">
        <v>27</v>
      </c>
      <c r="N401" s="9">
        <v>173.16</v>
      </c>
      <c r="O401" s="9">
        <v>8</v>
      </c>
    </row>
    <row r="402" spans="1:15">
      <c r="A402" s="9" t="s">
        <v>434</v>
      </c>
      <c r="B402" s="9" t="s">
        <v>23</v>
      </c>
      <c r="C402" s="9" t="s">
        <v>24</v>
      </c>
      <c r="D402" s="9" t="s">
        <v>25</v>
      </c>
      <c r="E402" s="9" t="s">
        <v>19</v>
      </c>
      <c r="F402" s="9" t="s">
        <v>42</v>
      </c>
      <c r="G402" s="9">
        <v>39.43</v>
      </c>
      <c r="H402" s="9">
        <v>6</v>
      </c>
      <c r="I402" s="9">
        <v>11.829000000000001</v>
      </c>
      <c r="J402" s="9">
        <v>248.40899999999999</v>
      </c>
      <c r="K402" s="10">
        <v>43549</v>
      </c>
      <c r="L402" s="11">
        <v>0.84583333333333333</v>
      </c>
      <c r="M402" s="9" t="s">
        <v>31</v>
      </c>
      <c r="N402" s="9">
        <v>236.58</v>
      </c>
      <c r="O402" s="9">
        <v>9.4</v>
      </c>
    </row>
    <row r="403" spans="1:15">
      <c r="A403" s="9" t="s">
        <v>435</v>
      </c>
      <c r="B403" s="9" t="s">
        <v>23</v>
      </c>
      <c r="C403" s="9" t="s">
        <v>24</v>
      </c>
      <c r="D403" s="9" t="s">
        <v>25</v>
      </c>
      <c r="E403" s="9" t="s">
        <v>29</v>
      </c>
      <c r="F403" s="9" t="s">
        <v>30</v>
      </c>
      <c r="G403" s="9">
        <v>46.22</v>
      </c>
      <c r="H403" s="9">
        <v>4</v>
      </c>
      <c r="I403" s="9">
        <v>9.2439999999999998</v>
      </c>
      <c r="J403" s="9">
        <v>194.124</v>
      </c>
      <c r="K403" s="10">
        <v>43536</v>
      </c>
      <c r="L403" s="11">
        <v>0.83611111111111114</v>
      </c>
      <c r="M403" s="9" t="s">
        <v>31</v>
      </c>
      <c r="N403" s="9">
        <v>184.88</v>
      </c>
      <c r="O403" s="9">
        <v>6.2</v>
      </c>
    </row>
    <row r="404" spans="1:15">
      <c r="A404" s="9" t="s">
        <v>436</v>
      </c>
      <c r="B404" s="9" t="s">
        <v>23</v>
      </c>
      <c r="C404" s="9" t="s">
        <v>24</v>
      </c>
      <c r="D404" s="9" t="s">
        <v>18</v>
      </c>
      <c r="E404" s="9" t="s">
        <v>29</v>
      </c>
      <c r="F404" s="9" t="s">
        <v>30</v>
      </c>
      <c r="G404" s="9">
        <v>13.98</v>
      </c>
      <c r="H404" s="9">
        <v>1</v>
      </c>
      <c r="I404" s="9">
        <v>0.69899999999999995</v>
      </c>
      <c r="J404" s="9">
        <v>14.679</v>
      </c>
      <c r="K404" s="10">
        <v>43500</v>
      </c>
      <c r="L404" s="11">
        <v>0.56805555555555554</v>
      </c>
      <c r="M404" s="9" t="s">
        <v>21</v>
      </c>
      <c r="N404" s="9">
        <v>13.98</v>
      </c>
      <c r="O404" s="9">
        <v>9.8000000000000007</v>
      </c>
    </row>
    <row r="405" spans="1:15">
      <c r="A405" s="9" t="s">
        <v>437</v>
      </c>
      <c r="B405" s="9" t="s">
        <v>40</v>
      </c>
      <c r="C405" s="9" t="s">
        <v>41</v>
      </c>
      <c r="D405" s="9" t="s">
        <v>25</v>
      </c>
      <c r="E405" s="9" t="s">
        <v>19</v>
      </c>
      <c r="F405" s="9" t="s">
        <v>44</v>
      </c>
      <c r="G405" s="9">
        <v>39.75</v>
      </c>
      <c r="H405" s="9">
        <v>5</v>
      </c>
      <c r="I405" s="9">
        <v>9.9375</v>
      </c>
      <c r="J405" s="9">
        <v>208.6875</v>
      </c>
      <c r="K405" s="10">
        <v>43518</v>
      </c>
      <c r="L405" s="11">
        <v>0.4465277777777778</v>
      </c>
      <c r="M405" s="9" t="s">
        <v>21</v>
      </c>
      <c r="N405" s="9">
        <v>198.75</v>
      </c>
      <c r="O405" s="9">
        <v>9.6</v>
      </c>
    </row>
    <row r="406" spans="1:15">
      <c r="A406" s="9" t="s">
        <v>438</v>
      </c>
      <c r="B406" s="9" t="s">
        <v>23</v>
      </c>
      <c r="C406" s="9" t="s">
        <v>24</v>
      </c>
      <c r="D406" s="9" t="s">
        <v>18</v>
      </c>
      <c r="E406" s="9" t="s">
        <v>19</v>
      </c>
      <c r="F406" s="9" t="s">
        <v>44</v>
      </c>
      <c r="G406" s="9">
        <v>97.79</v>
      </c>
      <c r="H406" s="9">
        <v>7</v>
      </c>
      <c r="I406" s="9">
        <v>34.226500000000001</v>
      </c>
      <c r="J406" s="9">
        <v>718.75649999999996</v>
      </c>
      <c r="K406" s="10">
        <v>43512</v>
      </c>
      <c r="L406" s="11">
        <v>0.72916666666666663</v>
      </c>
      <c r="M406" s="9" t="s">
        <v>21</v>
      </c>
      <c r="N406" s="9">
        <v>684.53</v>
      </c>
      <c r="O406" s="9">
        <v>4.9000000000000004</v>
      </c>
    </row>
    <row r="407" spans="1:15">
      <c r="A407" s="9" t="s">
        <v>439</v>
      </c>
      <c r="B407" s="9" t="s">
        <v>16</v>
      </c>
      <c r="C407" s="9" t="s">
        <v>17</v>
      </c>
      <c r="D407" s="9" t="s">
        <v>18</v>
      </c>
      <c r="E407" s="9" t="s">
        <v>29</v>
      </c>
      <c r="F407" s="9" t="s">
        <v>34</v>
      </c>
      <c r="G407" s="9">
        <v>67.260000000000005</v>
      </c>
      <c r="H407" s="9">
        <v>4</v>
      </c>
      <c r="I407" s="9">
        <v>13.452</v>
      </c>
      <c r="J407" s="9">
        <v>282.49200000000002</v>
      </c>
      <c r="K407" s="10">
        <v>43484</v>
      </c>
      <c r="L407" s="11">
        <v>0.64444444444444449</v>
      </c>
      <c r="M407" s="9" t="s">
        <v>31</v>
      </c>
      <c r="N407" s="9">
        <v>269.04000000000002</v>
      </c>
      <c r="O407" s="9">
        <v>8</v>
      </c>
    </row>
    <row r="408" spans="1:15">
      <c r="A408" s="9" t="s">
        <v>440</v>
      </c>
      <c r="B408" s="9" t="s">
        <v>16</v>
      </c>
      <c r="C408" s="9" t="s">
        <v>17</v>
      </c>
      <c r="D408" s="9" t="s">
        <v>25</v>
      </c>
      <c r="E408" s="9" t="s">
        <v>29</v>
      </c>
      <c r="F408" s="9" t="s">
        <v>42</v>
      </c>
      <c r="G408" s="9">
        <v>13.79</v>
      </c>
      <c r="H408" s="9">
        <v>5</v>
      </c>
      <c r="I408" s="9">
        <v>3.4474999999999998</v>
      </c>
      <c r="J408" s="9">
        <v>72.397499999999994</v>
      </c>
      <c r="K408" s="10">
        <v>43476</v>
      </c>
      <c r="L408" s="11">
        <v>0.79652777777777772</v>
      </c>
      <c r="M408" s="9" t="s">
        <v>31</v>
      </c>
      <c r="N408" s="9">
        <v>68.95</v>
      </c>
      <c r="O408" s="9">
        <v>7.8</v>
      </c>
    </row>
    <row r="409" spans="1:15">
      <c r="A409" s="9" t="s">
        <v>441</v>
      </c>
      <c r="B409" s="9" t="s">
        <v>40</v>
      </c>
      <c r="C409" s="9" t="s">
        <v>41</v>
      </c>
      <c r="D409" s="9" t="s">
        <v>18</v>
      </c>
      <c r="E409" s="9" t="s">
        <v>19</v>
      </c>
      <c r="F409" s="9" t="s">
        <v>44</v>
      </c>
      <c r="G409" s="9">
        <v>68.709999999999994</v>
      </c>
      <c r="H409" s="9">
        <v>4</v>
      </c>
      <c r="I409" s="9">
        <v>13.742000000000001</v>
      </c>
      <c r="J409" s="9">
        <v>288.58199999999999</v>
      </c>
      <c r="K409" s="10">
        <v>43469</v>
      </c>
      <c r="L409" s="11">
        <v>0.79236111111111107</v>
      </c>
      <c r="M409" s="9" t="s">
        <v>27</v>
      </c>
      <c r="N409" s="9">
        <v>274.83999999999997</v>
      </c>
      <c r="O409" s="9">
        <v>4.0999999999999996</v>
      </c>
    </row>
    <row r="410" spans="1:15">
      <c r="A410" s="9" t="s">
        <v>442</v>
      </c>
      <c r="B410" s="9" t="s">
        <v>16</v>
      </c>
      <c r="C410" s="9" t="s">
        <v>17</v>
      </c>
      <c r="D410" s="9" t="s">
        <v>25</v>
      </c>
      <c r="E410" s="9" t="s">
        <v>19</v>
      </c>
      <c r="F410" s="9" t="s">
        <v>30</v>
      </c>
      <c r="G410" s="9">
        <v>56.53</v>
      </c>
      <c r="H410" s="9">
        <v>4</v>
      </c>
      <c r="I410" s="9">
        <v>11.305999999999999</v>
      </c>
      <c r="J410" s="9">
        <v>237.42599999999999</v>
      </c>
      <c r="K410" s="10">
        <v>43528</v>
      </c>
      <c r="L410" s="11">
        <v>0.82499999999999996</v>
      </c>
      <c r="M410" s="9" t="s">
        <v>21</v>
      </c>
      <c r="N410" s="9">
        <v>226.12</v>
      </c>
      <c r="O410" s="9">
        <v>5.5</v>
      </c>
    </row>
    <row r="411" spans="1:15">
      <c r="A411" s="9" t="s">
        <v>443</v>
      </c>
      <c r="B411" s="9" t="s">
        <v>23</v>
      </c>
      <c r="C411" s="9" t="s">
        <v>24</v>
      </c>
      <c r="D411" s="9" t="s">
        <v>25</v>
      </c>
      <c r="E411" s="9" t="s">
        <v>19</v>
      </c>
      <c r="F411" s="9" t="s">
        <v>44</v>
      </c>
      <c r="G411" s="9">
        <v>23.82</v>
      </c>
      <c r="H411" s="9">
        <v>5</v>
      </c>
      <c r="I411" s="9">
        <v>5.9550000000000001</v>
      </c>
      <c r="J411" s="9">
        <v>125.05500000000001</v>
      </c>
      <c r="K411" s="10">
        <v>43493</v>
      </c>
      <c r="L411" s="11">
        <v>0.80833333333333335</v>
      </c>
      <c r="M411" s="9" t="s">
        <v>21</v>
      </c>
      <c r="N411" s="9">
        <v>119.1</v>
      </c>
      <c r="O411" s="9">
        <v>5.4</v>
      </c>
    </row>
    <row r="412" spans="1:15">
      <c r="A412" s="9" t="s">
        <v>444</v>
      </c>
      <c r="B412" s="9" t="s">
        <v>40</v>
      </c>
      <c r="C412" s="9" t="s">
        <v>41</v>
      </c>
      <c r="D412" s="9" t="s">
        <v>25</v>
      </c>
      <c r="E412" s="9" t="s">
        <v>19</v>
      </c>
      <c r="F412" s="9" t="s">
        <v>20</v>
      </c>
      <c r="G412" s="9">
        <v>34.21</v>
      </c>
      <c r="H412" s="9">
        <v>10</v>
      </c>
      <c r="I412" s="9">
        <v>17.105</v>
      </c>
      <c r="J412" s="9">
        <v>359.20499999999998</v>
      </c>
      <c r="K412" s="10">
        <v>43467</v>
      </c>
      <c r="L412" s="11">
        <v>0.54166666666666663</v>
      </c>
      <c r="M412" s="9" t="s">
        <v>27</v>
      </c>
      <c r="N412" s="9">
        <v>342.1</v>
      </c>
      <c r="O412" s="9">
        <v>5.0999999999999996</v>
      </c>
    </row>
    <row r="413" spans="1:15">
      <c r="A413" s="9" t="s">
        <v>445</v>
      </c>
      <c r="B413" s="9" t="s">
        <v>40</v>
      </c>
      <c r="C413" s="9" t="s">
        <v>41</v>
      </c>
      <c r="D413" s="9" t="s">
        <v>25</v>
      </c>
      <c r="E413" s="9" t="s">
        <v>29</v>
      </c>
      <c r="F413" s="9" t="s">
        <v>34</v>
      </c>
      <c r="G413" s="9">
        <v>21.87</v>
      </c>
      <c r="H413" s="9">
        <v>2</v>
      </c>
      <c r="I413" s="9">
        <v>2.1869999999999998</v>
      </c>
      <c r="J413" s="9">
        <v>45.927</v>
      </c>
      <c r="K413" s="10">
        <v>43490</v>
      </c>
      <c r="L413" s="11">
        <v>0.60347222222222219</v>
      </c>
      <c r="M413" s="9" t="s">
        <v>21</v>
      </c>
      <c r="N413" s="9">
        <v>43.74</v>
      </c>
      <c r="O413" s="9">
        <v>6.9</v>
      </c>
    </row>
    <row r="414" spans="1:15">
      <c r="A414" s="9" t="s">
        <v>446</v>
      </c>
      <c r="B414" s="9" t="s">
        <v>16</v>
      </c>
      <c r="C414" s="9" t="s">
        <v>17</v>
      </c>
      <c r="D414" s="9" t="s">
        <v>18</v>
      </c>
      <c r="E414" s="9" t="s">
        <v>29</v>
      </c>
      <c r="F414" s="9" t="s">
        <v>20</v>
      </c>
      <c r="G414" s="9">
        <v>20.97</v>
      </c>
      <c r="H414" s="9">
        <v>5</v>
      </c>
      <c r="I414" s="9">
        <v>5.2424999999999997</v>
      </c>
      <c r="J414" s="9">
        <v>110.0925</v>
      </c>
      <c r="K414" s="10">
        <v>43469</v>
      </c>
      <c r="L414" s="11">
        <v>0.55625000000000002</v>
      </c>
      <c r="M414" s="9" t="s">
        <v>27</v>
      </c>
      <c r="N414" s="9">
        <v>104.85</v>
      </c>
      <c r="O414" s="9">
        <v>7.8</v>
      </c>
    </row>
    <row r="415" spans="1:15">
      <c r="A415" s="9" t="s">
        <v>447</v>
      </c>
      <c r="B415" s="9" t="s">
        <v>16</v>
      </c>
      <c r="C415" s="9" t="s">
        <v>17</v>
      </c>
      <c r="D415" s="9" t="s">
        <v>25</v>
      </c>
      <c r="E415" s="9" t="s">
        <v>29</v>
      </c>
      <c r="F415" s="9" t="s">
        <v>34</v>
      </c>
      <c r="G415" s="9">
        <v>25.84</v>
      </c>
      <c r="H415" s="9">
        <v>3</v>
      </c>
      <c r="I415" s="9">
        <v>3.8759999999999999</v>
      </c>
      <c r="J415" s="9">
        <v>81.396000000000001</v>
      </c>
      <c r="K415" s="10">
        <v>43534</v>
      </c>
      <c r="L415" s="11">
        <v>0.78819444444444442</v>
      </c>
      <c r="M415" s="9" t="s">
        <v>21</v>
      </c>
      <c r="N415" s="9">
        <v>77.52</v>
      </c>
      <c r="O415" s="9">
        <v>6.6</v>
      </c>
    </row>
    <row r="416" spans="1:15">
      <c r="A416" s="9" t="s">
        <v>448</v>
      </c>
      <c r="B416" s="9" t="s">
        <v>16</v>
      </c>
      <c r="C416" s="9" t="s">
        <v>17</v>
      </c>
      <c r="D416" s="9" t="s">
        <v>25</v>
      </c>
      <c r="E416" s="9" t="s">
        <v>29</v>
      </c>
      <c r="F416" s="9" t="s">
        <v>30</v>
      </c>
      <c r="G416" s="9">
        <v>50.93</v>
      </c>
      <c r="H416" s="9">
        <v>8</v>
      </c>
      <c r="I416" s="9">
        <v>20.372</v>
      </c>
      <c r="J416" s="9">
        <v>427.81200000000001</v>
      </c>
      <c r="K416" s="10">
        <v>43546</v>
      </c>
      <c r="L416" s="11">
        <v>0.81666666666666665</v>
      </c>
      <c r="M416" s="9" t="s">
        <v>21</v>
      </c>
      <c r="N416" s="9">
        <v>407.44</v>
      </c>
      <c r="O416" s="9">
        <v>9.1999999999999993</v>
      </c>
    </row>
    <row r="417" spans="1:15">
      <c r="A417" s="9" t="s">
        <v>449</v>
      </c>
      <c r="B417" s="9" t="s">
        <v>40</v>
      </c>
      <c r="C417" s="9" t="s">
        <v>41</v>
      </c>
      <c r="D417" s="9" t="s">
        <v>25</v>
      </c>
      <c r="E417" s="9" t="s">
        <v>29</v>
      </c>
      <c r="F417" s="9" t="s">
        <v>20</v>
      </c>
      <c r="G417" s="9">
        <v>96.11</v>
      </c>
      <c r="H417" s="9">
        <v>1</v>
      </c>
      <c r="I417" s="9">
        <v>4.8055000000000003</v>
      </c>
      <c r="J417" s="9">
        <v>100.91549999999999</v>
      </c>
      <c r="K417" s="10">
        <v>43490</v>
      </c>
      <c r="L417" s="11">
        <v>0.68611111111111112</v>
      </c>
      <c r="M417" s="9" t="s">
        <v>21</v>
      </c>
      <c r="N417" s="9">
        <v>96.11</v>
      </c>
      <c r="O417" s="9">
        <v>7.8</v>
      </c>
    </row>
    <row r="418" spans="1:15">
      <c r="A418" s="9" t="s">
        <v>450</v>
      </c>
      <c r="B418" s="9" t="s">
        <v>23</v>
      </c>
      <c r="C418" s="9" t="s">
        <v>24</v>
      </c>
      <c r="D418" s="9" t="s">
        <v>25</v>
      </c>
      <c r="E418" s="9" t="s">
        <v>19</v>
      </c>
      <c r="F418" s="9" t="s">
        <v>30</v>
      </c>
      <c r="G418" s="9">
        <v>45.38</v>
      </c>
      <c r="H418" s="9">
        <v>4</v>
      </c>
      <c r="I418" s="9">
        <v>9.0760000000000005</v>
      </c>
      <c r="J418" s="9">
        <v>190.596</v>
      </c>
      <c r="K418" s="10">
        <v>43473</v>
      </c>
      <c r="L418" s="11">
        <v>0.57499999999999996</v>
      </c>
      <c r="M418" s="9" t="s">
        <v>31</v>
      </c>
      <c r="N418" s="9">
        <v>181.52</v>
      </c>
      <c r="O418" s="9">
        <v>8.6999999999999993</v>
      </c>
    </row>
    <row r="419" spans="1:15">
      <c r="A419" s="9" t="s">
        <v>451</v>
      </c>
      <c r="B419" s="9" t="s">
        <v>23</v>
      </c>
      <c r="C419" s="9" t="s">
        <v>24</v>
      </c>
      <c r="D419" s="9" t="s">
        <v>18</v>
      </c>
      <c r="E419" s="9" t="s">
        <v>19</v>
      </c>
      <c r="F419" s="9" t="s">
        <v>20</v>
      </c>
      <c r="G419" s="9">
        <v>81.510000000000005</v>
      </c>
      <c r="H419" s="9">
        <v>1</v>
      </c>
      <c r="I419" s="9">
        <v>4.0754999999999999</v>
      </c>
      <c r="J419" s="9">
        <v>85.585499999999996</v>
      </c>
      <c r="K419" s="10">
        <v>43487</v>
      </c>
      <c r="L419" s="11">
        <v>0.45624999999999999</v>
      </c>
      <c r="M419" s="9" t="s">
        <v>21</v>
      </c>
      <c r="N419" s="9">
        <v>81.510000000000005</v>
      </c>
      <c r="O419" s="9">
        <v>9.1999999999999993</v>
      </c>
    </row>
    <row r="420" spans="1:15">
      <c r="A420" s="9" t="s">
        <v>452</v>
      </c>
      <c r="B420" s="9" t="s">
        <v>40</v>
      </c>
      <c r="C420" s="9" t="s">
        <v>41</v>
      </c>
      <c r="D420" s="9" t="s">
        <v>25</v>
      </c>
      <c r="E420" s="9" t="s">
        <v>19</v>
      </c>
      <c r="F420" s="9" t="s">
        <v>20</v>
      </c>
      <c r="G420" s="9">
        <v>57.22</v>
      </c>
      <c r="H420" s="9">
        <v>2</v>
      </c>
      <c r="I420" s="9">
        <v>5.7220000000000004</v>
      </c>
      <c r="J420" s="9">
        <v>120.16200000000001</v>
      </c>
      <c r="K420" s="10">
        <v>43477</v>
      </c>
      <c r="L420" s="11">
        <v>0.71736111111111112</v>
      </c>
      <c r="M420" s="9" t="s">
        <v>21</v>
      </c>
      <c r="N420" s="9">
        <v>114.44</v>
      </c>
      <c r="O420" s="9">
        <v>8.3000000000000007</v>
      </c>
    </row>
    <row r="421" spans="1:15">
      <c r="A421" s="9" t="s">
        <v>453</v>
      </c>
      <c r="B421" s="9" t="s">
        <v>16</v>
      </c>
      <c r="C421" s="9" t="s">
        <v>17</v>
      </c>
      <c r="D421" s="9" t="s">
        <v>18</v>
      </c>
      <c r="E421" s="9" t="s">
        <v>19</v>
      </c>
      <c r="F421" s="9" t="s">
        <v>26</v>
      </c>
      <c r="G421" s="9">
        <v>25.22</v>
      </c>
      <c r="H421" s="9">
        <v>7</v>
      </c>
      <c r="I421" s="9">
        <v>8.827</v>
      </c>
      <c r="J421" s="9">
        <v>185.36699999999999</v>
      </c>
      <c r="K421" s="10">
        <v>43500</v>
      </c>
      <c r="L421" s="11">
        <v>0.43263888888888891</v>
      </c>
      <c r="M421" s="9" t="s">
        <v>27</v>
      </c>
      <c r="N421" s="9">
        <v>176.54</v>
      </c>
      <c r="O421" s="9">
        <v>8.1999999999999993</v>
      </c>
    </row>
    <row r="422" spans="1:15">
      <c r="A422" s="9" t="s">
        <v>454</v>
      </c>
      <c r="B422" s="9" t="s">
        <v>23</v>
      </c>
      <c r="C422" s="9" t="s">
        <v>24</v>
      </c>
      <c r="D422" s="9" t="s">
        <v>18</v>
      </c>
      <c r="E422" s="9" t="s">
        <v>19</v>
      </c>
      <c r="F422" s="9" t="s">
        <v>42</v>
      </c>
      <c r="G422" s="9">
        <v>38.6</v>
      </c>
      <c r="H422" s="9">
        <v>3</v>
      </c>
      <c r="I422" s="9">
        <v>5.79</v>
      </c>
      <c r="J422" s="9">
        <v>121.59</v>
      </c>
      <c r="K422" s="10">
        <v>43552</v>
      </c>
      <c r="L422" s="11">
        <v>0.58125000000000004</v>
      </c>
      <c r="M422" s="9" t="s">
        <v>21</v>
      </c>
      <c r="N422" s="9">
        <v>115.8</v>
      </c>
      <c r="O422" s="9">
        <v>7.5</v>
      </c>
    </row>
    <row r="423" spans="1:15">
      <c r="A423" s="9" t="s">
        <v>455</v>
      </c>
      <c r="B423" s="9" t="s">
        <v>23</v>
      </c>
      <c r="C423" s="9" t="s">
        <v>24</v>
      </c>
      <c r="D423" s="9" t="s">
        <v>25</v>
      </c>
      <c r="E423" s="9" t="s">
        <v>19</v>
      </c>
      <c r="F423" s="9" t="s">
        <v>26</v>
      </c>
      <c r="G423" s="9">
        <v>84.05</v>
      </c>
      <c r="H423" s="9">
        <v>3</v>
      </c>
      <c r="I423" s="9">
        <v>12.6075</v>
      </c>
      <c r="J423" s="9">
        <v>264.75749999999999</v>
      </c>
      <c r="K423" s="10">
        <v>43488</v>
      </c>
      <c r="L423" s="11">
        <v>0.56180555555555556</v>
      </c>
      <c r="M423" s="9" t="s">
        <v>27</v>
      </c>
      <c r="N423" s="9">
        <v>252.15</v>
      </c>
      <c r="O423" s="9">
        <v>9.8000000000000007</v>
      </c>
    </row>
    <row r="424" spans="1:15">
      <c r="A424" s="9" t="s">
        <v>456</v>
      </c>
      <c r="B424" s="9" t="s">
        <v>23</v>
      </c>
      <c r="C424" s="9" t="s">
        <v>24</v>
      </c>
      <c r="D424" s="9" t="s">
        <v>18</v>
      </c>
      <c r="E424" s="9" t="s">
        <v>19</v>
      </c>
      <c r="F424" s="9" t="s">
        <v>44</v>
      </c>
      <c r="G424" s="9">
        <v>97.21</v>
      </c>
      <c r="H424" s="9">
        <v>10</v>
      </c>
      <c r="I424" s="9">
        <v>48.604999999999997</v>
      </c>
      <c r="J424" s="9">
        <v>1020.705</v>
      </c>
      <c r="K424" s="10">
        <v>43504</v>
      </c>
      <c r="L424" s="11">
        <v>0.54166666666666663</v>
      </c>
      <c r="M424" s="9" t="s">
        <v>31</v>
      </c>
      <c r="N424" s="9">
        <v>972.1</v>
      </c>
      <c r="O424" s="9">
        <v>8.6999999999999993</v>
      </c>
    </row>
    <row r="425" spans="1:15">
      <c r="A425" s="9" t="s">
        <v>457</v>
      </c>
      <c r="B425" s="9" t="s">
        <v>40</v>
      </c>
      <c r="C425" s="9" t="s">
        <v>41</v>
      </c>
      <c r="D425" s="9" t="s">
        <v>18</v>
      </c>
      <c r="E425" s="9" t="s">
        <v>29</v>
      </c>
      <c r="F425" s="9" t="s">
        <v>44</v>
      </c>
      <c r="G425" s="9">
        <v>25.42</v>
      </c>
      <c r="H425" s="9">
        <v>8</v>
      </c>
      <c r="I425" s="9">
        <v>10.167999999999999</v>
      </c>
      <c r="J425" s="9">
        <v>213.52799999999999</v>
      </c>
      <c r="K425" s="10">
        <v>43543</v>
      </c>
      <c r="L425" s="11">
        <v>0.8208333333333333</v>
      </c>
      <c r="M425" s="9" t="s">
        <v>31</v>
      </c>
      <c r="N425" s="9">
        <v>203.36</v>
      </c>
      <c r="O425" s="9">
        <v>6.7</v>
      </c>
    </row>
    <row r="426" spans="1:15">
      <c r="A426" s="9" t="s">
        <v>458</v>
      </c>
      <c r="B426" s="9" t="s">
        <v>23</v>
      </c>
      <c r="C426" s="9" t="s">
        <v>24</v>
      </c>
      <c r="D426" s="9" t="s">
        <v>25</v>
      </c>
      <c r="E426" s="9" t="s">
        <v>29</v>
      </c>
      <c r="F426" s="9" t="s">
        <v>44</v>
      </c>
      <c r="G426" s="9">
        <v>16.28</v>
      </c>
      <c r="H426" s="9">
        <v>1</v>
      </c>
      <c r="I426" s="9">
        <v>0.81399999999999995</v>
      </c>
      <c r="J426" s="9">
        <v>17.094000000000001</v>
      </c>
      <c r="K426" s="10">
        <v>43533</v>
      </c>
      <c r="L426" s="11">
        <v>0.65</v>
      </c>
      <c r="M426" s="9" t="s">
        <v>27</v>
      </c>
      <c r="N426" s="9">
        <v>16.28</v>
      </c>
      <c r="O426" s="9">
        <v>5</v>
      </c>
    </row>
    <row r="427" spans="1:15">
      <c r="A427" s="9" t="s">
        <v>459</v>
      </c>
      <c r="B427" s="9" t="s">
        <v>40</v>
      </c>
      <c r="C427" s="9" t="s">
        <v>41</v>
      </c>
      <c r="D427" s="9" t="s">
        <v>18</v>
      </c>
      <c r="E427" s="9" t="s">
        <v>29</v>
      </c>
      <c r="F427" s="9" t="s">
        <v>44</v>
      </c>
      <c r="G427" s="9">
        <v>40.61</v>
      </c>
      <c r="H427" s="9">
        <v>9</v>
      </c>
      <c r="I427" s="9">
        <v>18.2745</v>
      </c>
      <c r="J427" s="9">
        <v>383.7645</v>
      </c>
      <c r="K427" s="10">
        <v>43467</v>
      </c>
      <c r="L427" s="11">
        <v>0.56944444444444442</v>
      </c>
      <c r="M427" s="9" t="s">
        <v>27</v>
      </c>
      <c r="N427" s="9">
        <v>365.49</v>
      </c>
      <c r="O427" s="9">
        <v>7</v>
      </c>
    </row>
    <row r="428" spans="1:15">
      <c r="A428" s="9" t="s">
        <v>460</v>
      </c>
      <c r="B428" s="9" t="s">
        <v>16</v>
      </c>
      <c r="C428" s="9" t="s">
        <v>17</v>
      </c>
      <c r="D428" s="9" t="s">
        <v>18</v>
      </c>
      <c r="E428" s="9" t="s">
        <v>29</v>
      </c>
      <c r="F428" s="9" t="s">
        <v>20</v>
      </c>
      <c r="G428" s="9">
        <v>53.17</v>
      </c>
      <c r="H428" s="9">
        <v>7</v>
      </c>
      <c r="I428" s="9">
        <v>18.609500000000001</v>
      </c>
      <c r="J428" s="9">
        <v>390.79950000000002</v>
      </c>
      <c r="K428" s="10">
        <v>43486</v>
      </c>
      <c r="L428" s="11">
        <v>0.75069444444444444</v>
      </c>
      <c r="M428" s="9" t="s">
        <v>27</v>
      </c>
      <c r="N428" s="9">
        <v>372.19</v>
      </c>
      <c r="O428" s="9">
        <v>8.9</v>
      </c>
    </row>
    <row r="429" spans="1:15">
      <c r="A429" s="9" t="s">
        <v>461</v>
      </c>
      <c r="B429" s="9" t="s">
        <v>40</v>
      </c>
      <c r="C429" s="9" t="s">
        <v>41</v>
      </c>
      <c r="D429" s="9" t="s">
        <v>18</v>
      </c>
      <c r="E429" s="9" t="s">
        <v>19</v>
      </c>
      <c r="F429" s="9" t="s">
        <v>42</v>
      </c>
      <c r="G429" s="9">
        <v>20.87</v>
      </c>
      <c r="H429" s="9">
        <v>3</v>
      </c>
      <c r="I429" s="9">
        <v>3.1305000000000001</v>
      </c>
      <c r="J429" s="9">
        <v>65.740499999999997</v>
      </c>
      <c r="K429" s="10">
        <v>43544</v>
      </c>
      <c r="L429" s="11">
        <v>0.57847222222222228</v>
      </c>
      <c r="M429" s="9" t="s">
        <v>31</v>
      </c>
      <c r="N429" s="9">
        <v>62.61</v>
      </c>
      <c r="O429" s="9">
        <v>8</v>
      </c>
    </row>
    <row r="430" spans="1:15">
      <c r="A430" s="9" t="s">
        <v>462</v>
      </c>
      <c r="B430" s="9" t="s">
        <v>40</v>
      </c>
      <c r="C430" s="9" t="s">
        <v>41</v>
      </c>
      <c r="D430" s="9" t="s">
        <v>25</v>
      </c>
      <c r="E430" s="9" t="s">
        <v>29</v>
      </c>
      <c r="F430" s="9" t="s">
        <v>34</v>
      </c>
      <c r="G430" s="9">
        <v>67.27</v>
      </c>
      <c r="H430" s="9">
        <v>5</v>
      </c>
      <c r="I430" s="9">
        <v>16.817499999999999</v>
      </c>
      <c r="J430" s="9">
        <v>353.16750000000002</v>
      </c>
      <c r="K430" s="10">
        <v>43523</v>
      </c>
      <c r="L430" s="11">
        <v>0.7270833333333333</v>
      </c>
      <c r="M430" s="9" t="s">
        <v>27</v>
      </c>
      <c r="N430" s="9">
        <v>336.35</v>
      </c>
      <c r="O430" s="9">
        <v>6.9</v>
      </c>
    </row>
    <row r="431" spans="1:15">
      <c r="A431" s="9" t="s">
        <v>463</v>
      </c>
      <c r="B431" s="9" t="s">
        <v>16</v>
      </c>
      <c r="C431" s="9" t="s">
        <v>17</v>
      </c>
      <c r="D431" s="9" t="s">
        <v>18</v>
      </c>
      <c r="E431" s="9" t="s">
        <v>19</v>
      </c>
      <c r="F431" s="9" t="s">
        <v>30</v>
      </c>
      <c r="G431" s="9">
        <v>90.65</v>
      </c>
      <c r="H431" s="9">
        <v>10</v>
      </c>
      <c r="I431" s="9">
        <v>45.325000000000003</v>
      </c>
      <c r="J431" s="9">
        <v>951.82500000000005</v>
      </c>
      <c r="K431" s="10">
        <v>43532</v>
      </c>
      <c r="L431" s="11">
        <v>0.45347222222222222</v>
      </c>
      <c r="M431" s="9" t="s">
        <v>21</v>
      </c>
      <c r="N431" s="9">
        <v>906.5</v>
      </c>
      <c r="O431" s="9">
        <v>7.3</v>
      </c>
    </row>
    <row r="432" spans="1:15">
      <c r="A432" s="9" t="s">
        <v>464</v>
      </c>
      <c r="B432" s="9" t="s">
        <v>40</v>
      </c>
      <c r="C432" s="9" t="s">
        <v>41</v>
      </c>
      <c r="D432" s="9" t="s">
        <v>25</v>
      </c>
      <c r="E432" s="9" t="s">
        <v>29</v>
      </c>
      <c r="F432" s="9" t="s">
        <v>44</v>
      </c>
      <c r="G432" s="9">
        <v>69.08</v>
      </c>
      <c r="H432" s="9">
        <v>2</v>
      </c>
      <c r="I432" s="9">
        <v>6.9080000000000004</v>
      </c>
      <c r="J432" s="9">
        <v>145.06800000000001</v>
      </c>
      <c r="K432" s="10">
        <v>43496</v>
      </c>
      <c r="L432" s="11">
        <v>0.82499999999999996</v>
      </c>
      <c r="M432" s="9" t="s">
        <v>31</v>
      </c>
      <c r="N432" s="9">
        <v>138.16</v>
      </c>
      <c r="O432" s="9">
        <v>6.9</v>
      </c>
    </row>
    <row r="433" spans="1:15">
      <c r="A433" s="9" t="s">
        <v>465</v>
      </c>
      <c r="B433" s="9" t="s">
        <v>23</v>
      </c>
      <c r="C433" s="9" t="s">
        <v>24</v>
      </c>
      <c r="D433" s="9" t="s">
        <v>25</v>
      </c>
      <c r="E433" s="9" t="s">
        <v>29</v>
      </c>
      <c r="F433" s="9" t="s">
        <v>42</v>
      </c>
      <c r="G433" s="9">
        <v>43.27</v>
      </c>
      <c r="H433" s="9">
        <v>2</v>
      </c>
      <c r="I433" s="9">
        <v>4.327</v>
      </c>
      <c r="J433" s="9">
        <v>90.867000000000004</v>
      </c>
      <c r="K433" s="10">
        <v>43532</v>
      </c>
      <c r="L433" s="11">
        <v>0.70347222222222228</v>
      </c>
      <c r="M433" s="9" t="s">
        <v>21</v>
      </c>
      <c r="N433" s="9">
        <v>86.54</v>
      </c>
      <c r="O433" s="9">
        <v>5.7</v>
      </c>
    </row>
    <row r="434" spans="1:15">
      <c r="A434" s="9" t="s">
        <v>466</v>
      </c>
      <c r="B434" s="9" t="s">
        <v>16</v>
      </c>
      <c r="C434" s="9" t="s">
        <v>17</v>
      </c>
      <c r="D434" s="9" t="s">
        <v>25</v>
      </c>
      <c r="E434" s="9" t="s">
        <v>19</v>
      </c>
      <c r="F434" s="9" t="s">
        <v>26</v>
      </c>
      <c r="G434" s="9">
        <v>23.46</v>
      </c>
      <c r="H434" s="9">
        <v>6</v>
      </c>
      <c r="I434" s="9">
        <v>7.0380000000000003</v>
      </c>
      <c r="J434" s="9">
        <v>147.798</v>
      </c>
      <c r="K434" s="10">
        <v>43478</v>
      </c>
      <c r="L434" s="11">
        <v>0.80138888888888893</v>
      </c>
      <c r="M434" s="9" t="s">
        <v>21</v>
      </c>
      <c r="N434" s="9">
        <v>140.76</v>
      </c>
      <c r="O434" s="9">
        <v>6.4</v>
      </c>
    </row>
    <row r="435" spans="1:15">
      <c r="A435" s="9" t="s">
        <v>467</v>
      </c>
      <c r="B435" s="9" t="s">
        <v>40</v>
      </c>
      <c r="C435" s="9" t="s">
        <v>41</v>
      </c>
      <c r="D435" s="9" t="s">
        <v>25</v>
      </c>
      <c r="E435" s="9" t="s">
        <v>29</v>
      </c>
      <c r="F435" s="9" t="s">
        <v>44</v>
      </c>
      <c r="G435" s="9">
        <v>95.54</v>
      </c>
      <c r="H435" s="9">
        <v>7</v>
      </c>
      <c r="I435" s="9">
        <v>33.439</v>
      </c>
      <c r="J435" s="9">
        <v>702.21900000000005</v>
      </c>
      <c r="K435" s="10">
        <v>43533</v>
      </c>
      <c r="L435" s="11">
        <v>0.60833333333333328</v>
      </c>
      <c r="M435" s="9" t="s">
        <v>31</v>
      </c>
      <c r="N435" s="9">
        <v>668.78</v>
      </c>
      <c r="O435" s="9">
        <v>9.6</v>
      </c>
    </row>
    <row r="436" spans="1:15">
      <c r="A436" s="9" t="s">
        <v>468</v>
      </c>
      <c r="B436" s="9" t="s">
        <v>40</v>
      </c>
      <c r="C436" s="9" t="s">
        <v>41</v>
      </c>
      <c r="D436" s="9" t="s">
        <v>25</v>
      </c>
      <c r="E436" s="9" t="s">
        <v>19</v>
      </c>
      <c r="F436" s="9" t="s">
        <v>44</v>
      </c>
      <c r="G436" s="9">
        <v>47.44</v>
      </c>
      <c r="H436" s="9">
        <v>1</v>
      </c>
      <c r="I436" s="9">
        <v>2.3719999999999999</v>
      </c>
      <c r="J436" s="9">
        <v>49.811999999999998</v>
      </c>
      <c r="K436" s="10">
        <v>43518</v>
      </c>
      <c r="L436" s="11">
        <v>0.7631944444444444</v>
      </c>
      <c r="M436" s="9" t="s">
        <v>31</v>
      </c>
      <c r="N436" s="9">
        <v>47.44</v>
      </c>
      <c r="O436" s="9">
        <v>6.8</v>
      </c>
    </row>
    <row r="437" spans="1:15">
      <c r="A437" s="9" t="s">
        <v>469</v>
      </c>
      <c r="B437" s="9" t="s">
        <v>23</v>
      </c>
      <c r="C437" s="9" t="s">
        <v>24</v>
      </c>
      <c r="D437" s="9" t="s">
        <v>25</v>
      </c>
      <c r="E437" s="9" t="s">
        <v>29</v>
      </c>
      <c r="F437" s="9" t="s">
        <v>34</v>
      </c>
      <c r="G437" s="9">
        <v>99.24</v>
      </c>
      <c r="H437" s="9">
        <v>9</v>
      </c>
      <c r="I437" s="9">
        <v>44.658000000000001</v>
      </c>
      <c r="J437" s="9">
        <v>937.81799999999998</v>
      </c>
      <c r="K437" s="10">
        <v>43543</v>
      </c>
      <c r="L437" s="11">
        <v>0.79791666666666672</v>
      </c>
      <c r="M437" s="9" t="s">
        <v>21</v>
      </c>
      <c r="N437" s="9">
        <v>893.16</v>
      </c>
      <c r="O437" s="9">
        <v>9</v>
      </c>
    </row>
    <row r="438" spans="1:15">
      <c r="A438" s="9" t="s">
        <v>470</v>
      </c>
      <c r="B438" s="9" t="s">
        <v>23</v>
      </c>
      <c r="C438" s="9" t="s">
        <v>24</v>
      </c>
      <c r="D438" s="9" t="s">
        <v>18</v>
      </c>
      <c r="E438" s="9" t="s">
        <v>29</v>
      </c>
      <c r="F438" s="9" t="s">
        <v>34</v>
      </c>
      <c r="G438" s="9">
        <v>82.93</v>
      </c>
      <c r="H438" s="9">
        <v>4</v>
      </c>
      <c r="I438" s="9">
        <v>16.585999999999999</v>
      </c>
      <c r="J438" s="9">
        <v>348.30599999999998</v>
      </c>
      <c r="K438" s="10">
        <v>43485</v>
      </c>
      <c r="L438" s="11">
        <v>0.70208333333333328</v>
      </c>
      <c r="M438" s="9" t="s">
        <v>21</v>
      </c>
      <c r="N438" s="9">
        <v>331.72</v>
      </c>
      <c r="O438" s="9">
        <v>9.6</v>
      </c>
    </row>
    <row r="439" spans="1:15">
      <c r="A439" s="9" t="s">
        <v>471</v>
      </c>
      <c r="B439" s="9" t="s">
        <v>16</v>
      </c>
      <c r="C439" s="9" t="s">
        <v>17</v>
      </c>
      <c r="D439" s="9" t="s">
        <v>25</v>
      </c>
      <c r="E439" s="9" t="s">
        <v>29</v>
      </c>
      <c r="F439" s="9" t="s">
        <v>30</v>
      </c>
      <c r="G439" s="9">
        <v>33.99</v>
      </c>
      <c r="H439" s="9">
        <v>6</v>
      </c>
      <c r="I439" s="9">
        <v>10.196999999999999</v>
      </c>
      <c r="J439" s="9">
        <v>214.137</v>
      </c>
      <c r="K439" s="10">
        <v>43532</v>
      </c>
      <c r="L439" s="11">
        <v>0.65069444444444446</v>
      </c>
      <c r="M439" s="9" t="s">
        <v>31</v>
      </c>
      <c r="N439" s="9">
        <v>203.94</v>
      </c>
      <c r="O439" s="9">
        <v>7.7</v>
      </c>
    </row>
    <row r="440" spans="1:15">
      <c r="A440" s="9" t="s">
        <v>472</v>
      </c>
      <c r="B440" s="9" t="s">
        <v>23</v>
      </c>
      <c r="C440" s="9" t="s">
        <v>24</v>
      </c>
      <c r="D440" s="9" t="s">
        <v>18</v>
      </c>
      <c r="E440" s="9" t="s">
        <v>29</v>
      </c>
      <c r="F440" s="9" t="s">
        <v>42</v>
      </c>
      <c r="G440" s="9">
        <v>17.04</v>
      </c>
      <c r="H440" s="9">
        <v>4</v>
      </c>
      <c r="I440" s="9">
        <v>3.4079999999999999</v>
      </c>
      <c r="J440" s="9">
        <v>71.567999999999998</v>
      </c>
      <c r="K440" s="10">
        <v>43532</v>
      </c>
      <c r="L440" s="11">
        <v>0.84375</v>
      </c>
      <c r="M440" s="9" t="s">
        <v>21</v>
      </c>
      <c r="N440" s="9">
        <v>68.16</v>
      </c>
      <c r="O440" s="9">
        <v>7</v>
      </c>
    </row>
    <row r="441" spans="1:15">
      <c r="A441" s="9" t="s">
        <v>473</v>
      </c>
      <c r="B441" s="9" t="s">
        <v>23</v>
      </c>
      <c r="C441" s="9" t="s">
        <v>24</v>
      </c>
      <c r="D441" s="9" t="s">
        <v>25</v>
      </c>
      <c r="E441" s="9" t="s">
        <v>19</v>
      </c>
      <c r="F441" s="9" t="s">
        <v>26</v>
      </c>
      <c r="G441" s="9">
        <v>40.86</v>
      </c>
      <c r="H441" s="9">
        <v>8</v>
      </c>
      <c r="I441" s="9">
        <v>16.344000000000001</v>
      </c>
      <c r="J441" s="9">
        <v>343.22399999999999</v>
      </c>
      <c r="K441" s="10">
        <v>43503</v>
      </c>
      <c r="L441" s="11">
        <v>0.60972222222222228</v>
      </c>
      <c r="M441" s="9" t="s">
        <v>31</v>
      </c>
      <c r="N441" s="9">
        <v>326.88</v>
      </c>
      <c r="O441" s="9">
        <v>6.5</v>
      </c>
    </row>
    <row r="442" spans="1:15">
      <c r="A442" s="9" t="s">
        <v>474</v>
      </c>
      <c r="B442" s="9" t="s">
        <v>23</v>
      </c>
      <c r="C442" s="9" t="s">
        <v>24</v>
      </c>
      <c r="D442" s="9" t="s">
        <v>18</v>
      </c>
      <c r="E442" s="9" t="s">
        <v>29</v>
      </c>
      <c r="F442" s="9" t="s">
        <v>42</v>
      </c>
      <c r="G442" s="9">
        <v>17.440000000000001</v>
      </c>
      <c r="H442" s="9">
        <v>5</v>
      </c>
      <c r="I442" s="9">
        <v>4.3600000000000003</v>
      </c>
      <c r="J442" s="9">
        <v>91.56</v>
      </c>
      <c r="K442" s="10">
        <v>43480</v>
      </c>
      <c r="L442" s="11">
        <v>0.80902777777777779</v>
      </c>
      <c r="M442" s="9" t="s">
        <v>27</v>
      </c>
      <c r="N442" s="9">
        <v>87.2</v>
      </c>
      <c r="O442" s="9">
        <v>8.1</v>
      </c>
    </row>
    <row r="443" spans="1:15">
      <c r="A443" s="9" t="s">
        <v>475</v>
      </c>
      <c r="B443" s="9" t="s">
        <v>40</v>
      </c>
      <c r="C443" s="9" t="s">
        <v>41</v>
      </c>
      <c r="D443" s="9" t="s">
        <v>18</v>
      </c>
      <c r="E443" s="9" t="s">
        <v>19</v>
      </c>
      <c r="F443" s="9" t="s">
        <v>34</v>
      </c>
      <c r="G443" s="9">
        <v>88.43</v>
      </c>
      <c r="H443" s="9">
        <v>8</v>
      </c>
      <c r="I443" s="9">
        <v>35.372</v>
      </c>
      <c r="J443" s="9">
        <v>742.81200000000001</v>
      </c>
      <c r="K443" s="10">
        <v>43546</v>
      </c>
      <c r="L443" s="11">
        <v>0.81597222222222221</v>
      </c>
      <c r="M443" s="9" t="s">
        <v>31</v>
      </c>
      <c r="N443" s="9">
        <v>707.44</v>
      </c>
      <c r="O443" s="9">
        <v>4.3</v>
      </c>
    </row>
    <row r="444" spans="1:15">
      <c r="A444" s="9" t="s">
        <v>476</v>
      </c>
      <c r="B444" s="9" t="s">
        <v>16</v>
      </c>
      <c r="C444" s="9" t="s">
        <v>17</v>
      </c>
      <c r="D444" s="9" t="s">
        <v>18</v>
      </c>
      <c r="E444" s="9" t="s">
        <v>19</v>
      </c>
      <c r="F444" s="9" t="s">
        <v>30</v>
      </c>
      <c r="G444" s="9">
        <v>89.21</v>
      </c>
      <c r="H444" s="9">
        <v>9</v>
      </c>
      <c r="I444" s="9">
        <v>40.144500000000001</v>
      </c>
      <c r="J444" s="9">
        <v>843.03449999999998</v>
      </c>
      <c r="K444" s="10">
        <v>43480</v>
      </c>
      <c r="L444" s="11">
        <v>0.65416666666666667</v>
      </c>
      <c r="M444" s="9" t="s">
        <v>31</v>
      </c>
      <c r="N444" s="9">
        <v>802.89</v>
      </c>
      <c r="O444" s="9">
        <v>6.5</v>
      </c>
    </row>
    <row r="445" spans="1:15">
      <c r="A445" s="9" t="s">
        <v>477</v>
      </c>
      <c r="B445" s="9" t="s">
        <v>23</v>
      </c>
      <c r="C445" s="9" t="s">
        <v>24</v>
      </c>
      <c r="D445" s="9" t="s">
        <v>25</v>
      </c>
      <c r="E445" s="9" t="s">
        <v>29</v>
      </c>
      <c r="F445" s="9" t="s">
        <v>44</v>
      </c>
      <c r="G445" s="9">
        <v>12.78</v>
      </c>
      <c r="H445" s="9">
        <v>1</v>
      </c>
      <c r="I445" s="9">
        <v>0.63900000000000001</v>
      </c>
      <c r="J445" s="9">
        <v>13.419</v>
      </c>
      <c r="K445" s="10">
        <v>43473</v>
      </c>
      <c r="L445" s="11">
        <v>0.59097222222222223</v>
      </c>
      <c r="M445" s="9" t="s">
        <v>21</v>
      </c>
      <c r="N445" s="9">
        <v>12.78</v>
      </c>
      <c r="O445" s="9">
        <v>9.5</v>
      </c>
    </row>
    <row r="446" spans="1:15">
      <c r="A446" s="9" t="s">
        <v>478</v>
      </c>
      <c r="B446" s="9" t="s">
        <v>16</v>
      </c>
      <c r="C446" s="9" t="s">
        <v>17</v>
      </c>
      <c r="D446" s="9" t="s">
        <v>25</v>
      </c>
      <c r="E446" s="9" t="s">
        <v>19</v>
      </c>
      <c r="F446" s="9" t="s">
        <v>34</v>
      </c>
      <c r="G446" s="9">
        <v>19.100000000000001</v>
      </c>
      <c r="H446" s="9">
        <v>7</v>
      </c>
      <c r="I446" s="9">
        <v>6.6849999999999996</v>
      </c>
      <c r="J446" s="9">
        <v>140.38499999999999</v>
      </c>
      <c r="K446" s="10">
        <v>43480</v>
      </c>
      <c r="L446" s="11">
        <v>0.4465277777777778</v>
      </c>
      <c r="M446" s="9" t="s">
        <v>27</v>
      </c>
      <c r="N446" s="9">
        <v>133.69999999999999</v>
      </c>
      <c r="O446" s="9">
        <v>9.6999999999999993</v>
      </c>
    </row>
    <row r="447" spans="1:15">
      <c r="A447" s="9" t="s">
        <v>479</v>
      </c>
      <c r="B447" s="9" t="s">
        <v>40</v>
      </c>
      <c r="C447" s="9" t="s">
        <v>41</v>
      </c>
      <c r="D447" s="9" t="s">
        <v>18</v>
      </c>
      <c r="E447" s="9" t="s">
        <v>19</v>
      </c>
      <c r="F447" s="9" t="s">
        <v>20</v>
      </c>
      <c r="G447" s="9">
        <v>19.149999999999999</v>
      </c>
      <c r="H447" s="9">
        <v>1</v>
      </c>
      <c r="I447" s="9">
        <v>0.95750000000000002</v>
      </c>
      <c r="J447" s="9">
        <v>20.107500000000002</v>
      </c>
      <c r="K447" s="10">
        <v>43493</v>
      </c>
      <c r="L447" s="11">
        <v>0.74861111111111112</v>
      </c>
      <c r="M447" s="9" t="s">
        <v>31</v>
      </c>
      <c r="N447" s="9">
        <v>19.149999999999999</v>
      </c>
      <c r="O447" s="9">
        <v>9.5</v>
      </c>
    </row>
    <row r="448" spans="1:15">
      <c r="A448" s="9" t="s">
        <v>480</v>
      </c>
      <c r="B448" s="9" t="s">
        <v>23</v>
      </c>
      <c r="C448" s="9" t="s">
        <v>24</v>
      </c>
      <c r="D448" s="9" t="s">
        <v>18</v>
      </c>
      <c r="E448" s="9" t="s">
        <v>29</v>
      </c>
      <c r="F448" s="9" t="s">
        <v>42</v>
      </c>
      <c r="G448" s="9">
        <v>27.66</v>
      </c>
      <c r="H448" s="9">
        <v>10</v>
      </c>
      <c r="I448" s="9">
        <v>13.83</v>
      </c>
      <c r="J448" s="9">
        <v>290.43</v>
      </c>
      <c r="K448" s="10">
        <v>43510</v>
      </c>
      <c r="L448" s="11">
        <v>0.47638888888888886</v>
      </c>
      <c r="M448" s="9" t="s">
        <v>31</v>
      </c>
      <c r="N448" s="9">
        <v>276.60000000000002</v>
      </c>
      <c r="O448" s="9">
        <v>8.9</v>
      </c>
    </row>
    <row r="449" spans="1:15">
      <c r="A449" s="9" t="s">
        <v>481</v>
      </c>
      <c r="B449" s="9" t="s">
        <v>23</v>
      </c>
      <c r="C449" s="9" t="s">
        <v>24</v>
      </c>
      <c r="D449" s="9" t="s">
        <v>25</v>
      </c>
      <c r="E449" s="9" t="s">
        <v>29</v>
      </c>
      <c r="F449" s="9" t="s">
        <v>44</v>
      </c>
      <c r="G449" s="9">
        <v>45.74</v>
      </c>
      <c r="H449" s="9">
        <v>3</v>
      </c>
      <c r="I449" s="9">
        <v>6.8609999999999998</v>
      </c>
      <c r="J449" s="9">
        <v>144.08099999999999</v>
      </c>
      <c r="K449" s="10">
        <v>43534</v>
      </c>
      <c r="L449" s="11">
        <v>0.73472222222222228</v>
      </c>
      <c r="M449" s="9" t="s">
        <v>31</v>
      </c>
      <c r="N449" s="9">
        <v>137.22</v>
      </c>
      <c r="O449" s="9">
        <v>6.5</v>
      </c>
    </row>
    <row r="450" spans="1:15">
      <c r="A450" s="9" t="s">
        <v>482</v>
      </c>
      <c r="B450" s="9" t="s">
        <v>40</v>
      </c>
      <c r="C450" s="9" t="s">
        <v>41</v>
      </c>
      <c r="D450" s="9" t="s">
        <v>18</v>
      </c>
      <c r="E450" s="9" t="s">
        <v>19</v>
      </c>
      <c r="F450" s="9" t="s">
        <v>20</v>
      </c>
      <c r="G450" s="9">
        <v>27.07</v>
      </c>
      <c r="H450" s="9">
        <v>1</v>
      </c>
      <c r="I450" s="9">
        <v>1.3534999999999999</v>
      </c>
      <c r="J450" s="9">
        <v>28.423500000000001</v>
      </c>
      <c r="K450" s="10">
        <v>43477</v>
      </c>
      <c r="L450" s="11">
        <v>0.83819444444444446</v>
      </c>
      <c r="M450" s="9" t="s">
        <v>31</v>
      </c>
      <c r="N450" s="9">
        <v>27.07</v>
      </c>
      <c r="O450" s="9">
        <v>5.3</v>
      </c>
    </row>
    <row r="451" spans="1:15">
      <c r="A451" s="9" t="s">
        <v>483</v>
      </c>
      <c r="B451" s="9" t="s">
        <v>40</v>
      </c>
      <c r="C451" s="9" t="s">
        <v>41</v>
      </c>
      <c r="D451" s="9" t="s">
        <v>18</v>
      </c>
      <c r="E451" s="9" t="s">
        <v>19</v>
      </c>
      <c r="F451" s="9" t="s">
        <v>34</v>
      </c>
      <c r="G451" s="9">
        <v>39.119999999999997</v>
      </c>
      <c r="H451" s="9">
        <v>1</v>
      </c>
      <c r="I451" s="9">
        <v>1.956</v>
      </c>
      <c r="J451" s="9">
        <v>41.076000000000001</v>
      </c>
      <c r="K451" s="10">
        <v>43550</v>
      </c>
      <c r="L451" s="11">
        <v>0.4597222222222222</v>
      </c>
      <c r="M451" s="9" t="s">
        <v>31</v>
      </c>
      <c r="N451" s="9">
        <v>39.119999999999997</v>
      </c>
      <c r="O451" s="9">
        <v>9.6</v>
      </c>
    </row>
    <row r="452" spans="1:15">
      <c r="A452" s="9" t="s">
        <v>484</v>
      </c>
      <c r="B452" s="9" t="s">
        <v>40</v>
      </c>
      <c r="C452" s="9" t="s">
        <v>41</v>
      </c>
      <c r="D452" s="9" t="s">
        <v>25</v>
      </c>
      <c r="E452" s="9" t="s">
        <v>19</v>
      </c>
      <c r="F452" s="9" t="s">
        <v>26</v>
      </c>
      <c r="G452" s="9">
        <v>74.709999999999994</v>
      </c>
      <c r="H452" s="9">
        <v>6</v>
      </c>
      <c r="I452" s="9">
        <v>22.413</v>
      </c>
      <c r="J452" s="9">
        <v>470.673</v>
      </c>
      <c r="K452" s="10">
        <v>43466</v>
      </c>
      <c r="L452" s="11">
        <v>0.79652777777777772</v>
      </c>
      <c r="M452" s="9" t="s">
        <v>27</v>
      </c>
      <c r="N452" s="9">
        <v>448.26</v>
      </c>
      <c r="O452" s="9">
        <v>6.7</v>
      </c>
    </row>
    <row r="453" spans="1:15">
      <c r="A453" s="9" t="s">
        <v>485</v>
      </c>
      <c r="B453" s="9" t="s">
        <v>40</v>
      </c>
      <c r="C453" s="9" t="s">
        <v>41</v>
      </c>
      <c r="D453" s="9" t="s">
        <v>25</v>
      </c>
      <c r="E453" s="9" t="s">
        <v>29</v>
      </c>
      <c r="F453" s="9" t="s">
        <v>26</v>
      </c>
      <c r="G453" s="9">
        <v>22.01</v>
      </c>
      <c r="H453" s="9">
        <v>6</v>
      </c>
      <c r="I453" s="9">
        <v>6.6029999999999998</v>
      </c>
      <c r="J453" s="9">
        <v>138.66300000000001</v>
      </c>
      <c r="K453" s="10">
        <v>43467</v>
      </c>
      <c r="L453" s="11">
        <v>0.78472222222222221</v>
      </c>
      <c r="M453" s="9" t="s">
        <v>27</v>
      </c>
      <c r="N453" s="9">
        <v>132.06</v>
      </c>
      <c r="O453" s="9">
        <v>7.6</v>
      </c>
    </row>
    <row r="454" spans="1:15">
      <c r="A454" s="9" t="s">
        <v>486</v>
      </c>
      <c r="B454" s="9" t="s">
        <v>16</v>
      </c>
      <c r="C454" s="9" t="s">
        <v>17</v>
      </c>
      <c r="D454" s="9" t="s">
        <v>25</v>
      </c>
      <c r="E454" s="9" t="s">
        <v>19</v>
      </c>
      <c r="F454" s="9" t="s">
        <v>42</v>
      </c>
      <c r="G454" s="9">
        <v>63.61</v>
      </c>
      <c r="H454" s="9">
        <v>5</v>
      </c>
      <c r="I454" s="9">
        <v>15.9025</v>
      </c>
      <c r="J454" s="9">
        <v>333.95249999999999</v>
      </c>
      <c r="K454" s="10">
        <v>43540</v>
      </c>
      <c r="L454" s="11">
        <v>0.52986111111111112</v>
      </c>
      <c r="M454" s="9" t="s">
        <v>21</v>
      </c>
      <c r="N454" s="9">
        <v>318.05</v>
      </c>
      <c r="O454" s="9">
        <v>4.8</v>
      </c>
    </row>
    <row r="455" spans="1:15">
      <c r="A455" s="9" t="s">
        <v>487</v>
      </c>
      <c r="B455" s="9" t="s">
        <v>16</v>
      </c>
      <c r="C455" s="9" t="s">
        <v>17</v>
      </c>
      <c r="D455" s="9" t="s">
        <v>25</v>
      </c>
      <c r="E455" s="9" t="s">
        <v>29</v>
      </c>
      <c r="F455" s="9" t="s">
        <v>20</v>
      </c>
      <c r="G455" s="9">
        <v>25</v>
      </c>
      <c r="H455" s="9">
        <v>1</v>
      </c>
      <c r="I455" s="9">
        <v>1.25</v>
      </c>
      <c r="J455" s="9">
        <v>26.25</v>
      </c>
      <c r="K455" s="10">
        <v>43527</v>
      </c>
      <c r="L455" s="11">
        <v>0.63124999999999998</v>
      </c>
      <c r="M455" s="9" t="s">
        <v>21</v>
      </c>
      <c r="N455" s="9">
        <v>25</v>
      </c>
      <c r="O455" s="9">
        <v>5.5</v>
      </c>
    </row>
    <row r="456" spans="1:15">
      <c r="A456" s="9" t="s">
        <v>488</v>
      </c>
      <c r="B456" s="9" t="s">
        <v>16</v>
      </c>
      <c r="C456" s="9" t="s">
        <v>17</v>
      </c>
      <c r="D456" s="9" t="s">
        <v>18</v>
      </c>
      <c r="E456" s="9" t="s">
        <v>29</v>
      </c>
      <c r="F456" s="9" t="s">
        <v>26</v>
      </c>
      <c r="G456" s="9">
        <v>20.77</v>
      </c>
      <c r="H456" s="9">
        <v>4</v>
      </c>
      <c r="I456" s="9">
        <v>4.1539999999999999</v>
      </c>
      <c r="J456" s="9">
        <v>87.233999999999995</v>
      </c>
      <c r="K456" s="10">
        <v>43496</v>
      </c>
      <c r="L456" s="11">
        <v>0.57430555555555551</v>
      </c>
      <c r="M456" s="9" t="s">
        <v>27</v>
      </c>
      <c r="N456" s="9">
        <v>83.08</v>
      </c>
      <c r="O456" s="9">
        <v>4.7</v>
      </c>
    </row>
    <row r="457" spans="1:15">
      <c r="A457" s="9" t="s">
        <v>489</v>
      </c>
      <c r="B457" s="9" t="s">
        <v>40</v>
      </c>
      <c r="C457" s="9" t="s">
        <v>41</v>
      </c>
      <c r="D457" s="9" t="s">
        <v>18</v>
      </c>
      <c r="E457" s="9" t="s">
        <v>19</v>
      </c>
      <c r="F457" s="9" t="s">
        <v>44</v>
      </c>
      <c r="G457" s="9">
        <v>29.56</v>
      </c>
      <c r="H457" s="9">
        <v>5</v>
      </c>
      <c r="I457" s="9">
        <v>7.39</v>
      </c>
      <c r="J457" s="9">
        <v>155.19</v>
      </c>
      <c r="K457" s="10">
        <v>43509</v>
      </c>
      <c r="L457" s="11">
        <v>0.70763888888888893</v>
      </c>
      <c r="M457" s="9" t="s">
        <v>27</v>
      </c>
      <c r="N457" s="9">
        <v>147.80000000000001</v>
      </c>
      <c r="O457" s="9">
        <v>6.9</v>
      </c>
    </row>
    <row r="458" spans="1:15">
      <c r="A458" s="9" t="s">
        <v>490</v>
      </c>
      <c r="B458" s="9" t="s">
        <v>40</v>
      </c>
      <c r="C458" s="9" t="s">
        <v>41</v>
      </c>
      <c r="D458" s="9" t="s">
        <v>18</v>
      </c>
      <c r="E458" s="9" t="s">
        <v>19</v>
      </c>
      <c r="F458" s="9" t="s">
        <v>42</v>
      </c>
      <c r="G458" s="9">
        <v>77.400000000000006</v>
      </c>
      <c r="H458" s="9">
        <v>9</v>
      </c>
      <c r="I458" s="9">
        <v>34.83</v>
      </c>
      <c r="J458" s="9">
        <v>731.43</v>
      </c>
      <c r="K458" s="10">
        <v>43511</v>
      </c>
      <c r="L458" s="11">
        <v>0.59375</v>
      </c>
      <c r="M458" s="9" t="s">
        <v>31</v>
      </c>
      <c r="N458" s="9">
        <v>696.6</v>
      </c>
      <c r="O458" s="9">
        <v>4.5</v>
      </c>
    </row>
    <row r="459" spans="1:15">
      <c r="A459" s="9" t="s">
        <v>491</v>
      </c>
      <c r="B459" s="9" t="s">
        <v>40</v>
      </c>
      <c r="C459" s="9" t="s">
        <v>41</v>
      </c>
      <c r="D459" s="9" t="s">
        <v>25</v>
      </c>
      <c r="E459" s="9" t="s">
        <v>29</v>
      </c>
      <c r="F459" s="9" t="s">
        <v>26</v>
      </c>
      <c r="G459" s="9">
        <v>79.39</v>
      </c>
      <c r="H459" s="9">
        <v>10</v>
      </c>
      <c r="I459" s="9">
        <v>39.695</v>
      </c>
      <c r="J459" s="9">
        <v>833.59500000000003</v>
      </c>
      <c r="K459" s="10">
        <v>43503</v>
      </c>
      <c r="L459" s="11">
        <v>0.85</v>
      </c>
      <c r="M459" s="9" t="s">
        <v>27</v>
      </c>
      <c r="N459" s="9">
        <v>793.9</v>
      </c>
      <c r="O459" s="9">
        <v>6.2</v>
      </c>
    </row>
    <row r="460" spans="1:15">
      <c r="A460" s="9" t="s">
        <v>492</v>
      </c>
      <c r="B460" s="9" t="s">
        <v>23</v>
      </c>
      <c r="C460" s="9" t="s">
        <v>24</v>
      </c>
      <c r="D460" s="9" t="s">
        <v>18</v>
      </c>
      <c r="E460" s="9" t="s">
        <v>19</v>
      </c>
      <c r="F460" s="9" t="s">
        <v>26</v>
      </c>
      <c r="G460" s="9">
        <v>46.57</v>
      </c>
      <c r="H460" s="9">
        <v>10</v>
      </c>
      <c r="I460" s="9">
        <v>23.285</v>
      </c>
      <c r="J460" s="9">
        <v>488.98500000000001</v>
      </c>
      <c r="K460" s="10">
        <v>43492</v>
      </c>
      <c r="L460" s="11">
        <v>0.58194444444444449</v>
      </c>
      <c r="M460" s="9" t="s">
        <v>27</v>
      </c>
      <c r="N460" s="9">
        <v>465.7</v>
      </c>
      <c r="O460" s="9">
        <v>7.6</v>
      </c>
    </row>
    <row r="461" spans="1:15">
      <c r="A461" s="9" t="s">
        <v>493</v>
      </c>
      <c r="B461" s="9" t="s">
        <v>23</v>
      </c>
      <c r="C461" s="9" t="s">
        <v>24</v>
      </c>
      <c r="D461" s="9" t="s">
        <v>25</v>
      </c>
      <c r="E461" s="9" t="s">
        <v>29</v>
      </c>
      <c r="F461" s="9" t="s">
        <v>42</v>
      </c>
      <c r="G461" s="9">
        <v>35.89</v>
      </c>
      <c r="H461" s="9">
        <v>1</v>
      </c>
      <c r="I461" s="9">
        <v>1.7945</v>
      </c>
      <c r="J461" s="9">
        <v>37.6845</v>
      </c>
      <c r="K461" s="10">
        <v>43519</v>
      </c>
      <c r="L461" s="11">
        <v>0.70277777777777772</v>
      </c>
      <c r="M461" s="9" t="s">
        <v>31</v>
      </c>
      <c r="N461" s="9">
        <v>35.89</v>
      </c>
      <c r="O461" s="9">
        <v>7.9</v>
      </c>
    </row>
    <row r="462" spans="1:15">
      <c r="A462" s="9" t="s">
        <v>494</v>
      </c>
      <c r="B462" s="9" t="s">
        <v>23</v>
      </c>
      <c r="C462" s="9" t="s">
        <v>24</v>
      </c>
      <c r="D462" s="9" t="s">
        <v>25</v>
      </c>
      <c r="E462" s="9" t="s">
        <v>29</v>
      </c>
      <c r="F462" s="9" t="s">
        <v>42</v>
      </c>
      <c r="G462" s="9">
        <v>40.520000000000003</v>
      </c>
      <c r="H462" s="9">
        <v>5</v>
      </c>
      <c r="I462" s="9">
        <v>10.130000000000001</v>
      </c>
      <c r="J462" s="9">
        <v>212.73</v>
      </c>
      <c r="K462" s="10">
        <v>43499</v>
      </c>
      <c r="L462" s="11">
        <v>0.6381944444444444</v>
      </c>
      <c r="M462" s="9" t="s">
        <v>27</v>
      </c>
      <c r="N462" s="9">
        <v>202.6</v>
      </c>
      <c r="O462" s="9">
        <v>4.5</v>
      </c>
    </row>
    <row r="463" spans="1:15">
      <c r="A463" s="9" t="s">
        <v>495</v>
      </c>
      <c r="B463" s="9" t="s">
        <v>40</v>
      </c>
      <c r="C463" s="9" t="s">
        <v>41</v>
      </c>
      <c r="D463" s="9" t="s">
        <v>18</v>
      </c>
      <c r="E463" s="9" t="s">
        <v>19</v>
      </c>
      <c r="F463" s="9" t="s">
        <v>42</v>
      </c>
      <c r="G463" s="9">
        <v>73.05</v>
      </c>
      <c r="H463" s="9">
        <v>10</v>
      </c>
      <c r="I463" s="9">
        <v>36.524999999999999</v>
      </c>
      <c r="J463" s="9">
        <v>767.02499999999998</v>
      </c>
      <c r="K463" s="10">
        <v>43527</v>
      </c>
      <c r="L463" s="11">
        <v>0.51736111111111116</v>
      </c>
      <c r="M463" s="9" t="s">
        <v>31</v>
      </c>
      <c r="N463" s="9">
        <v>730.5</v>
      </c>
      <c r="O463" s="9">
        <v>8.6999999999999993</v>
      </c>
    </row>
    <row r="464" spans="1:15">
      <c r="A464" s="9" t="s">
        <v>496</v>
      </c>
      <c r="B464" s="9" t="s">
        <v>23</v>
      </c>
      <c r="C464" s="9" t="s">
        <v>24</v>
      </c>
      <c r="D464" s="9" t="s">
        <v>25</v>
      </c>
      <c r="E464" s="9" t="s">
        <v>19</v>
      </c>
      <c r="F464" s="9" t="s">
        <v>34</v>
      </c>
      <c r="G464" s="9">
        <v>73.95</v>
      </c>
      <c r="H464" s="9">
        <v>4</v>
      </c>
      <c r="I464" s="9">
        <v>14.79</v>
      </c>
      <c r="J464" s="9">
        <v>310.58999999999997</v>
      </c>
      <c r="K464" s="10">
        <v>43499</v>
      </c>
      <c r="L464" s="11">
        <v>0.41805555555555557</v>
      </c>
      <c r="M464" s="9" t="s">
        <v>27</v>
      </c>
      <c r="N464" s="9">
        <v>295.8</v>
      </c>
      <c r="O464" s="9">
        <v>6.1</v>
      </c>
    </row>
    <row r="465" spans="1:15">
      <c r="A465" s="9" t="s">
        <v>497</v>
      </c>
      <c r="B465" s="9" t="s">
        <v>23</v>
      </c>
      <c r="C465" s="9" t="s">
        <v>24</v>
      </c>
      <c r="D465" s="9" t="s">
        <v>18</v>
      </c>
      <c r="E465" s="9" t="s">
        <v>19</v>
      </c>
      <c r="F465" s="9" t="s">
        <v>42</v>
      </c>
      <c r="G465" s="9">
        <v>22.62</v>
      </c>
      <c r="H465" s="9">
        <v>1</v>
      </c>
      <c r="I465" s="9">
        <v>1.131</v>
      </c>
      <c r="J465" s="9">
        <v>23.751000000000001</v>
      </c>
      <c r="K465" s="10">
        <v>43541</v>
      </c>
      <c r="L465" s="11">
        <v>0.79027777777777775</v>
      </c>
      <c r="M465" s="9" t="s">
        <v>27</v>
      </c>
      <c r="N465" s="9">
        <v>22.62</v>
      </c>
      <c r="O465" s="9">
        <v>6.4</v>
      </c>
    </row>
    <row r="466" spans="1:15">
      <c r="A466" s="9" t="s">
        <v>498</v>
      </c>
      <c r="B466" s="9" t="s">
        <v>16</v>
      </c>
      <c r="C466" s="9" t="s">
        <v>17</v>
      </c>
      <c r="D466" s="9" t="s">
        <v>18</v>
      </c>
      <c r="E466" s="9" t="s">
        <v>29</v>
      </c>
      <c r="F466" s="9" t="s">
        <v>42</v>
      </c>
      <c r="G466" s="9">
        <v>51.34</v>
      </c>
      <c r="H466" s="9">
        <v>5</v>
      </c>
      <c r="I466" s="9">
        <v>12.835000000000001</v>
      </c>
      <c r="J466" s="9">
        <v>269.53500000000003</v>
      </c>
      <c r="K466" s="10">
        <v>43552</v>
      </c>
      <c r="L466" s="11">
        <v>0.64652777777777781</v>
      </c>
      <c r="M466" s="9" t="s">
        <v>31</v>
      </c>
      <c r="N466" s="9">
        <v>256.7</v>
      </c>
      <c r="O466" s="9">
        <v>9.1</v>
      </c>
    </row>
    <row r="467" spans="1:15">
      <c r="A467" s="9" t="s">
        <v>499</v>
      </c>
      <c r="B467" s="9" t="s">
        <v>23</v>
      </c>
      <c r="C467" s="9" t="s">
        <v>24</v>
      </c>
      <c r="D467" s="9" t="s">
        <v>18</v>
      </c>
      <c r="E467" s="9" t="s">
        <v>19</v>
      </c>
      <c r="F467" s="9" t="s">
        <v>34</v>
      </c>
      <c r="G467" s="9">
        <v>54.55</v>
      </c>
      <c r="H467" s="9">
        <v>10</v>
      </c>
      <c r="I467" s="9">
        <v>27.274999999999999</v>
      </c>
      <c r="J467" s="9">
        <v>572.77499999999998</v>
      </c>
      <c r="K467" s="10">
        <v>43526</v>
      </c>
      <c r="L467" s="11">
        <v>0.47361111111111109</v>
      </c>
      <c r="M467" s="9" t="s">
        <v>31</v>
      </c>
      <c r="N467" s="9">
        <v>545.5</v>
      </c>
      <c r="O467" s="9">
        <v>7.1</v>
      </c>
    </row>
    <row r="468" spans="1:15">
      <c r="A468" s="9" t="s">
        <v>500</v>
      </c>
      <c r="B468" s="9" t="s">
        <v>23</v>
      </c>
      <c r="C468" s="9" t="s">
        <v>24</v>
      </c>
      <c r="D468" s="9" t="s">
        <v>18</v>
      </c>
      <c r="E468" s="9" t="s">
        <v>19</v>
      </c>
      <c r="F468" s="9" t="s">
        <v>20</v>
      </c>
      <c r="G468" s="9">
        <v>37.15</v>
      </c>
      <c r="H468" s="9">
        <v>7</v>
      </c>
      <c r="I468" s="9">
        <v>13.0025</v>
      </c>
      <c r="J468" s="9">
        <v>273.05250000000001</v>
      </c>
      <c r="K468" s="10">
        <v>43504</v>
      </c>
      <c r="L468" s="11">
        <v>0.55000000000000004</v>
      </c>
      <c r="M468" s="9" t="s">
        <v>31</v>
      </c>
      <c r="N468" s="9">
        <v>260.05</v>
      </c>
      <c r="O468" s="9">
        <v>7.7</v>
      </c>
    </row>
    <row r="469" spans="1:15">
      <c r="A469" s="9" t="s">
        <v>501</v>
      </c>
      <c r="B469" s="9" t="s">
        <v>40</v>
      </c>
      <c r="C469" s="9" t="s">
        <v>41</v>
      </c>
      <c r="D469" s="9" t="s">
        <v>25</v>
      </c>
      <c r="E469" s="9" t="s">
        <v>29</v>
      </c>
      <c r="F469" s="9" t="s">
        <v>34</v>
      </c>
      <c r="G469" s="9">
        <v>37.020000000000003</v>
      </c>
      <c r="H469" s="9">
        <v>6</v>
      </c>
      <c r="I469" s="9">
        <v>11.106</v>
      </c>
      <c r="J469" s="9">
        <v>233.226</v>
      </c>
      <c r="K469" s="10">
        <v>43546</v>
      </c>
      <c r="L469" s="11">
        <v>0.7729166666666667</v>
      </c>
      <c r="M469" s="9" t="s">
        <v>27</v>
      </c>
      <c r="N469" s="9">
        <v>222.12</v>
      </c>
      <c r="O469" s="9">
        <v>4.5</v>
      </c>
    </row>
    <row r="470" spans="1:15">
      <c r="A470" s="9" t="s">
        <v>502</v>
      </c>
      <c r="B470" s="9" t="s">
        <v>23</v>
      </c>
      <c r="C470" s="9" t="s">
        <v>24</v>
      </c>
      <c r="D470" s="9" t="s">
        <v>25</v>
      </c>
      <c r="E470" s="9" t="s">
        <v>29</v>
      </c>
      <c r="F470" s="9" t="s">
        <v>42</v>
      </c>
      <c r="G470" s="9">
        <v>21.58</v>
      </c>
      <c r="H470" s="9">
        <v>1</v>
      </c>
      <c r="I470" s="9">
        <v>1.079</v>
      </c>
      <c r="J470" s="9">
        <v>22.658999999999999</v>
      </c>
      <c r="K470" s="10">
        <v>43505</v>
      </c>
      <c r="L470" s="11">
        <v>0.41805555555555557</v>
      </c>
      <c r="M470" s="9" t="s">
        <v>21</v>
      </c>
      <c r="N470" s="9">
        <v>21.58</v>
      </c>
      <c r="O470" s="9">
        <v>7.2</v>
      </c>
    </row>
    <row r="471" spans="1:15">
      <c r="A471" s="9" t="s">
        <v>503</v>
      </c>
      <c r="B471" s="9" t="s">
        <v>23</v>
      </c>
      <c r="C471" s="9" t="s">
        <v>24</v>
      </c>
      <c r="D471" s="9" t="s">
        <v>18</v>
      </c>
      <c r="E471" s="9" t="s">
        <v>19</v>
      </c>
      <c r="F471" s="9" t="s">
        <v>26</v>
      </c>
      <c r="G471" s="9">
        <v>98.84</v>
      </c>
      <c r="H471" s="9">
        <v>1</v>
      </c>
      <c r="I471" s="9">
        <v>4.9420000000000002</v>
      </c>
      <c r="J471" s="9">
        <v>103.782</v>
      </c>
      <c r="K471" s="10">
        <v>43511</v>
      </c>
      <c r="L471" s="11">
        <v>0.47291666666666665</v>
      </c>
      <c r="M471" s="9" t="s">
        <v>27</v>
      </c>
      <c r="N471" s="9">
        <v>98.84</v>
      </c>
      <c r="O471" s="9">
        <v>8.4</v>
      </c>
    </row>
    <row r="472" spans="1:15">
      <c r="A472" s="9" t="s">
        <v>504</v>
      </c>
      <c r="B472" s="9" t="s">
        <v>23</v>
      </c>
      <c r="C472" s="9" t="s">
        <v>24</v>
      </c>
      <c r="D472" s="9" t="s">
        <v>18</v>
      </c>
      <c r="E472" s="9" t="s">
        <v>19</v>
      </c>
      <c r="F472" s="9" t="s">
        <v>30</v>
      </c>
      <c r="G472" s="9">
        <v>83.77</v>
      </c>
      <c r="H472" s="9">
        <v>6</v>
      </c>
      <c r="I472" s="9">
        <v>25.131</v>
      </c>
      <c r="J472" s="9">
        <v>527.75099999999998</v>
      </c>
      <c r="K472" s="10">
        <v>43488</v>
      </c>
      <c r="L472" s="11">
        <v>0.50694444444444442</v>
      </c>
      <c r="M472" s="9" t="s">
        <v>21</v>
      </c>
      <c r="N472" s="9">
        <v>502.62</v>
      </c>
      <c r="O472" s="9">
        <v>5.4</v>
      </c>
    </row>
    <row r="473" spans="1:15">
      <c r="A473" s="9" t="s">
        <v>505</v>
      </c>
      <c r="B473" s="9" t="s">
        <v>16</v>
      </c>
      <c r="C473" s="9" t="s">
        <v>17</v>
      </c>
      <c r="D473" s="9" t="s">
        <v>18</v>
      </c>
      <c r="E473" s="9" t="s">
        <v>19</v>
      </c>
      <c r="F473" s="9" t="s">
        <v>34</v>
      </c>
      <c r="G473" s="9">
        <v>40.049999999999997</v>
      </c>
      <c r="H473" s="9">
        <v>4</v>
      </c>
      <c r="I473" s="9">
        <v>8.01</v>
      </c>
      <c r="J473" s="9">
        <v>168.21</v>
      </c>
      <c r="K473" s="10">
        <v>43490</v>
      </c>
      <c r="L473" s="11">
        <v>0.4861111111111111</v>
      </c>
      <c r="M473" s="9" t="s">
        <v>27</v>
      </c>
      <c r="N473" s="9">
        <v>160.19999999999999</v>
      </c>
      <c r="O473" s="9">
        <v>9.6999999999999993</v>
      </c>
    </row>
    <row r="474" spans="1:15">
      <c r="A474" s="9" t="s">
        <v>506</v>
      </c>
      <c r="B474" s="9" t="s">
        <v>16</v>
      </c>
      <c r="C474" s="9" t="s">
        <v>17</v>
      </c>
      <c r="D474" s="9" t="s">
        <v>18</v>
      </c>
      <c r="E474" s="9" t="s">
        <v>29</v>
      </c>
      <c r="F474" s="9" t="s">
        <v>44</v>
      </c>
      <c r="G474" s="9">
        <v>43.13</v>
      </c>
      <c r="H474" s="9">
        <v>10</v>
      </c>
      <c r="I474" s="9">
        <v>21.565000000000001</v>
      </c>
      <c r="J474" s="9">
        <v>452.86500000000001</v>
      </c>
      <c r="K474" s="10">
        <v>43498</v>
      </c>
      <c r="L474" s="11">
        <v>0.77152777777777781</v>
      </c>
      <c r="M474" s="9" t="s">
        <v>31</v>
      </c>
      <c r="N474" s="9">
        <v>431.3</v>
      </c>
      <c r="O474" s="9">
        <v>5.5</v>
      </c>
    </row>
    <row r="475" spans="1:15">
      <c r="A475" s="9" t="s">
        <v>507</v>
      </c>
      <c r="B475" s="9" t="s">
        <v>40</v>
      </c>
      <c r="C475" s="9" t="s">
        <v>41</v>
      </c>
      <c r="D475" s="9" t="s">
        <v>18</v>
      </c>
      <c r="E475" s="9" t="s">
        <v>29</v>
      </c>
      <c r="F475" s="9" t="s">
        <v>20</v>
      </c>
      <c r="G475" s="9">
        <v>72.569999999999993</v>
      </c>
      <c r="H475" s="9">
        <v>8</v>
      </c>
      <c r="I475" s="9">
        <v>29.027999999999999</v>
      </c>
      <c r="J475" s="9">
        <v>609.58799999999997</v>
      </c>
      <c r="K475" s="10">
        <v>43554</v>
      </c>
      <c r="L475" s="11">
        <v>0.74861111111111112</v>
      </c>
      <c r="M475" s="9" t="s">
        <v>27</v>
      </c>
      <c r="N475" s="9">
        <v>580.55999999999995</v>
      </c>
      <c r="O475" s="9">
        <v>4.5999999999999996</v>
      </c>
    </row>
    <row r="476" spans="1:15">
      <c r="A476" s="9" t="s">
        <v>508</v>
      </c>
      <c r="B476" s="9" t="s">
        <v>16</v>
      </c>
      <c r="C476" s="9" t="s">
        <v>17</v>
      </c>
      <c r="D476" s="9" t="s">
        <v>18</v>
      </c>
      <c r="E476" s="9" t="s">
        <v>19</v>
      </c>
      <c r="F476" s="9" t="s">
        <v>26</v>
      </c>
      <c r="G476" s="9">
        <v>64.44</v>
      </c>
      <c r="H476" s="9">
        <v>5</v>
      </c>
      <c r="I476" s="9">
        <v>16.11</v>
      </c>
      <c r="J476" s="9">
        <v>338.31</v>
      </c>
      <c r="K476" s="10">
        <v>43554</v>
      </c>
      <c r="L476" s="11">
        <v>0.71111111111111114</v>
      </c>
      <c r="M476" s="9" t="s">
        <v>27</v>
      </c>
      <c r="N476" s="9">
        <v>322.2</v>
      </c>
      <c r="O476" s="9">
        <v>6.6</v>
      </c>
    </row>
    <row r="477" spans="1:15">
      <c r="A477" s="9" t="s">
        <v>509</v>
      </c>
      <c r="B477" s="9" t="s">
        <v>16</v>
      </c>
      <c r="C477" s="9" t="s">
        <v>17</v>
      </c>
      <c r="D477" s="9" t="s">
        <v>25</v>
      </c>
      <c r="E477" s="9" t="s">
        <v>29</v>
      </c>
      <c r="F477" s="9" t="s">
        <v>20</v>
      </c>
      <c r="G477" s="9">
        <v>65.180000000000007</v>
      </c>
      <c r="H477" s="9">
        <v>3</v>
      </c>
      <c r="I477" s="9">
        <v>9.7769999999999992</v>
      </c>
      <c r="J477" s="9">
        <v>205.31700000000001</v>
      </c>
      <c r="K477" s="10">
        <v>43521</v>
      </c>
      <c r="L477" s="11">
        <v>0.85763888888888884</v>
      </c>
      <c r="M477" s="9" t="s">
        <v>31</v>
      </c>
      <c r="N477" s="9">
        <v>195.54</v>
      </c>
      <c r="O477" s="9">
        <v>6.3</v>
      </c>
    </row>
    <row r="478" spans="1:15">
      <c r="A478" s="9" t="s">
        <v>510</v>
      </c>
      <c r="B478" s="9" t="s">
        <v>16</v>
      </c>
      <c r="C478" s="9" t="s">
        <v>17</v>
      </c>
      <c r="D478" s="9" t="s">
        <v>25</v>
      </c>
      <c r="E478" s="9" t="s">
        <v>19</v>
      </c>
      <c r="F478" s="9" t="s">
        <v>34</v>
      </c>
      <c r="G478" s="9">
        <v>33.26</v>
      </c>
      <c r="H478" s="9">
        <v>5</v>
      </c>
      <c r="I478" s="9">
        <v>8.3149999999999995</v>
      </c>
      <c r="J478" s="9">
        <v>174.61500000000001</v>
      </c>
      <c r="K478" s="10">
        <v>43542</v>
      </c>
      <c r="L478" s="11">
        <v>0.67361111111111116</v>
      </c>
      <c r="M478" s="9" t="s">
        <v>31</v>
      </c>
      <c r="N478" s="9">
        <v>166.3</v>
      </c>
      <c r="O478" s="9">
        <v>4.2</v>
      </c>
    </row>
    <row r="479" spans="1:15">
      <c r="A479" s="9" t="s">
        <v>511</v>
      </c>
      <c r="B479" s="9" t="s">
        <v>23</v>
      </c>
      <c r="C479" s="9" t="s">
        <v>24</v>
      </c>
      <c r="D479" s="9" t="s">
        <v>25</v>
      </c>
      <c r="E479" s="9" t="s">
        <v>29</v>
      </c>
      <c r="F479" s="9" t="s">
        <v>26</v>
      </c>
      <c r="G479" s="9">
        <v>84.07</v>
      </c>
      <c r="H479" s="9">
        <v>4</v>
      </c>
      <c r="I479" s="9">
        <v>16.814</v>
      </c>
      <c r="J479" s="9">
        <v>353.09399999999999</v>
      </c>
      <c r="K479" s="10">
        <v>43531</v>
      </c>
      <c r="L479" s="11">
        <v>0.70416666666666672</v>
      </c>
      <c r="M479" s="9" t="s">
        <v>21</v>
      </c>
      <c r="N479" s="9">
        <v>336.28</v>
      </c>
      <c r="O479" s="9">
        <v>4.4000000000000004</v>
      </c>
    </row>
    <row r="480" spans="1:15">
      <c r="A480" s="9" t="s">
        <v>512</v>
      </c>
      <c r="B480" s="9" t="s">
        <v>40</v>
      </c>
      <c r="C480" s="9" t="s">
        <v>41</v>
      </c>
      <c r="D480" s="9" t="s">
        <v>25</v>
      </c>
      <c r="E480" s="9" t="s">
        <v>29</v>
      </c>
      <c r="F480" s="9" t="s">
        <v>34</v>
      </c>
      <c r="G480" s="9">
        <v>34.369999999999997</v>
      </c>
      <c r="H480" s="9">
        <v>10</v>
      </c>
      <c r="I480" s="9">
        <v>17.184999999999999</v>
      </c>
      <c r="J480" s="9">
        <v>360.88499999999999</v>
      </c>
      <c r="K480" s="10">
        <v>43540</v>
      </c>
      <c r="L480" s="11">
        <v>0.42430555555555555</v>
      </c>
      <c r="M480" s="9" t="s">
        <v>21</v>
      </c>
      <c r="N480" s="9">
        <v>343.7</v>
      </c>
      <c r="O480" s="9">
        <v>6.7</v>
      </c>
    </row>
    <row r="481" spans="1:15">
      <c r="A481" s="9" t="s">
        <v>513</v>
      </c>
      <c r="B481" s="9" t="s">
        <v>16</v>
      </c>
      <c r="C481" s="9" t="s">
        <v>17</v>
      </c>
      <c r="D481" s="9" t="s">
        <v>25</v>
      </c>
      <c r="E481" s="9" t="s">
        <v>29</v>
      </c>
      <c r="F481" s="9" t="s">
        <v>26</v>
      </c>
      <c r="G481" s="9">
        <v>38.6</v>
      </c>
      <c r="H481" s="9">
        <v>1</v>
      </c>
      <c r="I481" s="9">
        <v>1.93</v>
      </c>
      <c r="J481" s="9">
        <v>40.53</v>
      </c>
      <c r="K481" s="10">
        <v>43494</v>
      </c>
      <c r="L481" s="11">
        <v>0.47638888888888886</v>
      </c>
      <c r="M481" s="9" t="s">
        <v>21</v>
      </c>
      <c r="N481" s="9">
        <v>38.6</v>
      </c>
      <c r="O481" s="9">
        <v>6.7</v>
      </c>
    </row>
    <row r="482" spans="1:15">
      <c r="A482" s="9" t="s">
        <v>514</v>
      </c>
      <c r="B482" s="9" t="s">
        <v>23</v>
      </c>
      <c r="C482" s="9" t="s">
        <v>24</v>
      </c>
      <c r="D482" s="9" t="s">
        <v>25</v>
      </c>
      <c r="E482" s="9" t="s">
        <v>29</v>
      </c>
      <c r="F482" s="9" t="s">
        <v>42</v>
      </c>
      <c r="G482" s="9">
        <v>65.97</v>
      </c>
      <c r="H482" s="9">
        <v>8</v>
      </c>
      <c r="I482" s="9">
        <v>26.388000000000002</v>
      </c>
      <c r="J482" s="9">
        <v>554.14800000000002</v>
      </c>
      <c r="K482" s="10">
        <v>43498</v>
      </c>
      <c r="L482" s="11">
        <v>0.85347222222222219</v>
      </c>
      <c r="M482" s="9" t="s">
        <v>27</v>
      </c>
      <c r="N482" s="9">
        <v>527.76</v>
      </c>
      <c r="O482" s="9">
        <v>8.4</v>
      </c>
    </row>
    <row r="483" spans="1:15">
      <c r="A483" s="9" t="s">
        <v>515</v>
      </c>
      <c r="B483" s="9" t="s">
        <v>23</v>
      </c>
      <c r="C483" s="9" t="s">
        <v>24</v>
      </c>
      <c r="D483" s="9" t="s">
        <v>25</v>
      </c>
      <c r="E483" s="9" t="s">
        <v>19</v>
      </c>
      <c r="F483" s="9" t="s">
        <v>26</v>
      </c>
      <c r="G483" s="9">
        <v>32.799999999999997</v>
      </c>
      <c r="H483" s="9">
        <v>10</v>
      </c>
      <c r="I483" s="9">
        <v>16.399999999999999</v>
      </c>
      <c r="J483" s="9">
        <v>344.4</v>
      </c>
      <c r="K483" s="10">
        <v>43511</v>
      </c>
      <c r="L483" s="11">
        <v>0.5083333333333333</v>
      </c>
      <c r="M483" s="9" t="s">
        <v>27</v>
      </c>
      <c r="N483" s="9">
        <v>328</v>
      </c>
      <c r="O483" s="9">
        <v>6.2</v>
      </c>
    </row>
    <row r="484" spans="1:15">
      <c r="A484" s="9" t="s">
        <v>516</v>
      </c>
      <c r="B484" s="9" t="s">
        <v>16</v>
      </c>
      <c r="C484" s="9" t="s">
        <v>17</v>
      </c>
      <c r="D484" s="9" t="s">
        <v>25</v>
      </c>
      <c r="E484" s="9" t="s">
        <v>29</v>
      </c>
      <c r="F484" s="9" t="s">
        <v>34</v>
      </c>
      <c r="G484" s="9">
        <v>37.14</v>
      </c>
      <c r="H484" s="9">
        <v>5</v>
      </c>
      <c r="I484" s="9">
        <v>9.2850000000000001</v>
      </c>
      <c r="J484" s="9">
        <v>194.98500000000001</v>
      </c>
      <c r="K484" s="10">
        <v>43473</v>
      </c>
      <c r="L484" s="11">
        <v>0.54513888888888884</v>
      </c>
      <c r="M484" s="9" t="s">
        <v>21</v>
      </c>
      <c r="N484" s="9">
        <v>185.7</v>
      </c>
      <c r="O484" s="9">
        <v>5</v>
      </c>
    </row>
    <row r="485" spans="1:15">
      <c r="A485" s="9" t="s">
        <v>517</v>
      </c>
      <c r="B485" s="9" t="s">
        <v>40</v>
      </c>
      <c r="C485" s="9" t="s">
        <v>41</v>
      </c>
      <c r="D485" s="9" t="s">
        <v>18</v>
      </c>
      <c r="E485" s="9" t="s">
        <v>29</v>
      </c>
      <c r="F485" s="9" t="s">
        <v>30</v>
      </c>
      <c r="G485" s="9">
        <v>60.38</v>
      </c>
      <c r="H485" s="9">
        <v>10</v>
      </c>
      <c r="I485" s="9">
        <v>30.19</v>
      </c>
      <c r="J485" s="9">
        <v>633.99</v>
      </c>
      <c r="K485" s="10">
        <v>43508</v>
      </c>
      <c r="L485" s="11">
        <v>0.67986111111111114</v>
      </c>
      <c r="M485" s="9" t="s">
        <v>27</v>
      </c>
      <c r="N485" s="9">
        <v>603.79999999999995</v>
      </c>
      <c r="O485" s="9">
        <v>6</v>
      </c>
    </row>
    <row r="486" spans="1:15">
      <c r="A486" s="9" t="s">
        <v>518</v>
      </c>
      <c r="B486" s="9" t="s">
        <v>23</v>
      </c>
      <c r="C486" s="9" t="s">
        <v>24</v>
      </c>
      <c r="D486" s="9" t="s">
        <v>18</v>
      </c>
      <c r="E486" s="9" t="s">
        <v>19</v>
      </c>
      <c r="F486" s="9" t="s">
        <v>34</v>
      </c>
      <c r="G486" s="9">
        <v>36.979999999999997</v>
      </c>
      <c r="H486" s="9">
        <v>10</v>
      </c>
      <c r="I486" s="9">
        <v>18.489999999999998</v>
      </c>
      <c r="J486" s="9">
        <v>388.29</v>
      </c>
      <c r="K486" s="10">
        <v>43466</v>
      </c>
      <c r="L486" s="11">
        <v>0.82499999999999996</v>
      </c>
      <c r="M486" s="9" t="s">
        <v>31</v>
      </c>
      <c r="N486" s="9">
        <v>369.8</v>
      </c>
      <c r="O486" s="9">
        <v>7</v>
      </c>
    </row>
    <row r="487" spans="1:15">
      <c r="A487" s="9" t="s">
        <v>519</v>
      </c>
      <c r="B487" s="9" t="s">
        <v>40</v>
      </c>
      <c r="C487" s="9" t="s">
        <v>41</v>
      </c>
      <c r="D487" s="9" t="s">
        <v>18</v>
      </c>
      <c r="E487" s="9" t="s">
        <v>19</v>
      </c>
      <c r="F487" s="9" t="s">
        <v>34</v>
      </c>
      <c r="G487" s="9">
        <v>49.49</v>
      </c>
      <c r="H487" s="9">
        <v>4</v>
      </c>
      <c r="I487" s="9">
        <v>9.8979999999999997</v>
      </c>
      <c r="J487" s="9">
        <v>207.858</v>
      </c>
      <c r="K487" s="10">
        <v>43545</v>
      </c>
      <c r="L487" s="11">
        <v>0.64236111111111116</v>
      </c>
      <c r="M487" s="9" t="s">
        <v>21</v>
      </c>
      <c r="N487" s="9">
        <v>197.96</v>
      </c>
      <c r="O487" s="9">
        <v>6.6</v>
      </c>
    </row>
    <row r="488" spans="1:15">
      <c r="A488" s="9" t="s">
        <v>520</v>
      </c>
      <c r="B488" s="9" t="s">
        <v>40</v>
      </c>
      <c r="C488" s="9" t="s">
        <v>41</v>
      </c>
      <c r="D488" s="9" t="s">
        <v>25</v>
      </c>
      <c r="E488" s="9" t="s">
        <v>19</v>
      </c>
      <c r="F488" s="9" t="s">
        <v>44</v>
      </c>
      <c r="G488" s="9">
        <v>41.09</v>
      </c>
      <c r="H488" s="9">
        <v>10</v>
      </c>
      <c r="I488" s="9">
        <v>20.545000000000002</v>
      </c>
      <c r="J488" s="9">
        <v>431.44499999999999</v>
      </c>
      <c r="K488" s="10">
        <v>43524</v>
      </c>
      <c r="L488" s="11">
        <v>0.61250000000000004</v>
      </c>
      <c r="M488" s="9" t="s">
        <v>27</v>
      </c>
      <c r="N488" s="9">
        <v>410.9</v>
      </c>
      <c r="O488" s="9">
        <v>7.3</v>
      </c>
    </row>
    <row r="489" spans="1:15">
      <c r="A489" s="9" t="s">
        <v>521</v>
      </c>
      <c r="B489" s="9" t="s">
        <v>16</v>
      </c>
      <c r="C489" s="9" t="s">
        <v>17</v>
      </c>
      <c r="D489" s="9" t="s">
        <v>25</v>
      </c>
      <c r="E489" s="9" t="s">
        <v>29</v>
      </c>
      <c r="F489" s="9" t="s">
        <v>44</v>
      </c>
      <c r="G489" s="9">
        <v>37.15</v>
      </c>
      <c r="H489" s="9">
        <v>4</v>
      </c>
      <c r="I489" s="9">
        <v>7.43</v>
      </c>
      <c r="J489" s="9">
        <v>156.03</v>
      </c>
      <c r="K489" s="10">
        <v>43547</v>
      </c>
      <c r="L489" s="11">
        <v>0.79097222222222219</v>
      </c>
      <c r="M489" s="9" t="s">
        <v>21</v>
      </c>
      <c r="N489" s="9">
        <v>148.6</v>
      </c>
      <c r="O489" s="9">
        <v>8.3000000000000007</v>
      </c>
    </row>
    <row r="490" spans="1:15">
      <c r="A490" s="9" t="s">
        <v>522</v>
      </c>
      <c r="B490" s="9" t="s">
        <v>23</v>
      </c>
      <c r="C490" s="9" t="s">
        <v>24</v>
      </c>
      <c r="D490" s="9" t="s">
        <v>25</v>
      </c>
      <c r="E490" s="9" t="s">
        <v>29</v>
      </c>
      <c r="F490" s="9" t="s">
        <v>30</v>
      </c>
      <c r="G490" s="9">
        <v>22.96</v>
      </c>
      <c r="H490" s="9">
        <v>1</v>
      </c>
      <c r="I490" s="9">
        <v>1.1479999999999999</v>
      </c>
      <c r="J490" s="9">
        <v>24.108000000000001</v>
      </c>
      <c r="K490" s="10">
        <v>43495</v>
      </c>
      <c r="L490" s="11">
        <v>0.86597222222222225</v>
      </c>
      <c r="M490" s="9" t="s">
        <v>27</v>
      </c>
      <c r="N490" s="9">
        <v>22.96</v>
      </c>
      <c r="O490" s="9">
        <v>4.3</v>
      </c>
    </row>
    <row r="491" spans="1:15">
      <c r="A491" s="9" t="s">
        <v>523</v>
      </c>
      <c r="B491" s="9" t="s">
        <v>40</v>
      </c>
      <c r="C491" s="9" t="s">
        <v>41</v>
      </c>
      <c r="D491" s="9" t="s">
        <v>18</v>
      </c>
      <c r="E491" s="9" t="s">
        <v>19</v>
      </c>
      <c r="F491" s="9" t="s">
        <v>30</v>
      </c>
      <c r="G491" s="9">
        <v>77.680000000000007</v>
      </c>
      <c r="H491" s="9">
        <v>9</v>
      </c>
      <c r="I491" s="9">
        <v>34.956000000000003</v>
      </c>
      <c r="J491" s="9">
        <v>734.07600000000002</v>
      </c>
      <c r="K491" s="10">
        <v>43500</v>
      </c>
      <c r="L491" s="11">
        <v>0.55625000000000002</v>
      </c>
      <c r="M491" s="9" t="s">
        <v>21</v>
      </c>
      <c r="N491" s="9">
        <v>699.12</v>
      </c>
      <c r="O491" s="9">
        <v>9.8000000000000007</v>
      </c>
    </row>
    <row r="492" spans="1:15">
      <c r="A492" s="9" t="s">
        <v>524</v>
      </c>
      <c r="B492" s="9" t="s">
        <v>40</v>
      </c>
      <c r="C492" s="9" t="s">
        <v>41</v>
      </c>
      <c r="D492" s="9" t="s">
        <v>25</v>
      </c>
      <c r="E492" s="9" t="s">
        <v>19</v>
      </c>
      <c r="F492" s="9" t="s">
        <v>44</v>
      </c>
      <c r="G492" s="9">
        <v>34.700000000000003</v>
      </c>
      <c r="H492" s="9">
        <v>2</v>
      </c>
      <c r="I492" s="9">
        <v>3.47</v>
      </c>
      <c r="J492" s="9">
        <v>72.87</v>
      </c>
      <c r="K492" s="10">
        <v>43537</v>
      </c>
      <c r="L492" s="11">
        <v>0.82499999999999996</v>
      </c>
      <c r="M492" s="9" t="s">
        <v>21</v>
      </c>
      <c r="N492" s="9">
        <v>69.400000000000006</v>
      </c>
      <c r="O492" s="9">
        <v>8.1999999999999993</v>
      </c>
    </row>
    <row r="493" spans="1:15">
      <c r="A493" s="9" t="s">
        <v>525</v>
      </c>
      <c r="B493" s="9" t="s">
        <v>16</v>
      </c>
      <c r="C493" s="9" t="s">
        <v>17</v>
      </c>
      <c r="D493" s="9" t="s">
        <v>18</v>
      </c>
      <c r="E493" s="9" t="s">
        <v>19</v>
      </c>
      <c r="F493" s="9" t="s">
        <v>44</v>
      </c>
      <c r="G493" s="9">
        <v>19.66</v>
      </c>
      <c r="H493" s="9">
        <v>10</v>
      </c>
      <c r="I493" s="9">
        <v>9.83</v>
      </c>
      <c r="J493" s="9">
        <v>206.43</v>
      </c>
      <c r="K493" s="10">
        <v>43539</v>
      </c>
      <c r="L493" s="11">
        <v>0.76388888888888884</v>
      </c>
      <c r="M493" s="9" t="s">
        <v>31</v>
      </c>
      <c r="N493" s="9">
        <v>196.6</v>
      </c>
      <c r="O493" s="9">
        <v>7.2</v>
      </c>
    </row>
    <row r="494" spans="1:15">
      <c r="A494" s="9" t="s">
        <v>526</v>
      </c>
      <c r="B494" s="9" t="s">
        <v>40</v>
      </c>
      <c r="C494" s="9" t="s">
        <v>41</v>
      </c>
      <c r="D494" s="9" t="s">
        <v>18</v>
      </c>
      <c r="E494" s="9" t="s">
        <v>19</v>
      </c>
      <c r="F494" s="9" t="s">
        <v>20</v>
      </c>
      <c r="G494" s="9">
        <v>25.32</v>
      </c>
      <c r="H494" s="9">
        <v>8</v>
      </c>
      <c r="I494" s="9">
        <v>10.128</v>
      </c>
      <c r="J494" s="9">
        <v>212.68799999999999</v>
      </c>
      <c r="K494" s="10">
        <v>43529</v>
      </c>
      <c r="L494" s="11">
        <v>0.85</v>
      </c>
      <c r="M494" s="9" t="s">
        <v>21</v>
      </c>
      <c r="N494" s="9">
        <v>202.56</v>
      </c>
      <c r="O494" s="9">
        <v>8.6999999999999993</v>
      </c>
    </row>
    <row r="495" spans="1:15">
      <c r="A495" s="9" t="s">
        <v>527</v>
      </c>
      <c r="B495" s="9" t="s">
        <v>23</v>
      </c>
      <c r="C495" s="9" t="s">
        <v>24</v>
      </c>
      <c r="D495" s="9" t="s">
        <v>18</v>
      </c>
      <c r="E495" s="9" t="s">
        <v>19</v>
      </c>
      <c r="F495" s="9" t="s">
        <v>30</v>
      </c>
      <c r="G495" s="9">
        <v>12.12</v>
      </c>
      <c r="H495" s="9">
        <v>10</v>
      </c>
      <c r="I495" s="9">
        <v>6.06</v>
      </c>
      <c r="J495" s="9">
        <v>127.26</v>
      </c>
      <c r="K495" s="10">
        <v>43529</v>
      </c>
      <c r="L495" s="11">
        <v>0.57222222222222219</v>
      </c>
      <c r="M495" s="9" t="s">
        <v>31</v>
      </c>
      <c r="N495" s="9">
        <v>121.2</v>
      </c>
      <c r="O495" s="9">
        <v>8.4</v>
      </c>
    </row>
    <row r="496" spans="1:15">
      <c r="A496" s="9" t="s">
        <v>528</v>
      </c>
      <c r="B496" s="9" t="s">
        <v>40</v>
      </c>
      <c r="C496" s="9" t="s">
        <v>41</v>
      </c>
      <c r="D496" s="9" t="s">
        <v>25</v>
      </c>
      <c r="E496" s="9" t="s">
        <v>29</v>
      </c>
      <c r="F496" s="9" t="s">
        <v>44</v>
      </c>
      <c r="G496" s="9">
        <v>99.89</v>
      </c>
      <c r="H496" s="9">
        <v>2</v>
      </c>
      <c r="I496" s="9">
        <v>9.9890000000000008</v>
      </c>
      <c r="J496" s="9">
        <v>209.76900000000001</v>
      </c>
      <c r="K496" s="10">
        <v>43522</v>
      </c>
      <c r="L496" s="11">
        <v>0.49166666666666664</v>
      </c>
      <c r="M496" s="9" t="s">
        <v>21</v>
      </c>
      <c r="N496" s="9">
        <v>199.78</v>
      </c>
      <c r="O496" s="9">
        <v>7.1</v>
      </c>
    </row>
    <row r="497" spans="1:15">
      <c r="A497" s="9" t="s">
        <v>529</v>
      </c>
      <c r="B497" s="9" t="s">
        <v>40</v>
      </c>
      <c r="C497" s="9" t="s">
        <v>41</v>
      </c>
      <c r="D497" s="9" t="s">
        <v>25</v>
      </c>
      <c r="E497" s="9" t="s">
        <v>29</v>
      </c>
      <c r="F497" s="9" t="s">
        <v>34</v>
      </c>
      <c r="G497" s="9">
        <v>75.92</v>
      </c>
      <c r="H497" s="9">
        <v>8</v>
      </c>
      <c r="I497" s="9">
        <v>30.367999999999999</v>
      </c>
      <c r="J497" s="9">
        <v>637.72799999999995</v>
      </c>
      <c r="K497" s="10">
        <v>43544</v>
      </c>
      <c r="L497" s="11">
        <v>0.59305555555555556</v>
      </c>
      <c r="M497" s="9" t="s">
        <v>27</v>
      </c>
      <c r="N497" s="9">
        <v>607.36</v>
      </c>
      <c r="O497" s="9">
        <v>5.5</v>
      </c>
    </row>
    <row r="498" spans="1:15">
      <c r="A498" s="9" t="s">
        <v>530</v>
      </c>
      <c r="B498" s="9" t="s">
        <v>23</v>
      </c>
      <c r="C498" s="9" t="s">
        <v>24</v>
      </c>
      <c r="D498" s="9" t="s">
        <v>25</v>
      </c>
      <c r="E498" s="9" t="s">
        <v>19</v>
      </c>
      <c r="F498" s="9" t="s">
        <v>26</v>
      </c>
      <c r="G498" s="9">
        <v>63.22</v>
      </c>
      <c r="H498" s="9">
        <v>2</v>
      </c>
      <c r="I498" s="9">
        <v>6.3220000000000001</v>
      </c>
      <c r="J498" s="9">
        <v>132.762</v>
      </c>
      <c r="K498" s="10">
        <v>43466</v>
      </c>
      <c r="L498" s="11">
        <v>0.66041666666666665</v>
      </c>
      <c r="M498" s="9" t="s">
        <v>27</v>
      </c>
      <c r="N498" s="9">
        <v>126.44</v>
      </c>
      <c r="O498" s="9">
        <v>8.5</v>
      </c>
    </row>
    <row r="499" spans="1:15">
      <c r="A499" s="9" t="s">
        <v>531</v>
      </c>
      <c r="B499" s="9" t="s">
        <v>23</v>
      </c>
      <c r="C499" s="9" t="s">
        <v>24</v>
      </c>
      <c r="D499" s="9" t="s">
        <v>25</v>
      </c>
      <c r="E499" s="9" t="s">
        <v>19</v>
      </c>
      <c r="F499" s="9" t="s">
        <v>42</v>
      </c>
      <c r="G499" s="9">
        <v>90.24</v>
      </c>
      <c r="H499" s="9">
        <v>6</v>
      </c>
      <c r="I499" s="9">
        <v>27.071999999999999</v>
      </c>
      <c r="J499" s="9">
        <v>568.51199999999994</v>
      </c>
      <c r="K499" s="10">
        <v>43492</v>
      </c>
      <c r="L499" s="11">
        <v>0.47013888888888888</v>
      </c>
      <c r="M499" s="9" t="s">
        <v>27</v>
      </c>
      <c r="N499" s="9">
        <v>541.44000000000005</v>
      </c>
      <c r="O499" s="9">
        <v>6.2</v>
      </c>
    </row>
    <row r="500" spans="1:15">
      <c r="A500" s="9" t="s">
        <v>532</v>
      </c>
      <c r="B500" s="9" t="s">
        <v>40</v>
      </c>
      <c r="C500" s="9" t="s">
        <v>41</v>
      </c>
      <c r="D500" s="9" t="s">
        <v>18</v>
      </c>
      <c r="E500" s="9" t="s">
        <v>19</v>
      </c>
      <c r="F500" s="9" t="s">
        <v>34</v>
      </c>
      <c r="G500" s="9">
        <v>98.13</v>
      </c>
      <c r="H500" s="9">
        <v>1</v>
      </c>
      <c r="I500" s="9">
        <v>4.9065000000000003</v>
      </c>
      <c r="J500" s="9">
        <v>103.0365</v>
      </c>
      <c r="K500" s="10">
        <v>43486</v>
      </c>
      <c r="L500" s="11">
        <v>0.73333333333333328</v>
      </c>
      <c r="M500" s="9" t="s">
        <v>27</v>
      </c>
      <c r="N500" s="9">
        <v>98.13</v>
      </c>
      <c r="O500" s="9">
        <v>8.9</v>
      </c>
    </row>
    <row r="501" spans="1:15">
      <c r="A501" s="9" t="s">
        <v>533</v>
      </c>
      <c r="B501" s="9" t="s">
        <v>16</v>
      </c>
      <c r="C501" s="9" t="s">
        <v>17</v>
      </c>
      <c r="D501" s="9" t="s">
        <v>18</v>
      </c>
      <c r="E501" s="9" t="s">
        <v>19</v>
      </c>
      <c r="F501" s="9" t="s">
        <v>34</v>
      </c>
      <c r="G501" s="9">
        <v>51.52</v>
      </c>
      <c r="H501" s="9">
        <v>8</v>
      </c>
      <c r="I501" s="9">
        <v>20.608000000000001</v>
      </c>
      <c r="J501" s="9">
        <v>432.76799999999997</v>
      </c>
      <c r="K501" s="10">
        <v>43498</v>
      </c>
      <c r="L501" s="11">
        <v>0.65763888888888888</v>
      </c>
      <c r="M501" s="9" t="s">
        <v>27</v>
      </c>
      <c r="N501" s="9">
        <v>412.16</v>
      </c>
      <c r="O501" s="9">
        <v>9.6</v>
      </c>
    </row>
    <row r="502" spans="1:15">
      <c r="A502" s="9" t="s">
        <v>534</v>
      </c>
      <c r="B502" s="9" t="s">
        <v>40</v>
      </c>
      <c r="C502" s="9" t="s">
        <v>41</v>
      </c>
      <c r="D502" s="9" t="s">
        <v>18</v>
      </c>
      <c r="E502" s="9" t="s">
        <v>29</v>
      </c>
      <c r="F502" s="9" t="s">
        <v>34</v>
      </c>
      <c r="G502" s="9">
        <v>73.97</v>
      </c>
      <c r="H502" s="9">
        <v>1</v>
      </c>
      <c r="I502" s="9">
        <v>3.6985000000000001</v>
      </c>
      <c r="J502" s="9">
        <v>77.668499999999995</v>
      </c>
      <c r="K502" s="10">
        <v>43499</v>
      </c>
      <c r="L502" s="11">
        <v>0.66180555555555554</v>
      </c>
      <c r="M502" s="9" t="s">
        <v>31</v>
      </c>
      <c r="N502" s="9">
        <v>73.97</v>
      </c>
      <c r="O502" s="9">
        <v>5.4</v>
      </c>
    </row>
    <row r="503" spans="1:15">
      <c r="A503" s="9" t="s">
        <v>535</v>
      </c>
      <c r="B503" s="9" t="s">
        <v>23</v>
      </c>
      <c r="C503" s="9" t="s">
        <v>24</v>
      </c>
      <c r="D503" s="9" t="s">
        <v>18</v>
      </c>
      <c r="E503" s="9" t="s">
        <v>19</v>
      </c>
      <c r="F503" s="9" t="s">
        <v>44</v>
      </c>
      <c r="G503" s="9">
        <v>31.9</v>
      </c>
      <c r="H503" s="9">
        <v>1</v>
      </c>
      <c r="I503" s="9">
        <v>1.595</v>
      </c>
      <c r="J503" s="9">
        <v>33.494999999999997</v>
      </c>
      <c r="K503" s="10">
        <v>43470</v>
      </c>
      <c r="L503" s="11">
        <v>0.52777777777777779</v>
      </c>
      <c r="M503" s="9" t="s">
        <v>21</v>
      </c>
      <c r="N503" s="9">
        <v>31.9</v>
      </c>
      <c r="O503" s="9">
        <v>9.1</v>
      </c>
    </row>
    <row r="504" spans="1:15">
      <c r="A504" s="9" t="s">
        <v>536</v>
      </c>
      <c r="B504" s="9" t="s">
        <v>23</v>
      </c>
      <c r="C504" s="9" t="s">
        <v>24</v>
      </c>
      <c r="D504" s="9" t="s">
        <v>25</v>
      </c>
      <c r="E504" s="9" t="s">
        <v>29</v>
      </c>
      <c r="F504" s="9" t="s">
        <v>30</v>
      </c>
      <c r="G504" s="9">
        <v>69.400000000000006</v>
      </c>
      <c r="H504" s="9">
        <v>2</v>
      </c>
      <c r="I504" s="9">
        <v>6.94</v>
      </c>
      <c r="J504" s="9">
        <v>145.74</v>
      </c>
      <c r="K504" s="10">
        <v>43492</v>
      </c>
      <c r="L504" s="11">
        <v>0.82499999999999996</v>
      </c>
      <c r="M504" s="9" t="s">
        <v>21</v>
      </c>
      <c r="N504" s="9">
        <v>138.80000000000001</v>
      </c>
      <c r="O504" s="9">
        <v>9</v>
      </c>
    </row>
    <row r="505" spans="1:15">
      <c r="A505" s="9" t="s">
        <v>537</v>
      </c>
      <c r="B505" s="9" t="s">
        <v>40</v>
      </c>
      <c r="C505" s="9" t="s">
        <v>41</v>
      </c>
      <c r="D505" s="9" t="s">
        <v>25</v>
      </c>
      <c r="E505" s="9" t="s">
        <v>19</v>
      </c>
      <c r="F505" s="9" t="s">
        <v>34</v>
      </c>
      <c r="G505" s="9">
        <v>93.31</v>
      </c>
      <c r="H505" s="9">
        <v>2</v>
      </c>
      <c r="I505" s="9">
        <v>9.3309999999999995</v>
      </c>
      <c r="J505" s="9">
        <v>195.95099999999999</v>
      </c>
      <c r="K505" s="10">
        <v>43549</v>
      </c>
      <c r="L505" s="11">
        <v>0.74513888888888891</v>
      </c>
      <c r="M505" s="9" t="s">
        <v>27</v>
      </c>
      <c r="N505" s="9">
        <v>186.62</v>
      </c>
      <c r="O505" s="9">
        <v>6.3</v>
      </c>
    </row>
    <row r="506" spans="1:15">
      <c r="A506" s="9" t="s">
        <v>538</v>
      </c>
      <c r="B506" s="9" t="s">
        <v>40</v>
      </c>
      <c r="C506" s="9" t="s">
        <v>41</v>
      </c>
      <c r="D506" s="9" t="s">
        <v>25</v>
      </c>
      <c r="E506" s="9" t="s">
        <v>29</v>
      </c>
      <c r="F506" s="9" t="s">
        <v>34</v>
      </c>
      <c r="G506" s="9">
        <v>88.45</v>
      </c>
      <c r="H506" s="9">
        <v>1</v>
      </c>
      <c r="I506" s="9">
        <v>4.4225000000000003</v>
      </c>
      <c r="J506" s="9">
        <v>92.872500000000002</v>
      </c>
      <c r="K506" s="10">
        <v>43521</v>
      </c>
      <c r="L506" s="11">
        <v>0.69166666666666665</v>
      </c>
      <c r="M506" s="9" t="s">
        <v>31</v>
      </c>
      <c r="N506" s="9">
        <v>88.45</v>
      </c>
      <c r="O506" s="9">
        <v>9.5</v>
      </c>
    </row>
    <row r="507" spans="1:15">
      <c r="A507" s="9" t="s">
        <v>539</v>
      </c>
      <c r="B507" s="9" t="s">
        <v>16</v>
      </c>
      <c r="C507" s="9" t="s">
        <v>17</v>
      </c>
      <c r="D507" s="9" t="s">
        <v>18</v>
      </c>
      <c r="E507" s="9" t="s">
        <v>29</v>
      </c>
      <c r="F507" s="9" t="s">
        <v>26</v>
      </c>
      <c r="G507" s="9">
        <v>24.18</v>
      </c>
      <c r="H507" s="9">
        <v>8</v>
      </c>
      <c r="I507" s="9">
        <v>9.6720000000000006</v>
      </c>
      <c r="J507" s="9">
        <v>203.11199999999999</v>
      </c>
      <c r="K507" s="10">
        <v>43493</v>
      </c>
      <c r="L507" s="11">
        <v>0.87083333333333335</v>
      </c>
      <c r="M507" s="9" t="s">
        <v>21</v>
      </c>
      <c r="N507" s="9">
        <v>193.44</v>
      </c>
      <c r="O507" s="9">
        <v>9.8000000000000007</v>
      </c>
    </row>
    <row r="508" spans="1:15">
      <c r="A508" s="9" t="s">
        <v>540</v>
      </c>
      <c r="B508" s="9" t="s">
        <v>40</v>
      </c>
      <c r="C508" s="9" t="s">
        <v>41</v>
      </c>
      <c r="D508" s="9" t="s">
        <v>18</v>
      </c>
      <c r="E508" s="9" t="s">
        <v>19</v>
      </c>
      <c r="F508" s="9" t="s">
        <v>34</v>
      </c>
      <c r="G508" s="9">
        <v>48.5</v>
      </c>
      <c r="H508" s="9">
        <v>3</v>
      </c>
      <c r="I508" s="9">
        <v>7.2750000000000004</v>
      </c>
      <c r="J508" s="9">
        <v>152.77500000000001</v>
      </c>
      <c r="K508" s="10">
        <v>43473</v>
      </c>
      <c r="L508" s="11">
        <v>0.53472222222222221</v>
      </c>
      <c r="M508" s="9" t="s">
        <v>27</v>
      </c>
      <c r="N508" s="9">
        <v>145.5</v>
      </c>
      <c r="O508" s="9">
        <v>6.7</v>
      </c>
    </row>
    <row r="509" spans="1:15">
      <c r="A509" s="9" t="s">
        <v>541</v>
      </c>
      <c r="B509" s="9" t="s">
        <v>40</v>
      </c>
      <c r="C509" s="9" t="s">
        <v>41</v>
      </c>
      <c r="D509" s="9" t="s">
        <v>25</v>
      </c>
      <c r="E509" s="9" t="s">
        <v>19</v>
      </c>
      <c r="F509" s="9" t="s">
        <v>42</v>
      </c>
      <c r="G509" s="9">
        <v>84.05</v>
      </c>
      <c r="H509" s="9">
        <v>6</v>
      </c>
      <c r="I509" s="9">
        <v>25.215</v>
      </c>
      <c r="J509" s="9">
        <v>529.51499999999999</v>
      </c>
      <c r="K509" s="10">
        <v>43494</v>
      </c>
      <c r="L509" s="11">
        <v>0.45</v>
      </c>
      <c r="M509" s="9" t="s">
        <v>31</v>
      </c>
      <c r="N509" s="9">
        <v>504.3</v>
      </c>
      <c r="O509" s="9">
        <v>7.7</v>
      </c>
    </row>
    <row r="510" spans="1:15">
      <c r="A510" s="9" t="s">
        <v>542</v>
      </c>
      <c r="B510" s="9" t="s">
        <v>40</v>
      </c>
      <c r="C510" s="9" t="s">
        <v>41</v>
      </c>
      <c r="D510" s="9" t="s">
        <v>18</v>
      </c>
      <c r="E510" s="9" t="s">
        <v>29</v>
      </c>
      <c r="F510" s="9" t="s">
        <v>20</v>
      </c>
      <c r="G510" s="9">
        <v>61.29</v>
      </c>
      <c r="H510" s="9">
        <v>5</v>
      </c>
      <c r="I510" s="9">
        <v>15.3225</v>
      </c>
      <c r="J510" s="9">
        <v>321.77249999999998</v>
      </c>
      <c r="K510" s="10">
        <v>43553</v>
      </c>
      <c r="L510" s="11">
        <v>0.60277777777777775</v>
      </c>
      <c r="M510" s="9" t="s">
        <v>27</v>
      </c>
      <c r="N510" s="9">
        <v>306.45</v>
      </c>
      <c r="O510" s="9">
        <v>7</v>
      </c>
    </row>
    <row r="511" spans="1:15">
      <c r="A511" s="9" t="s">
        <v>543</v>
      </c>
      <c r="B511" s="9" t="s">
        <v>23</v>
      </c>
      <c r="C511" s="9" t="s">
        <v>24</v>
      </c>
      <c r="D511" s="9" t="s">
        <v>18</v>
      </c>
      <c r="E511" s="9" t="s">
        <v>19</v>
      </c>
      <c r="F511" s="9" t="s">
        <v>30</v>
      </c>
      <c r="G511" s="9">
        <v>15.95</v>
      </c>
      <c r="H511" s="9">
        <v>6</v>
      </c>
      <c r="I511" s="9">
        <v>4.7850000000000001</v>
      </c>
      <c r="J511" s="9">
        <v>100.485</v>
      </c>
      <c r="K511" s="10">
        <v>43505</v>
      </c>
      <c r="L511" s="11">
        <v>0.71875</v>
      </c>
      <c r="M511" s="9" t="s">
        <v>31</v>
      </c>
      <c r="N511" s="9">
        <v>95.7</v>
      </c>
      <c r="O511" s="9">
        <v>5.0999999999999996</v>
      </c>
    </row>
    <row r="512" spans="1:15">
      <c r="A512" s="9" t="s">
        <v>544</v>
      </c>
      <c r="B512" s="9" t="s">
        <v>40</v>
      </c>
      <c r="C512" s="9" t="s">
        <v>41</v>
      </c>
      <c r="D512" s="9" t="s">
        <v>18</v>
      </c>
      <c r="E512" s="9" t="s">
        <v>19</v>
      </c>
      <c r="F512" s="9" t="s">
        <v>34</v>
      </c>
      <c r="G512" s="9">
        <v>90.74</v>
      </c>
      <c r="H512" s="9">
        <v>7</v>
      </c>
      <c r="I512" s="9">
        <v>31.759</v>
      </c>
      <c r="J512" s="9">
        <v>666.93899999999996</v>
      </c>
      <c r="K512" s="10">
        <v>43481</v>
      </c>
      <c r="L512" s="11">
        <v>0.75208333333333333</v>
      </c>
      <c r="M512" s="9" t="s">
        <v>31</v>
      </c>
      <c r="N512" s="9">
        <v>635.17999999999995</v>
      </c>
      <c r="O512" s="9">
        <v>6.2</v>
      </c>
    </row>
    <row r="513" spans="1:15">
      <c r="A513" s="9" t="s">
        <v>545</v>
      </c>
      <c r="B513" s="9" t="s">
        <v>16</v>
      </c>
      <c r="C513" s="9" t="s">
        <v>17</v>
      </c>
      <c r="D513" s="9" t="s">
        <v>25</v>
      </c>
      <c r="E513" s="9" t="s">
        <v>19</v>
      </c>
      <c r="F513" s="9" t="s">
        <v>30</v>
      </c>
      <c r="G513" s="9">
        <v>42.91</v>
      </c>
      <c r="H513" s="9">
        <v>5</v>
      </c>
      <c r="I513" s="9">
        <v>10.727499999999999</v>
      </c>
      <c r="J513" s="9">
        <v>225.2775</v>
      </c>
      <c r="K513" s="10">
        <v>43470</v>
      </c>
      <c r="L513" s="11">
        <v>0.72847222222222219</v>
      </c>
      <c r="M513" s="9" t="s">
        <v>21</v>
      </c>
      <c r="N513" s="9">
        <v>214.55</v>
      </c>
      <c r="O513" s="9">
        <v>6.1</v>
      </c>
    </row>
    <row r="514" spans="1:15">
      <c r="A514" s="9" t="s">
        <v>546</v>
      </c>
      <c r="B514" s="9" t="s">
        <v>16</v>
      </c>
      <c r="C514" s="9" t="s">
        <v>17</v>
      </c>
      <c r="D514" s="9" t="s">
        <v>25</v>
      </c>
      <c r="E514" s="9" t="s">
        <v>19</v>
      </c>
      <c r="F514" s="9" t="s">
        <v>44</v>
      </c>
      <c r="G514" s="9">
        <v>54.28</v>
      </c>
      <c r="H514" s="9">
        <v>7</v>
      </c>
      <c r="I514" s="9">
        <v>18.998000000000001</v>
      </c>
      <c r="J514" s="9">
        <v>398.95800000000003</v>
      </c>
      <c r="K514" s="10">
        <v>43492</v>
      </c>
      <c r="L514" s="11">
        <v>0.75347222222222221</v>
      </c>
      <c r="M514" s="9" t="s">
        <v>21</v>
      </c>
      <c r="N514" s="9">
        <v>379.96</v>
      </c>
      <c r="O514" s="9">
        <v>9.3000000000000007</v>
      </c>
    </row>
    <row r="515" spans="1:15">
      <c r="A515" s="9" t="s">
        <v>547</v>
      </c>
      <c r="B515" s="9" t="s">
        <v>16</v>
      </c>
      <c r="C515" s="9" t="s">
        <v>17</v>
      </c>
      <c r="D515" s="9" t="s">
        <v>25</v>
      </c>
      <c r="E515" s="9" t="s">
        <v>29</v>
      </c>
      <c r="F515" s="9" t="s">
        <v>26</v>
      </c>
      <c r="G515" s="9">
        <v>99.55</v>
      </c>
      <c r="H515" s="9">
        <v>7</v>
      </c>
      <c r="I515" s="9">
        <v>34.842500000000001</v>
      </c>
      <c r="J515" s="9">
        <v>731.6925</v>
      </c>
      <c r="K515" s="10">
        <v>43538</v>
      </c>
      <c r="L515" s="11">
        <v>0.50486111111111109</v>
      </c>
      <c r="M515" s="9" t="s">
        <v>27</v>
      </c>
      <c r="N515" s="9">
        <v>696.85</v>
      </c>
      <c r="O515" s="9">
        <v>7.6</v>
      </c>
    </row>
    <row r="516" spans="1:15">
      <c r="A516" s="9" t="s">
        <v>548</v>
      </c>
      <c r="B516" s="9" t="s">
        <v>23</v>
      </c>
      <c r="C516" s="9" t="s">
        <v>24</v>
      </c>
      <c r="D516" s="9" t="s">
        <v>18</v>
      </c>
      <c r="E516" s="9" t="s">
        <v>29</v>
      </c>
      <c r="F516" s="9" t="s">
        <v>34</v>
      </c>
      <c r="G516" s="9">
        <v>58.39</v>
      </c>
      <c r="H516" s="9">
        <v>7</v>
      </c>
      <c r="I516" s="9">
        <v>20.436499999999999</v>
      </c>
      <c r="J516" s="9">
        <v>429.16649999999998</v>
      </c>
      <c r="K516" s="10">
        <v>43519</v>
      </c>
      <c r="L516" s="11">
        <v>0.8256944444444444</v>
      </c>
      <c r="M516" s="9" t="s">
        <v>31</v>
      </c>
      <c r="N516" s="9">
        <v>408.73</v>
      </c>
      <c r="O516" s="9">
        <v>8.1999999999999993</v>
      </c>
    </row>
    <row r="517" spans="1:15">
      <c r="A517" s="9" t="s">
        <v>549</v>
      </c>
      <c r="B517" s="9" t="s">
        <v>23</v>
      </c>
      <c r="C517" s="9" t="s">
        <v>24</v>
      </c>
      <c r="D517" s="9" t="s">
        <v>18</v>
      </c>
      <c r="E517" s="9" t="s">
        <v>19</v>
      </c>
      <c r="F517" s="9" t="s">
        <v>44</v>
      </c>
      <c r="G517" s="9">
        <v>51.47</v>
      </c>
      <c r="H517" s="9">
        <v>1</v>
      </c>
      <c r="I517" s="9">
        <v>2.5735000000000001</v>
      </c>
      <c r="J517" s="9">
        <v>54.043500000000002</v>
      </c>
      <c r="K517" s="10">
        <v>43542</v>
      </c>
      <c r="L517" s="11">
        <v>0.66111111111111109</v>
      </c>
      <c r="M517" s="9" t="s">
        <v>21</v>
      </c>
      <c r="N517" s="9">
        <v>51.47</v>
      </c>
      <c r="O517" s="9">
        <v>8.5</v>
      </c>
    </row>
    <row r="518" spans="1:15">
      <c r="A518" s="9" t="s">
        <v>550</v>
      </c>
      <c r="B518" s="9" t="s">
        <v>40</v>
      </c>
      <c r="C518" s="9" t="s">
        <v>41</v>
      </c>
      <c r="D518" s="9" t="s">
        <v>18</v>
      </c>
      <c r="E518" s="9" t="s">
        <v>29</v>
      </c>
      <c r="F518" s="9" t="s">
        <v>20</v>
      </c>
      <c r="G518" s="9">
        <v>54.86</v>
      </c>
      <c r="H518" s="9">
        <v>5</v>
      </c>
      <c r="I518" s="9">
        <v>13.715</v>
      </c>
      <c r="J518" s="9">
        <v>288.01499999999999</v>
      </c>
      <c r="K518" s="10">
        <v>43553</v>
      </c>
      <c r="L518" s="11">
        <v>0.7</v>
      </c>
      <c r="M518" s="9" t="s">
        <v>21</v>
      </c>
      <c r="N518" s="9">
        <v>274.3</v>
      </c>
      <c r="O518" s="9">
        <v>9.8000000000000007</v>
      </c>
    </row>
    <row r="519" spans="1:15">
      <c r="A519" s="9" t="s">
        <v>551</v>
      </c>
      <c r="B519" s="9" t="s">
        <v>23</v>
      </c>
      <c r="C519" s="9" t="s">
        <v>24</v>
      </c>
      <c r="D519" s="9" t="s">
        <v>18</v>
      </c>
      <c r="E519" s="9" t="s">
        <v>29</v>
      </c>
      <c r="F519" s="9" t="s">
        <v>30</v>
      </c>
      <c r="G519" s="9">
        <v>39.39</v>
      </c>
      <c r="H519" s="9">
        <v>5</v>
      </c>
      <c r="I519" s="9">
        <v>9.8475000000000001</v>
      </c>
      <c r="J519" s="9">
        <v>206.79750000000001</v>
      </c>
      <c r="K519" s="10">
        <v>43487</v>
      </c>
      <c r="L519" s="11">
        <v>0.86527777777777781</v>
      </c>
      <c r="M519" s="9" t="s">
        <v>31</v>
      </c>
      <c r="N519" s="9">
        <v>196.95</v>
      </c>
      <c r="O519" s="9">
        <v>8.6999999999999993</v>
      </c>
    </row>
    <row r="520" spans="1:15">
      <c r="A520" s="9" t="s">
        <v>552</v>
      </c>
      <c r="B520" s="9" t="s">
        <v>16</v>
      </c>
      <c r="C520" s="9" t="s">
        <v>17</v>
      </c>
      <c r="D520" s="9" t="s">
        <v>25</v>
      </c>
      <c r="E520" s="9" t="s">
        <v>29</v>
      </c>
      <c r="F520" s="9" t="s">
        <v>30</v>
      </c>
      <c r="G520" s="9">
        <v>34.729999999999997</v>
      </c>
      <c r="H520" s="9">
        <v>2</v>
      </c>
      <c r="I520" s="9">
        <v>3.4729999999999999</v>
      </c>
      <c r="J520" s="9">
        <v>72.933000000000007</v>
      </c>
      <c r="K520" s="10">
        <v>43525</v>
      </c>
      <c r="L520" s="11">
        <v>0.75972222222222219</v>
      </c>
      <c r="M520" s="9" t="s">
        <v>21</v>
      </c>
      <c r="N520" s="9">
        <v>69.459999999999994</v>
      </c>
      <c r="O520" s="9">
        <v>9.6999999999999993</v>
      </c>
    </row>
    <row r="521" spans="1:15">
      <c r="A521" s="9" t="s">
        <v>553</v>
      </c>
      <c r="B521" s="9" t="s">
        <v>23</v>
      </c>
      <c r="C521" s="9" t="s">
        <v>24</v>
      </c>
      <c r="D521" s="9" t="s">
        <v>18</v>
      </c>
      <c r="E521" s="9" t="s">
        <v>29</v>
      </c>
      <c r="F521" s="9" t="s">
        <v>34</v>
      </c>
      <c r="G521" s="9">
        <v>71.92</v>
      </c>
      <c r="H521" s="9">
        <v>5</v>
      </c>
      <c r="I521" s="9">
        <v>17.98</v>
      </c>
      <c r="J521" s="9">
        <v>377.58</v>
      </c>
      <c r="K521" s="10">
        <v>43482</v>
      </c>
      <c r="L521" s="11">
        <v>0.62847222222222221</v>
      </c>
      <c r="M521" s="9" t="s">
        <v>31</v>
      </c>
      <c r="N521" s="9">
        <v>359.6</v>
      </c>
      <c r="O521" s="9">
        <v>4.3</v>
      </c>
    </row>
    <row r="522" spans="1:15">
      <c r="A522" s="9" t="s">
        <v>554</v>
      </c>
      <c r="B522" s="9" t="s">
        <v>40</v>
      </c>
      <c r="C522" s="9" t="s">
        <v>41</v>
      </c>
      <c r="D522" s="9" t="s">
        <v>25</v>
      </c>
      <c r="E522" s="9" t="s">
        <v>19</v>
      </c>
      <c r="F522" s="9" t="s">
        <v>26</v>
      </c>
      <c r="G522" s="9">
        <v>45.71</v>
      </c>
      <c r="H522" s="9">
        <v>3</v>
      </c>
      <c r="I522" s="9">
        <v>6.8564999999999996</v>
      </c>
      <c r="J522" s="9">
        <v>143.98650000000001</v>
      </c>
      <c r="K522" s="10">
        <v>43550</v>
      </c>
      <c r="L522" s="11">
        <v>0.44027777777777777</v>
      </c>
      <c r="M522" s="9" t="s">
        <v>31</v>
      </c>
      <c r="N522" s="9">
        <v>137.13</v>
      </c>
      <c r="O522" s="9">
        <v>7.7</v>
      </c>
    </row>
    <row r="523" spans="1:15">
      <c r="A523" s="9" t="s">
        <v>555</v>
      </c>
      <c r="B523" s="9" t="s">
        <v>23</v>
      </c>
      <c r="C523" s="9" t="s">
        <v>24</v>
      </c>
      <c r="D523" s="9" t="s">
        <v>18</v>
      </c>
      <c r="E523" s="9" t="s">
        <v>19</v>
      </c>
      <c r="F523" s="9" t="s">
        <v>30</v>
      </c>
      <c r="G523" s="9">
        <v>83.17</v>
      </c>
      <c r="H523" s="9">
        <v>6</v>
      </c>
      <c r="I523" s="9">
        <v>24.951000000000001</v>
      </c>
      <c r="J523" s="9">
        <v>523.971</v>
      </c>
      <c r="K523" s="10">
        <v>43544</v>
      </c>
      <c r="L523" s="11">
        <v>0.47430555555555554</v>
      </c>
      <c r="M523" s="9" t="s">
        <v>27</v>
      </c>
      <c r="N523" s="9">
        <v>499.02</v>
      </c>
      <c r="O523" s="9">
        <v>7.3</v>
      </c>
    </row>
    <row r="524" spans="1:15">
      <c r="A524" s="9" t="s">
        <v>556</v>
      </c>
      <c r="B524" s="9" t="s">
        <v>16</v>
      </c>
      <c r="C524" s="9" t="s">
        <v>17</v>
      </c>
      <c r="D524" s="9" t="s">
        <v>18</v>
      </c>
      <c r="E524" s="9" t="s">
        <v>19</v>
      </c>
      <c r="F524" s="9" t="s">
        <v>30</v>
      </c>
      <c r="G524" s="9">
        <v>37.44</v>
      </c>
      <c r="H524" s="9">
        <v>6</v>
      </c>
      <c r="I524" s="9">
        <v>11.231999999999999</v>
      </c>
      <c r="J524" s="9">
        <v>235.87200000000001</v>
      </c>
      <c r="K524" s="10">
        <v>43502</v>
      </c>
      <c r="L524" s="11">
        <v>0.57986111111111116</v>
      </c>
      <c r="M524" s="9" t="s">
        <v>31</v>
      </c>
      <c r="N524" s="9">
        <v>224.64</v>
      </c>
      <c r="O524" s="9">
        <v>5.9</v>
      </c>
    </row>
    <row r="525" spans="1:15">
      <c r="A525" s="9" t="s">
        <v>557</v>
      </c>
      <c r="B525" s="9" t="s">
        <v>23</v>
      </c>
      <c r="C525" s="9" t="s">
        <v>24</v>
      </c>
      <c r="D525" s="9" t="s">
        <v>25</v>
      </c>
      <c r="E525" s="9" t="s">
        <v>29</v>
      </c>
      <c r="F525" s="9" t="s">
        <v>20</v>
      </c>
      <c r="G525" s="9">
        <v>62.87</v>
      </c>
      <c r="H525" s="9">
        <v>2</v>
      </c>
      <c r="I525" s="9">
        <v>6.2869999999999999</v>
      </c>
      <c r="J525" s="9">
        <v>132.02699999999999</v>
      </c>
      <c r="K525" s="10">
        <v>43466</v>
      </c>
      <c r="L525" s="11">
        <v>0.48819444444444443</v>
      </c>
      <c r="M525" s="9" t="s">
        <v>27</v>
      </c>
      <c r="N525" s="9">
        <v>125.74</v>
      </c>
      <c r="O525" s="9">
        <v>5</v>
      </c>
    </row>
    <row r="526" spans="1:15">
      <c r="A526" s="9" t="s">
        <v>558</v>
      </c>
      <c r="B526" s="9" t="s">
        <v>16</v>
      </c>
      <c r="C526" s="9" t="s">
        <v>17</v>
      </c>
      <c r="D526" s="9" t="s">
        <v>25</v>
      </c>
      <c r="E526" s="9" t="s">
        <v>29</v>
      </c>
      <c r="F526" s="9" t="s">
        <v>42</v>
      </c>
      <c r="G526" s="9">
        <v>81.709999999999994</v>
      </c>
      <c r="H526" s="9">
        <v>6</v>
      </c>
      <c r="I526" s="9">
        <v>24.513000000000002</v>
      </c>
      <c r="J526" s="9">
        <v>514.77300000000002</v>
      </c>
      <c r="K526" s="10">
        <v>43492</v>
      </c>
      <c r="L526" s="11">
        <v>0.60833333333333328</v>
      </c>
      <c r="M526" s="9" t="s">
        <v>31</v>
      </c>
      <c r="N526" s="9">
        <v>490.26</v>
      </c>
      <c r="O526" s="9">
        <v>8</v>
      </c>
    </row>
    <row r="527" spans="1:15">
      <c r="A527" s="9" t="s">
        <v>559</v>
      </c>
      <c r="B527" s="9" t="s">
        <v>16</v>
      </c>
      <c r="C527" s="9" t="s">
        <v>17</v>
      </c>
      <c r="D527" s="9" t="s">
        <v>18</v>
      </c>
      <c r="E527" s="9" t="s">
        <v>19</v>
      </c>
      <c r="F527" s="9" t="s">
        <v>34</v>
      </c>
      <c r="G527" s="9">
        <v>91.41</v>
      </c>
      <c r="H527" s="9">
        <v>5</v>
      </c>
      <c r="I527" s="9">
        <v>22.852499999999999</v>
      </c>
      <c r="J527" s="9">
        <v>479.90249999999997</v>
      </c>
      <c r="K527" s="10">
        <v>43521</v>
      </c>
      <c r="L527" s="11">
        <v>0.66874999999999996</v>
      </c>
      <c r="M527" s="9" t="s">
        <v>21</v>
      </c>
      <c r="N527" s="9">
        <v>457.05</v>
      </c>
      <c r="O527" s="9">
        <v>7.1</v>
      </c>
    </row>
    <row r="528" spans="1:15">
      <c r="A528" s="9" t="s">
        <v>560</v>
      </c>
      <c r="B528" s="9" t="s">
        <v>40</v>
      </c>
      <c r="C528" s="9" t="s">
        <v>41</v>
      </c>
      <c r="D528" s="9" t="s">
        <v>25</v>
      </c>
      <c r="E528" s="9" t="s">
        <v>29</v>
      </c>
      <c r="F528" s="9" t="s">
        <v>44</v>
      </c>
      <c r="G528" s="9">
        <v>39.21</v>
      </c>
      <c r="H528" s="9">
        <v>4</v>
      </c>
      <c r="I528" s="9">
        <v>7.8419999999999996</v>
      </c>
      <c r="J528" s="9">
        <v>164.68199999999999</v>
      </c>
      <c r="K528" s="10">
        <v>43481</v>
      </c>
      <c r="L528" s="11">
        <v>0.8354166666666667</v>
      </c>
      <c r="M528" s="9" t="s">
        <v>31</v>
      </c>
      <c r="N528" s="9">
        <v>156.84</v>
      </c>
      <c r="O528" s="9">
        <v>9</v>
      </c>
    </row>
    <row r="529" spans="1:15">
      <c r="A529" s="9" t="s">
        <v>561</v>
      </c>
      <c r="B529" s="9" t="s">
        <v>40</v>
      </c>
      <c r="C529" s="9" t="s">
        <v>41</v>
      </c>
      <c r="D529" s="9" t="s">
        <v>18</v>
      </c>
      <c r="E529" s="9" t="s">
        <v>29</v>
      </c>
      <c r="F529" s="9" t="s">
        <v>44</v>
      </c>
      <c r="G529" s="9">
        <v>59.86</v>
      </c>
      <c r="H529" s="9">
        <v>2</v>
      </c>
      <c r="I529" s="9">
        <v>5.9859999999999998</v>
      </c>
      <c r="J529" s="9">
        <v>125.706</v>
      </c>
      <c r="K529" s="10">
        <v>43478</v>
      </c>
      <c r="L529" s="11">
        <v>0.62152777777777779</v>
      </c>
      <c r="M529" s="9" t="s">
        <v>21</v>
      </c>
      <c r="N529" s="9">
        <v>119.72</v>
      </c>
      <c r="O529" s="9">
        <v>6.7</v>
      </c>
    </row>
    <row r="530" spans="1:15">
      <c r="A530" s="9" t="s">
        <v>562</v>
      </c>
      <c r="B530" s="9" t="s">
        <v>40</v>
      </c>
      <c r="C530" s="9" t="s">
        <v>41</v>
      </c>
      <c r="D530" s="9" t="s">
        <v>18</v>
      </c>
      <c r="E530" s="9" t="s">
        <v>19</v>
      </c>
      <c r="F530" s="9" t="s">
        <v>42</v>
      </c>
      <c r="G530" s="9">
        <v>54.36</v>
      </c>
      <c r="H530" s="9">
        <v>10</v>
      </c>
      <c r="I530" s="9">
        <v>27.18</v>
      </c>
      <c r="J530" s="9">
        <v>570.78</v>
      </c>
      <c r="K530" s="10">
        <v>43503</v>
      </c>
      <c r="L530" s="11">
        <v>0.4777777777777778</v>
      </c>
      <c r="M530" s="9" t="s">
        <v>31</v>
      </c>
      <c r="N530" s="9">
        <v>543.6</v>
      </c>
      <c r="O530" s="9">
        <v>6.1</v>
      </c>
    </row>
    <row r="531" spans="1:15">
      <c r="A531" s="9" t="s">
        <v>563</v>
      </c>
      <c r="B531" s="9" t="s">
        <v>16</v>
      </c>
      <c r="C531" s="9" t="s">
        <v>17</v>
      </c>
      <c r="D531" s="9" t="s">
        <v>25</v>
      </c>
      <c r="E531" s="9" t="s">
        <v>29</v>
      </c>
      <c r="F531" s="9" t="s">
        <v>34</v>
      </c>
      <c r="G531" s="9">
        <v>98.09</v>
      </c>
      <c r="H531" s="9">
        <v>9</v>
      </c>
      <c r="I531" s="9">
        <v>44.140500000000003</v>
      </c>
      <c r="J531" s="9">
        <v>926.95050000000003</v>
      </c>
      <c r="K531" s="10">
        <v>43513</v>
      </c>
      <c r="L531" s="11">
        <v>0.82013888888888886</v>
      </c>
      <c r="M531" s="9" t="s">
        <v>27</v>
      </c>
      <c r="N531" s="9">
        <v>882.81</v>
      </c>
      <c r="O531" s="9">
        <v>9.3000000000000007</v>
      </c>
    </row>
    <row r="532" spans="1:15">
      <c r="A532" s="9" t="s">
        <v>564</v>
      </c>
      <c r="B532" s="9" t="s">
        <v>16</v>
      </c>
      <c r="C532" s="9" t="s">
        <v>17</v>
      </c>
      <c r="D532" s="9" t="s">
        <v>25</v>
      </c>
      <c r="E532" s="9" t="s">
        <v>29</v>
      </c>
      <c r="F532" s="9" t="s">
        <v>20</v>
      </c>
      <c r="G532" s="9">
        <v>25.43</v>
      </c>
      <c r="H532" s="9">
        <v>6</v>
      </c>
      <c r="I532" s="9">
        <v>7.6289999999999996</v>
      </c>
      <c r="J532" s="9">
        <v>160.209</v>
      </c>
      <c r="K532" s="10">
        <v>43508</v>
      </c>
      <c r="L532" s="11">
        <v>0.79236111111111107</v>
      </c>
      <c r="M532" s="9" t="s">
        <v>21</v>
      </c>
      <c r="N532" s="9">
        <v>152.58000000000001</v>
      </c>
      <c r="O532" s="9">
        <v>7</v>
      </c>
    </row>
    <row r="533" spans="1:15">
      <c r="A533" s="9" t="s">
        <v>565</v>
      </c>
      <c r="B533" s="9" t="s">
        <v>16</v>
      </c>
      <c r="C533" s="9" t="s">
        <v>17</v>
      </c>
      <c r="D533" s="9" t="s">
        <v>18</v>
      </c>
      <c r="E533" s="9" t="s">
        <v>29</v>
      </c>
      <c r="F533" s="9" t="s">
        <v>44</v>
      </c>
      <c r="G533" s="9">
        <v>86.68</v>
      </c>
      <c r="H533" s="9">
        <v>8</v>
      </c>
      <c r="I533" s="9">
        <v>34.671999999999997</v>
      </c>
      <c r="J533" s="9">
        <v>728.11199999999997</v>
      </c>
      <c r="K533" s="10">
        <v>43489</v>
      </c>
      <c r="L533" s="11">
        <v>0.75277777777777777</v>
      </c>
      <c r="M533" s="9" t="s">
        <v>31</v>
      </c>
      <c r="N533" s="9">
        <v>693.44</v>
      </c>
      <c r="O533" s="9">
        <v>7.2</v>
      </c>
    </row>
    <row r="534" spans="1:15">
      <c r="A534" s="9" t="s">
        <v>566</v>
      </c>
      <c r="B534" s="9" t="s">
        <v>40</v>
      </c>
      <c r="C534" s="9" t="s">
        <v>41</v>
      </c>
      <c r="D534" s="9" t="s">
        <v>25</v>
      </c>
      <c r="E534" s="9" t="s">
        <v>29</v>
      </c>
      <c r="F534" s="9" t="s">
        <v>26</v>
      </c>
      <c r="G534" s="9">
        <v>22.95</v>
      </c>
      <c r="H534" s="9">
        <v>10</v>
      </c>
      <c r="I534" s="9">
        <v>11.475</v>
      </c>
      <c r="J534" s="9">
        <v>240.97499999999999</v>
      </c>
      <c r="K534" s="10">
        <v>43502</v>
      </c>
      <c r="L534" s="11">
        <v>0.80555555555555558</v>
      </c>
      <c r="M534" s="9" t="s">
        <v>21</v>
      </c>
      <c r="N534" s="9">
        <v>229.5</v>
      </c>
      <c r="O534" s="9">
        <v>8.1999999999999993</v>
      </c>
    </row>
    <row r="535" spans="1:15">
      <c r="A535" s="9" t="s">
        <v>567</v>
      </c>
      <c r="B535" s="9" t="s">
        <v>23</v>
      </c>
      <c r="C535" s="9" t="s">
        <v>24</v>
      </c>
      <c r="D535" s="9" t="s">
        <v>25</v>
      </c>
      <c r="E535" s="9" t="s">
        <v>19</v>
      </c>
      <c r="F535" s="9" t="s">
        <v>42</v>
      </c>
      <c r="G535" s="9">
        <v>16.309999999999999</v>
      </c>
      <c r="H535" s="9">
        <v>9</v>
      </c>
      <c r="I535" s="9">
        <v>7.3395000000000001</v>
      </c>
      <c r="J535" s="9">
        <v>154.12950000000001</v>
      </c>
      <c r="K535" s="10">
        <v>43550</v>
      </c>
      <c r="L535" s="11">
        <v>0.43819444444444444</v>
      </c>
      <c r="M535" s="9" t="s">
        <v>21</v>
      </c>
      <c r="N535" s="9">
        <v>146.79</v>
      </c>
      <c r="O535" s="9">
        <v>8.4</v>
      </c>
    </row>
    <row r="536" spans="1:15">
      <c r="A536" s="9" t="s">
        <v>568</v>
      </c>
      <c r="B536" s="9" t="s">
        <v>16</v>
      </c>
      <c r="C536" s="9" t="s">
        <v>17</v>
      </c>
      <c r="D536" s="9" t="s">
        <v>25</v>
      </c>
      <c r="E536" s="9" t="s">
        <v>19</v>
      </c>
      <c r="F536" s="9" t="s">
        <v>30</v>
      </c>
      <c r="G536" s="9">
        <v>28.32</v>
      </c>
      <c r="H536" s="9">
        <v>5</v>
      </c>
      <c r="I536" s="9">
        <v>7.08</v>
      </c>
      <c r="J536" s="9">
        <v>148.68</v>
      </c>
      <c r="K536" s="10">
        <v>43535</v>
      </c>
      <c r="L536" s="11">
        <v>0.56111111111111112</v>
      </c>
      <c r="M536" s="9" t="s">
        <v>21</v>
      </c>
      <c r="N536" s="9">
        <v>141.6</v>
      </c>
      <c r="O536" s="9">
        <v>6.2</v>
      </c>
    </row>
    <row r="537" spans="1:15">
      <c r="A537" s="9" t="s">
        <v>569</v>
      </c>
      <c r="B537" s="9" t="s">
        <v>23</v>
      </c>
      <c r="C537" s="9" t="s">
        <v>24</v>
      </c>
      <c r="D537" s="9" t="s">
        <v>25</v>
      </c>
      <c r="E537" s="9" t="s">
        <v>29</v>
      </c>
      <c r="F537" s="9" t="s">
        <v>30</v>
      </c>
      <c r="G537" s="9">
        <v>16.670000000000002</v>
      </c>
      <c r="H537" s="9">
        <v>7</v>
      </c>
      <c r="I537" s="9">
        <v>5.8345000000000002</v>
      </c>
      <c r="J537" s="9">
        <v>122.5245</v>
      </c>
      <c r="K537" s="10">
        <v>43503</v>
      </c>
      <c r="L537" s="11">
        <v>0.48333333333333334</v>
      </c>
      <c r="M537" s="9" t="s">
        <v>21</v>
      </c>
      <c r="N537" s="9">
        <v>116.69</v>
      </c>
      <c r="O537" s="9">
        <v>7.4</v>
      </c>
    </row>
    <row r="538" spans="1:15">
      <c r="A538" s="9" t="s">
        <v>570</v>
      </c>
      <c r="B538" s="9" t="s">
        <v>40</v>
      </c>
      <c r="C538" s="9" t="s">
        <v>41</v>
      </c>
      <c r="D538" s="9" t="s">
        <v>18</v>
      </c>
      <c r="E538" s="9" t="s">
        <v>19</v>
      </c>
      <c r="F538" s="9" t="s">
        <v>44</v>
      </c>
      <c r="G538" s="9">
        <v>73.959999999999994</v>
      </c>
      <c r="H538" s="9">
        <v>1</v>
      </c>
      <c r="I538" s="9">
        <v>3.698</v>
      </c>
      <c r="J538" s="9">
        <v>77.658000000000001</v>
      </c>
      <c r="K538" s="10">
        <v>43470</v>
      </c>
      <c r="L538" s="11">
        <v>0.48055555555555557</v>
      </c>
      <c r="M538" s="9" t="s">
        <v>31</v>
      </c>
      <c r="N538" s="9">
        <v>73.959999999999994</v>
      </c>
      <c r="O538" s="9">
        <v>5</v>
      </c>
    </row>
    <row r="539" spans="1:15">
      <c r="A539" s="9" t="s">
        <v>571</v>
      </c>
      <c r="B539" s="9" t="s">
        <v>16</v>
      </c>
      <c r="C539" s="9" t="s">
        <v>17</v>
      </c>
      <c r="D539" s="9" t="s">
        <v>25</v>
      </c>
      <c r="E539" s="9" t="s">
        <v>29</v>
      </c>
      <c r="F539" s="9" t="s">
        <v>30</v>
      </c>
      <c r="G539" s="9">
        <v>97.94</v>
      </c>
      <c r="H539" s="9">
        <v>1</v>
      </c>
      <c r="I539" s="9">
        <v>4.8970000000000002</v>
      </c>
      <c r="J539" s="9">
        <v>102.837</v>
      </c>
      <c r="K539" s="10">
        <v>43531</v>
      </c>
      <c r="L539" s="11">
        <v>0.48888888888888887</v>
      </c>
      <c r="M539" s="9" t="s">
        <v>21</v>
      </c>
      <c r="N539" s="9">
        <v>97.94</v>
      </c>
      <c r="O539" s="9">
        <v>6.9</v>
      </c>
    </row>
    <row r="540" spans="1:15">
      <c r="A540" s="9" t="s">
        <v>572</v>
      </c>
      <c r="B540" s="9" t="s">
        <v>16</v>
      </c>
      <c r="C540" s="9" t="s">
        <v>17</v>
      </c>
      <c r="D540" s="9" t="s">
        <v>25</v>
      </c>
      <c r="E540" s="9" t="s">
        <v>19</v>
      </c>
      <c r="F540" s="9" t="s">
        <v>44</v>
      </c>
      <c r="G540" s="9">
        <v>73.05</v>
      </c>
      <c r="H540" s="9">
        <v>4</v>
      </c>
      <c r="I540" s="9">
        <v>14.61</v>
      </c>
      <c r="J540" s="9">
        <v>306.81</v>
      </c>
      <c r="K540" s="10">
        <v>43521</v>
      </c>
      <c r="L540" s="11">
        <v>0.71944444444444444</v>
      </c>
      <c r="M540" s="9" t="s">
        <v>31</v>
      </c>
      <c r="N540" s="9">
        <v>292.2</v>
      </c>
      <c r="O540" s="9">
        <v>4.9000000000000004</v>
      </c>
    </row>
    <row r="541" spans="1:15">
      <c r="A541" s="9" t="s">
        <v>573</v>
      </c>
      <c r="B541" s="9" t="s">
        <v>23</v>
      </c>
      <c r="C541" s="9" t="s">
        <v>24</v>
      </c>
      <c r="D541" s="9" t="s">
        <v>18</v>
      </c>
      <c r="E541" s="9" t="s">
        <v>19</v>
      </c>
      <c r="F541" s="9" t="s">
        <v>42</v>
      </c>
      <c r="G541" s="9">
        <v>87.48</v>
      </c>
      <c r="H541" s="9">
        <v>6</v>
      </c>
      <c r="I541" s="9">
        <v>26.244</v>
      </c>
      <c r="J541" s="9">
        <v>551.12400000000002</v>
      </c>
      <c r="K541" s="10">
        <v>43497</v>
      </c>
      <c r="L541" s="11">
        <v>0.77986111111111112</v>
      </c>
      <c r="M541" s="9" t="s">
        <v>21</v>
      </c>
      <c r="N541" s="9">
        <v>524.88</v>
      </c>
      <c r="O541" s="9">
        <v>5.0999999999999996</v>
      </c>
    </row>
    <row r="542" spans="1:15">
      <c r="A542" s="9" t="s">
        <v>574</v>
      </c>
      <c r="B542" s="9" t="s">
        <v>16</v>
      </c>
      <c r="C542" s="9" t="s">
        <v>17</v>
      </c>
      <c r="D542" s="9" t="s">
        <v>25</v>
      </c>
      <c r="E542" s="9" t="s">
        <v>29</v>
      </c>
      <c r="F542" s="9" t="s">
        <v>30</v>
      </c>
      <c r="G542" s="9">
        <v>30.68</v>
      </c>
      <c r="H542" s="9">
        <v>3</v>
      </c>
      <c r="I542" s="9">
        <v>4.6020000000000003</v>
      </c>
      <c r="J542" s="9">
        <v>96.641999999999996</v>
      </c>
      <c r="K542" s="10">
        <v>43487</v>
      </c>
      <c r="L542" s="11">
        <v>0.45833333333333331</v>
      </c>
      <c r="M542" s="9" t="s">
        <v>21</v>
      </c>
      <c r="N542" s="9">
        <v>92.04</v>
      </c>
      <c r="O542" s="9">
        <v>9.1</v>
      </c>
    </row>
    <row r="543" spans="1:15">
      <c r="A543" s="9" t="s">
        <v>575</v>
      </c>
      <c r="B543" s="9" t="s">
        <v>23</v>
      </c>
      <c r="C543" s="9" t="s">
        <v>24</v>
      </c>
      <c r="D543" s="9" t="s">
        <v>18</v>
      </c>
      <c r="E543" s="9" t="s">
        <v>29</v>
      </c>
      <c r="F543" s="9" t="s">
        <v>20</v>
      </c>
      <c r="G543" s="9">
        <v>75.88</v>
      </c>
      <c r="H543" s="9">
        <v>1</v>
      </c>
      <c r="I543" s="9">
        <v>3.794</v>
      </c>
      <c r="J543" s="9">
        <v>79.674000000000007</v>
      </c>
      <c r="K543" s="10">
        <v>43468</v>
      </c>
      <c r="L543" s="11">
        <v>0.4375</v>
      </c>
      <c r="M543" s="9" t="s">
        <v>31</v>
      </c>
      <c r="N543" s="9">
        <v>75.88</v>
      </c>
      <c r="O543" s="9">
        <v>7.1</v>
      </c>
    </row>
    <row r="544" spans="1:15">
      <c r="A544" s="9" t="s">
        <v>576</v>
      </c>
      <c r="B544" s="9" t="s">
        <v>40</v>
      </c>
      <c r="C544" s="9" t="s">
        <v>41</v>
      </c>
      <c r="D544" s="9" t="s">
        <v>18</v>
      </c>
      <c r="E544" s="9" t="s">
        <v>19</v>
      </c>
      <c r="F544" s="9" t="s">
        <v>34</v>
      </c>
      <c r="G544" s="9">
        <v>20.18</v>
      </c>
      <c r="H544" s="9">
        <v>4</v>
      </c>
      <c r="I544" s="9">
        <v>4.0359999999999996</v>
      </c>
      <c r="J544" s="9">
        <v>84.756</v>
      </c>
      <c r="K544" s="10">
        <v>43509</v>
      </c>
      <c r="L544" s="11">
        <v>0.50972222222222219</v>
      </c>
      <c r="M544" s="9" t="s">
        <v>31</v>
      </c>
      <c r="N544" s="9">
        <v>80.72</v>
      </c>
      <c r="O544" s="9">
        <v>5</v>
      </c>
    </row>
    <row r="545" spans="1:15">
      <c r="A545" s="9" t="s">
        <v>577</v>
      </c>
      <c r="B545" s="9" t="s">
        <v>23</v>
      </c>
      <c r="C545" s="9" t="s">
        <v>24</v>
      </c>
      <c r="D545" s="9" t="s">
        <v>18</v>
      </c>
      <c r="E545" s="9" t="s">
        <v>29</v>
      </c>
      <c r="F545" s="9" t="s">
        <v>26</v>
      </c>
      <c r="G545" s="9">
        <v>18.77</v>
      </c>
      <c r="H545" s="9">
        <v>6</v>
      </c>
      <c r="I545" s="9">
        <v>5.6310000000000002</v>
      </c>
      <c r="J545" s="9">
        <v>118.251</v>
      </c>
      <c r="K545" s="10">
        <v>43493</v>
      </c>
      <c r="L545" s="11">
        <v>0.69652777777777775</v>
      </c>
      <c r="M545" s="9" t="s">
        <v>31</v>
      </c>
      <c r="N545" s="9">
        <v>112.62</v>
      </c>
      <c r="O545" s="9">
        <v>5.5</v>
      </c>
    </row>
    <row r="546" spans="1:15">
      <c r="A546" s="9" t="s">
        <v>578</v>
      </c>
      <c r="B546" s="9" t="s">
        <v>40</v>
      </c>
      <c r="C546" s="9" t="s">
        <v>41</v>
      </c>
      <c r="D546" s="9" t="s">
        <v>25</v>
      </c>
      <c r="E546" s="9" t="s">
        <v>19</v>
      </c>
      <c r="F546" s="9" t="s">
        <v>42</v>
      </c>
      <c r="G546" s="9">
        <v>71.2</v>
      </c>
      <c r="H546" s="9">
        <v>1</v>
      </c>
      <c r="I546" s="9">
        <v>3.56</v>
      </c>
      <c r="J546" s="9">
        <v>74.760000000000005</v>
      </c>
      <c r="K546" s="10">
        <v>43470</v>
      </c>
      <c r="L546" s="11">
        <v>0.86111111111111116</v>
      </c>
      <c r="M546" s="9" t="s">
        <v>31</v>
      </c>
      <c r="N546" s="9">
        <v>71.2</v>
      </c>
      <c r="O546" s="9">
        <v>9.1999999999999993</v>
      </c>
    </row>
    <row r="547" spans="1:15">
      <c r="A547" s="9" t="s">
        <v>579</v>
      </c>
      <c r="B547" s="9" t="s">
        <v>40</v>
      </c>
      <c r="C547" s="9" t="s">
        <v>41</v>
      </c>
      <c r="D547" s="9" t="s">
        <v>18</v>
      </c>
      <c r="E547" s="9" t="s">
        <v>29</v>
      </c>
      <c r="F547" s="9" t="s">
        <v>30</v>
      </c>
      <c r="G547" s="9">
        <v>38.81</v>
      </c>
      <c r="H547" s="9">
        <v>4</v>
      </c>
      <c r="I547" s="9">
        <v>7.7619999999999996</v>
      </c>
      <c r="J547" s="9">
        <v>163.00200000000001</v>
      </c>
      <c r="K547" s="10">
        <v>43543</v>
      </c>
      <c r="L547" s="11">
        <v>0.56944444444444442</v>
      </c>
      <c r="M547" s="9" t="s">
        <v>21</v>
      </c>
      <c r="N547" s="9">
        <v>155.24</v>
      </c>
      <c r="O547" s="9">
        <v>4.9000000000000004</v>
      </c>
    </row>
    <row r="548" spans="1:15">
      <c r="A548" s="9" t="s">
        <v>580</v>
      </c>
      <c r="B548" s="9" t="s">
        <v>16</v>
      </c>
      <c r="C548" s="9" t="s">
        <v>17</v>
      </c>
      <c r="D548" s="9" t="s">
        <v>25</v>
      </c>
      <c r="E548" s="9" t="s">
        <v>19</v>
      </c>
      <c r="F548" s="9" t="s">
        <v>44</v>
      </c>
      <c r="G548" s="9">
        <v>29.42</v>
      </c>
      <c r="H548" s="9">
        <v>10</v>
      </c>
      <c r="I548" s="9">
        <v>14.71</v>
      </c>
      <c r="J548" s="9">
        <v>308.91000000000003</v>
      </c>
      <c r="K548" s="10">
        <v>43477</v>
      </c>
      <c r="L548" s="11">
        <v>0.68263888888888891</v>
      </c>
      <c r="M548" s="9" t="s">
        <v>21</v>
      </c>
      <c r="N548" s="9">
        <v>294.2</v>
      </c>
      <c r="O548" s="9">
        <v>8.9</v>
      </c>
    </row>
    <row r="549" spans="1:15">
      <c r="A549" s="9" t="s">
        <v>581</v>
      </c>
      <c r="B549" s="9" t="s">
        <v>16</v>
      </c>
      <c r="C549" s="9" t="s">
        <v>17</v>
      </c>
      <c r="D549" s="9" t="s">
        <v>25</v>
      </c>
      <c r="E549" s="9" t="s">
        <v>29</v>
      </c>
      <c r="F549" s="9" t="s">
        <v>34</v>
      </c>
      <c r="G549" s="9">
        <v>60.95</v>
      </c>
      <c r="H549" s="9">
        <v>9</v>
      </c>
      <c r="I549" s="9">
        <v>27.427499999999998</v>
      </c>
      <c r="J549" s="9">
        <v>575.97749999999996</v>
      </c>
      <c r="K549" s="10">
        <v>43472</v>
      </c>
      <c r="L549" s="11">
        <v>0.50555555555555554</v>
      </c>
      <c r="M549" s="9" t="s">
        <v>31</v>
      </c>
      <c r="N549" s="9">
        <v>548.54999999999995</v>
      </c>
      <c r="O549" s="9">
        <v>6</v>
      </c>
    </row>
    <row r="550" spans="1:15">
      <c r="A550" s="9" t="s">
        <v>582</v>
      </c>
      <c r="B550" s="9" t="s">
        <v>40</v>
      </c>
      <c r="C550" s="9" t="s">
        <v>41</v>
      </c>
      <c r="D550" s="9" t="s">
        <v>25</v>
      </c>
      <c r="E550" s="9" t="s">
        <v>19</v>
      </c>
      <c r="F550" s="9" t="s">
        <v>34</v>
      </c>
      <c r="G550" s="9">
        <v>51.54</v>
      </c>
      <c r="H550" s="9">
        <v>5</v>
      </c>
      <c r="I550" s="9">
        <v>12.885</v>
      </c>
      <c r="J550" s="9">
        <v>270.58499999999998</v>
      </c>
      <c r="K550" s="10">
        <v>43491</v>
      </c>
      <c r="L550" s="11">
        <v>0.73958333333333337</v>
      </c>
      <c r="M550" s="9" t="s">
        <v>27</v>
      </c>
      <c r="N550" s="9">
        <v>257.7</v>
      </c>
      <c r="O550" s="9">
        <v>4.2</v>
      </c>
    </row>
    <row r="551" spans="1:15">
      <c r="A551" s="9" t="s">
        <v>583</v>
      </c>
      <c r="B551" s="9" t="s">
        <v>16</v>
      </c>
      <c r="C551" s="9" t="s">
        <v>17</v>
      </c>
      <c r="D551" s="9" t="s">
        <v>25</v>
      </c>
      <c r="E551" s="9" t="s">
        <v>19</v>
      </c>
      <c r="F551" s="9" t="s">
        <v>26</v>
      </c>
      <c r="G551" s="9">
        <v>66.06</v>
      </c>
      <c r="H551" s="9">
        <v>6</v>
      </c>
      <c r="I551" s="9">
        <v>19.818000000000001</v>
      </c>
      <c r="J551" s="9">
        <v>416.178</v>
      </c>
      <c r="K551" s="10">
        <v>43488</v>
      </c>
      <c r="L551" s="11">
        <v>0.43611111111111112</v>
      </c>
      <c r="M551" s="9" t="s">
        <v>27</v>
      </c>
      <c r="N551" s="9">
        <v>396.36</v>
      </c>
      <c r="O551" s="9">
        <v>7.3</v>
      </c>
    </row>
    <row r="552" spans="1:15">
      <c r="A552" s="9" t="s">
        <v>584</v>
      </c>
      <c r="B552" s="9" t="s">
        <v>40</v>
      </c>
      <c r="C552" s="9" t="s">
        <v>41</v>
      </c>
      <c r="D552" s="9" t="s">
        <v>25</v>
      </c>
      <c r="E552" s="9" t="s">
        <v>29</v>
      </c>
      <c r="F552" s="9" t="s">
        <v>44</v>
      </c>
      <c r="G552" s="9">
        <v>57.27</v>
      </c>
      <c r="H552" s="9">
        <v>3</v>
      </c>
      <c r="I552" s="9">
        <v>8.5905000000000005</v>
      </c>
      <c r="J552" s="9">
        <v>180.40049999999999</v>
      </c>
      <c r="K552" s="10">
        <v>43505</v>
      </c>
      <c r="L552" s="11">
        <v>0.85486111111111107</v>
      </c>
      <c r="M552" s="9" t="s">
        <v>21</v>
      </c>
      <c r="N552" s="9">
        <v>171.81</v>
      </c>
      <c r="O552" s="9">
        <v>6.5</v>
      </c>
    </row>
    <row r="553" spans="1:15">
      <c r="A553" s="9" t="s">
        <v>585</v>
      </c>
      <c r="B553" s="9" t="s">
        <v>40</v>
      </c>
      <c r="C553" s="9" t="s">
        <v>41</v>
      </c>
      <c r="D553" s="9" t="s">
        <v>25</v>
      </c>
      <c r="E553" s="9" t="s">
        <v>19</v>
      </c>
      <c r="F553" s="9" t="s">
        <v>44</v>
      </c>
      <c r="G553" s="9">
        <v>54.31</v>
      </c>
      <c r="H553" s="9">
        <v>9</v>
      </c>
      <c r="I553" s="9">
        <v>24.439499999999999</v>
      </c>
      <c r="J553" s="9">
        <v>513.22950000000003</v>
      </c>
      <c r="K553" s="10">
        <v>43518</v>
      </c>
      <c r="L553" s="11">
        <v>0.45069444444444445</v>
      </c>
      <c r="M553" s="9" t="s">
        <v>27</v>
      </c>
      <c r="N553" s="9">
        <v>488.79</v>
      </c>
      <c r="O553" s="9">
        <v>8.9</v>
      </c>
    </row>
    <row r="554" spans="1:15">
      <c r="A554" s="9" t="s">
        <v>586</v>
      </c>
      <c r="B554" s="9" t="s">
        <v>40</v>
      </c>
      <c r="C554" s="9" t="s">
        <v>41</v>
      </c>
      <c r="D554" s="9" t="s">
        <v>25</v>
      </c>
      <c r="E554" s="9" t="s">
        <v>19</v>
      </c>
      <c r="F554" s="9" t="s">
        <v>20</v>
      </c>
      <c r="G554" s="9">
        <v>58.24</v>
      </c>
      <c r="H554" s="9">
        <v>9</v>
      </c>
      <c r="I554" s="9">
        <v>26.207999999999998</v>
      </c>
      <c r="J554" s="9">
        <v>550.36800000000005</v>
      </c>
      <c r="K554" s="10">
        <v>43501</v>
      </c>
      <c r="L554" s="11">
        <v>0.52361111111111114</v>
      </c>
      <c r="M554" s="9" t="s">
        <v>27</v>
      </c>
      <c r="N554" s="9">
        <v>524.16</v>
      </c>
      <c r="O554" s="9">
        <v>9.6999999999999993</v>
      </c>
    </row>
    <row r="555" spans="1:15">
      <c r="A555" s="9" t="s">
        <v>587</v>
      </c>
      <c r="B555" s="9" t="s">
        <v>23</v>
      </c>
      <c r="C555" s="9" t="s">
        <v>24</v>
      </c>
      <c r="D555" s="9" t="s">
        <v>25</v>
      </c>
      <c r="E555" s="9" t="s">
        <v>29</v>
      </c>
      <c r="F555" s="9" t="s">
        <v>26</v>
      </c>
      <c r="G555" s="9">
        <v>22.21</v>
      </c>
      <c r="H555" s="9">
        <v>6</v>
      </c>
      <c r="I555" s="9">
        <v>6.6630000000000003</v>
      </c>
      <c r="J555" s="9">
        <v>139.923</v>
      </c>
      <c r="K555" s="10">
        <v>43531</v>
      </c>
      <c r="L555" s="11">
        <v>0.43263888888888891</v>
      </c>
      <c r="M555" s="9" t="s">
        <v>31</v>
      </c>
      <c r="N555" s="9">
        <v>133.26</v>
      </c>
      <c r="O555" s="9">
        <v>8.6</v>
      </c>
    </row>
    <row r="556" spans="1:15">
      <c r="A556" s="9" t="s">
        <v>588</v>
      </c>
      <c r="B556" s="9" t="s">
        <v>16</v>
      </c>
      <c r="C556" s="9" t="s">
        <v>17</v>
      </c>
      <c r="D556" s="9" t="s">
        <v>18</v>
      </c>
      <c r="E556" s="9" t="s">
        <v>29</v>
      </c>
      <c r="F556" s="9" t="s">
        <v>26</v>
      </c>
      <c r="G556" s="9">
        <v>19.32</v>
      </c>
      <c r="H556" s="9">
        <v>7</v>
      </c>
      <c r="I556" s="9">
        <v>6.7619999999999996</v>
      </c>
      <c r="J556" s="9">
        <v>142.00200000000001</v>
      </c>
      <c r="K556" s="10">
        <v>43549</v>
      </c>
      <c r="L556" s="11">
        <v>0.78541666666666665</v>
      </c>
      <c r="M556" s="9" t="s">
        <v>27</v>
      </c>
      <c r="N556" s="9">
        <v>135.24</v>
      </c>
      <c r="O556" s="9">
        <v>6.9</v>
      </c>
    </row>
    <row r="557" spans="1:15">
      <c r="A557" s="9" t="s">
        <v>589</v>
      </c>
      <c r="B557" s="9" t="s">
        <v>40</v>
      </c>
      <c r="C557" s="9" t="s">
        <v>41</v>
      </c>
      <c r="D557" s="9" t="s">
        <v>25</v>
      </c>
      <c r="E557" s="9" t="s">
        <v>29</v>
      </c>
      <c r="F557" s="9" t="s">
        <v>30</v>
      </c>
      <c r="G557" s="9">
        <v>37.479999999999997</v>
      </c>
      <c r="H557" s="9">
        <v>3</v>
      </c>
      <c r="I557" s="9">
        <v>5.6219999999999999</v>
      </c>
      <c r="J557" s="9">
        <v>118.062</v>
      </c>
      <c r="K557" s="10">
        <v>43485</v>
      </c>
      <c r="L557" s="11">
        <v>0.57291666666666663</v>
      </c>
      <c r="M557" s="9" t="s">
        <v>31</v>
      </c>
      <c r="N557" s="9">
        <v>112.44</v>
      </c>
      <c r="O557" s="9">
        <v>7.7</v>
      </c>
    </row>
    <row r="558" spans="1:15">
      <c r="A558" s="9" t="s">
        <v>590</v>
      </c>
      <c r="B558" s="9" t="s">
        <v>40</v>
      </c>
      <c r="C558" s="9" t="s">
        <v>41</v>
      </c>
      <c r="D558" s="9" t="s">
        <v>18</v>
      </c>
      <c r="E558" s="9" t="s">
        <v>19</v>
      </c>
      <c r="F558" s="9" t="s">
        <v>44</v>
      </c>
      <c r="G558" s="9">
        <v>72.040000000000006</v>
      </c>
      <c r="H558" s="9">
        <v>2</v>
      </c>
      <c r="I558" s="9">
        <v>7.2039999999999997</v>
      </c>
      <c r="J558" s="9">
        <v>151.28399999999999</v>
      </c>
      <c r="K558" s="10">
        <v>43500</v>
      </c>
      <c r="L558" s="11">
        <v>0.81805555555555554</v>
      </c>
      <c r="M558" s="9" t="s">
        <v>27</v>
      </c>
      <c r="N558" s="9">
        <v>144.08000000000001</v>
      </c>
      <c r="O558" s="9">
        <v>9.5</v>
      </c>
    </row>
    <row r="559" spans="1:15">
      <c r="A559" s="9" t="s">
        <v>591</v>
      </c>
      <c r="B559" s="9" t="s">
        <v>23</v>
      </c>
      <c r="C559" s="9" t="s">
        <v>24</v>
      </c>
      <c r="D559" s="9" t="s">
        <v>18</v>
      </c>
      <c r="E559" s="9" t="s">
        <v>19</v>
      </c>
      <c r="F559" s="9" t="s">
        <v>42</v>
      </c>
      <c r="G559" s="9">
        <v>98.52</v>
      </c>
      <c r="H559" s="9">
        <v>10</v>
      </c>
      <c r="I559" s="9">
        <v>49.26</v>
      </c>
      <c r="J559" s="9">
        <v>1034.46</v>
      </c>
      <c r="K559" s="10">
        <v>43495</v>
      </c>
      <c r="L559" s="11">
        <v>0.84930555555555554</v>
      </c>
      <c r="M559" s="9" t="s">
        <v>21</v>
      </c>
      <c r="N559" s="9">
        <v>985.2</v>
      </c>
      <c r="O559" s="9">
        <v>4.5</v>
      </c>
    </row>
    <row r="560" spans="1:15">
      <c r="A560" s="9" t="s">
        <v>592</v>
      </c>
      <c r="B560" s="9" t="s">
        <v>16</v>
      </c>
      <c r="C560" s="9" t="s">
        <v>17</v>
      </c>
      <c r="D560" s="9" t="s">
        <v>18</v>
      </c>
      <c r="E560" s="9" t="s">
        <v>29</v>
      </c>
      <c r="F560" s="9" t="s">
        <v>42</v>
      </c>
      <c r="G560" s="9">
        <v>41.66</v>
      </c>
      <c r="H560" s="9">
        <v>6</v>
      </c>
      <c r="I560" s="9">
        <v>12.497999999999999</v>
      </c>
      <c r="J560" s="9">
        <v>262.45800000000003</v>
      </c>
      <c r="K560" s="10">
        <v>43467</v>
      </c>
      <c r="L560" s="11">
        <v>0.64166666666666672</v>
      </c>
      <c r="M560" s="9" t="s">
        <v>21</v>
      </c>
      <c r="N560" s="9">
        <v>249.96</v>
      </c>
      <c r="O560" s="9">
        <v>5.6</v>
      </c>
    </row>
    <row r="561" spans="1:15">
      <c r="A561" s="9" t="s">
        <v>593</v>
      </c>
      <c r="B561" s="9" t="s">
        <v>16</v>
      </c>
      <c r="C561" s="9" t="s">
        <v>17</v>
      </c>
      <c r="D561" s="9" t="s">
        <v>18</v>
      </c>
      <c r="E561" s="9" t="s">
        <v>19</v>
      </c>
      <c r="F561" s="9" t="s">
        <v>30</v>
      </c>
      <c r="G561" s="9">
        <v>72.42</v>
      </c>
      <c r="H561" s="9">
        <v>3</v>
      </c>
      <c r="I561" s="9">
        <v>10.863</v>
      </c>
      <c r="J561" s="9">
        <v>228.12299999999999</v>
      </c>
      <c r="K561" s="10">
        <v>43553</v>
      </c>
      <c r="L561" s="11">
        <v>0.70416666666666672</v>
      </c>
      <c r="M561" s="9" t="s">
        <v>21</v>
      </c>
      <c r="N561" s="9">
        <v>217.26</v>
      </c>
      <c r="O561" s="9">
        <v>8.1999999999999993</v>
      </c>
    </row>
    <row r="562" spans="1:15">
      <c r="A562" s="9" t="s">
        <v>594</v>
      </c>
      <c r="B562" s="9" t="s">
        <v>40</v>
      </c>
      <c r="C562" s="9" t="s">
        <v>41</v>
      </c>
      <c r="D562" s="9" t="s">
        <v>25</v>
      </c>
      <c r="E562" s="9" t="s">
        <v>29</v>
      </c>
      <c r="F562" s="9" t="s">
        <v>26</v>
      </c>
      <c r="G562" s="9">
        <v>21.58</v>
      </c>
      <c r="H562" s="9">
        <v>9</v>
      </c>
      <c r="I562" s="9">
        <v>9.7110000000000003</v>
      </c>
      <c r="J562" s="9">
        <v>203.93100000000001</v>
      </c>
      <c r="K562" s="10">
        <v>43538</v>
      </c>
      <c r="L562" s="11">
        <v>0.52222222222222225</v>
      </c>
      <c r="M562" s="9" t="s">
        <v>27</v>
      </c>
      <c r="N562" s="9">
        <v>194.22</v>
      </c>
      <c r="O562" s="9">
        <v>7.3</v>
      </c>
    </row>
    <row r="563" spans="1:15">
      <c r="A563" s="9" t="s">
        <v>595</v>
      </c>
      <c r="B563" s="9" t="s">
        <v>23</v>
      </c>
      <c r="C563" s="9" t="s">
        <v>24</v>
      </c>
      <c r="D563" s="9" t="s">
        <v>25</v>
      </c>
      <c r="E563" s="9" t="s">
        <v>29</v>
      </c>
      <c r="F563" s="9" t="s">
        <v>42</v>
      </c>
      <c r="G563" s="9">
        <v>89.2</v>
      </c>
      <c r="H563" s="9">
        <v>10</v>
      </c>
      <c r="I563" s="9">
        <v>44.6</v>
      </c>
      <c r="J563" s="9">
        <v>936.6</v>
      </c>
      <c r="K563" s="10">
        <v>43507</v>
      </c>
      <c r="L563" s="11">
        <v>0.65416666666666667</v>
      </c>
      <c r="M563" s="9" t="s">
        <v>31</v>
      </c>
      <c r="N563" s="9">
        <v>892</v>
      </c>
      <c r="O563" s="9">
        <v>4.4000000000000004</v>
      </c>
    </row>
    <row r="564" spans="1:15">
      <c r="A564" s="9" t="s">
        <v>596</v>
      </c>
      <c r="B564" s="9" t="s">
        <v>40</v>
      </c>
      <c r="C564" s="9" t="s">
        <v>41</v>
      </c>
      <c r="D564" s="9" t="s">
        <v>25</v>
      </c>
      <c r="E564" s="9" t="s">
        <v>19</v>
      </c>
      <c r="F564" s="9" t="s">
        <v>26</v>
      </c>
      <c r="G564" s="9">
        <v>42.42</v>
      </c>
      <c r="H564" s="9">
        <v>8</v>
      </c>
      <c r="I564" s="9">
        <v>16.968</v>
      </c>
      <c r="J564" s="9">
        <v>356.32799999999997</v>
      </c>
      <c r="K564" s="10">
        <v>43495</v>
      </c>
      <c r="L564" s="11">
        <v>0.58194444444444449</v>
      </c>
      <c r="M564" s="9" t="s">
        <v>21</v>
      </c>
      <c r="N564" s="9">
        <v>339.36</v>
      </c>
      <c r="O564" s="9">
        <v>5.7</v>
      </c>
    </row>
    <row r="565" spans="1:15">
      <c r="A565" s="9" t="s">
        <v>597</v>
      </c>
      <c r="B565" s="9" t="s">
        <v>16</v>
      </c>
      <c r="C565" s="9" t="s">
        <v>17</v>
      </c>
      <c r="D565" s="9" t="s">
        <v>18</v>
      </c>
      <c r="E565" s="9" t="s">
        <v>29</v>
      </c>
      <c r="F565" s="9" t="s">
        <v>26</v>
      </c>
      <c r="G565" s="9">
        <v>74.510000000000005</v>
      </c>
      <c r="H565" s="9">
        <v>6</v>
      </c>
      <c r="I565" s="9">
        <v>22.353000000000002</v>
      </c>
      <c r="J565" s="9">
        <v>469.41300000000001</v>
      </c>
      <c r="K565" s="10">
        <v>43544</v>
      </c>
      <c r="L565" s="11">
        <v>0.63055555555555554</v>
      </c>
      <c r="M565" s="9" t="s">
        <v>21</v>
      </c>
      <c r="N565" s="9">
        <v>447.06</v>
      </c>
      <c r="O565" s="9">
        <v>5</v>
      </c>
    </row>
    <row r="566" spans="1:15">
      <c r="A566" s="9" t="s">
        <v>598</v>
      </c>
      <c r="B566" s="9" t="s">
        <v>40</v>
      </c>
      <c r="C566" s="9" t="s">
        <v>41</v>
      </c>
      <c r="D566" s="9" t="s">
        <v>25</v>
      </c>
      <c r="E566" s="9" t="s">
        <v>29</v>
      </c>
      <c r="F566" s="9" t="s">
        <v>44</v>
      </c>
      <c r="G566" s="9">
        <v>99.25</v>
      </c>
      <c r="H566" s="9">
        <v>2</v>
      </c>
      <c r="I566" s="9">
        <v>9.9250000000000007</v>
      </c>
      <c r="J566" s="9">
        <v>208.42500000000001</v>
      </c>
      <c r="K566" s="10">
        <v>43544</v>
      </c>
      <c r="L566" s="11">
        <v>0.54305555555555551</v>
      </c>
      <c r="M566" s="9" t="s">
        <v>27</v>
      </c>
      <c r="N566" s="9">
        <v>198.5</v>
      </c>
      <c r="O566" s="9">
        <v>9</v>
      </c>
    </row>
    <row r="567" spans="1:15">
      <c r="A567" s="9" t="s">
        <v>599</v>
      </c>
      <c r="B567" s="9" t="s">
        <v>16</v>
      </c>
      <c r="C567" s="9" t="s">
        <v>17</v>
      </c>
      <c r="D567" s="9" t="s">
        <v>25</v>
      </c>
      <c r="E567" s="9" t="s">
        <v>19</v>
      </c>
      <c r="F567" s="9" t="s">
        <v>42</v>
      </c>
      <c r="G567" s="9">
        <v>81.209999999999994</v>
      </c>
      <c r="H567" s="9">
        <v>10</v>
      </c>
      <c r="I567" s="9">
        <v>40.604999999999997</v>
      </c>
      <c r="J567" s="9">
        <v>852.70500000000004</v>
      </c>
      <c r="K567" s="10">
        <v>43482</v>
      </c>
      <c r="L567" s="11">
        <v>0.54236111111111107</v>
      </c>
      <c r="M567" s="9" t="s">
        <v>31</v>
      </c>
      <c r="N567" s="9">
        <v>812.1</v>
      </c>
      <c r="O567" s="9">
        <v>6.3</v>
      </c>
    </row>
    <row r="568" spans="1:15">
      <c r="A568" s="9" t="s">
        <v>600</v>
      </c>
      <c r="B568" s="9" t="s">
        <v>23</v>
      </c>
      <c r="C568" s="9" t="s">
        <v>24</v>
      </c>
      <c r="D568" s="9" t="s">
        <v>25</v>
      </c>
      <c r="E568" s="9" t="s">
        <v>19</v>
      </c>
      <c r="F568" s="9" t="s">
        <v>34</v>
      </c>
      <c r="G568" s="9">
        <v>49.33</v>
      </c>
      <c r="H568" s="9">
        <v>10</v>
      </c>
      <c r="I568" s="9">
        <v>24.664999999999999</v>
      </c>
      <c r="J568" s="9">
        <v>517.96500000000003</v>
      </c>
      <c r="K568" s="10">
        <v>43499</v>
      </c>
      <c r="L568" s="11">
        <v>0.69444444444444442</v>
      </c>
      <c r="M568" s="9" t="s">
        <v>31</v>
      </c>
      <c r="N568" s="9">
        <v>493.3</v>
      </c>
      <c r="O568" s="9">
        <v>9.4</v>
      </c>
    </row>
    <row r="569" spans="1:15">
      <c r="A569" s="9" t="s">
        <v>601</v>
      </c>
      <c r="B569" s="9" t="s">
        <v>16</v>
      </c>
      <c r="C569" s="9" t="s">
        <v>17</v>
      </c>
      <c r="D569" s="9" t="s">
        <v>25</v>
      </c>
      <c r="E569" s="9" t="s">
        <v>19</v>
      </c>
      <c r="F569" s="9" t="s">
        <v>44</v>
      </c>
      <c r="G569" s="9">
        <v>65.739999999999995</v>
      </c>
      <c r="H569" s="9">
        <v>9</v>
      </c>
      <c r="I569" s="9">
        <v>29.582999999999998</v>
      </c>
      <c r="J569" s="9">
        <v>621.24300000000005</v>
      </c>
      <c r="K569" s="10">
        <v>43466</v>
      </c>
      <c r="L569" s="11">
        <v>0.57986111111111116</v>
      </c>
      <c r="M569" s="9" t="s">
        <v>27</v>
      </c>
      <c r="N569" s="9">
        <v>591.66</v>
      </c>
      <c r="O569" s="9">
        <v>7.7</v>
      </c>
    </row>
    <row r="570" spans="1:15">
      <c r="A570" s="9" t="s">
        <v>602</v>
      </c>
      <c r="B570" s="9" t="s">
        <v>40</v>
      </c>
      <c r="C570" s="9" t="s">
        <v>41</v>
      </c>
      <c r="D570" s="9" t="s">
        <v>25</v>
      </c>
      <c r="E570" s="9" t="s">
        <v>19</v>
      </c>
      <c r="F570" s="9" t="s">
        <v>44</v>
      </c>
      <c r="G570" s="9">
        <v>79.86</v>
      </c>
      <c r="H570" s="9">
        <v>7</v>
      </c>
      <c r="I570" s="9">
        <v>27.951000000000001</v>
      </c>
      <c r="J570" s="9">
        <v>586.971</v>
      </c>
      <c r="K570" s="10">
        <v>43475</v>
      </c>
      <c r="L570" s="11">
        <v>0.43958333333333333</v>
      </c>
      <c r="M570" s="9" t="s">
        <v>31</v>
      </c>
      <c r="N570" s="9">
        <v>559.02</v>
      </c>
      <c r="O570" s="9">
        <v>5.5</v>
      </c>
    </row>
    <row r="571" spans="1:15">
      <c r="A571" s="9" t="s">
        <v>603</v>
      </c>
      <c r="B571" s="9" t="s">
        <v>23</v>
      </c>
      <c r="C571" s="9" t="s">
        <v>24</v>
      </c>
      <c r="D571" s="9" t="s">
        <v>25</v>
      </c>
      <c r="E571" s="9" t="s">
        <v>19</v>
      </c>
      <c r="F571" s="9" t="s">
        <v>34</v>
      </c>
      <c r="G571" s="9">
        <v>73.98</v>
      </c>
      <c r="H571" s="9">
        <v>7</v>
      </c>
      <c r="I571" s="9">
        <v>25.893000000000001</v>
      </c>
      <c r="J571" s="9">
        <v>543.75300000000004</v>
      </c>
      <c r="K571" s="10">
        <v>43526</v>
      </c>
      <c r="L571" s="11">
        <v>0.6958333333333333</v>
      </c>
      <c r="M571" s="9" t="s">
        <v>21</v>
      </c>
      <c r="N571" s="9">
        <v>517.86</v>
      </c>
      <c r="O571" s="9">
        <v>4.0999999999999996</v>
      </c>
    </row>
    <row r="572" spans="1:15">
      <c r="A572" s="9" t="s">
        <v>604</v>
      </c>
      <c r="B572" s="9" t="s">
        <v>40</v>
      </c>
      <c r="C572" s="9" t="s">
        <v>41</v>
      </c>
      <c r="D572" s="9" t="s">
        <v>18</v>
      </c>
      <c r="E572" s="9" t="s">
        <v>19</v>
      </c>
      <c r="F572" s="9" t="s">
        <v>30</v>
      </c>
      <c r="G572" s="9">
        <v>82.04</v>
      </c>
      <c r="H572" s="9">
        <v>5</v>
      </c>
      <c r="I572" s="9">
        <v>20.51</v>
      </c>
      <c r="J572" s="9">
        <v>430.71</v>
      </c>
      <c r="K572" s="10">
        <v>43521</v>
      </c>
      <c r="L572" s="11">
        <v>0.71944444444444444</v>
      </c>
      <c r="M572" s="9" t="s">
        <v>31</v>
      </c>
      <c r="N572" s="9">
        <v>410.2</v>
      </c>
      <c r="O572" s="9">
        <v>7.6</v>
      </c>
    </row>
    <row r="573" spans="1:15">
      <c r="A573" s="9" t="s">
        <v>605</v>
      </c>
      <c r="B573" s="9" t="s">
        <v>40</v>
      </c>
      <c r="C573" s="9" t="s">
        <v>41</v>
      </c>
      <c r="D573" s="9" t="s">
        <v>18</v>
      </c>
      <c r="E573" s="9" t="s">
        <v>29</v>
      </c>
      <c r="F573" s="9" t="s">
        <v>34</v>
      </c>
      <c r="G573" s="9">
        <v>26.67</v>
      </c>
      <c r="H573" s="9">
        <v>10</v>
      </c>
      <c r="I573" s="9">
        <v>13.335000000000001</v>
      </c>
      <c r="J573" s="9">
        <v>280.03500000000003</v>
      </c>
      <c r="K573" s="10">
        <v>43494</v>
      </c>
      <c r="L573" s="11">
        <v>0.49166666666666664</v>
      </c>
      <c r="M573" s="9" t="s">
        <v>27</v>
      </c>
      <c r="N573" s="9">
        <v>266.7</v>
      </c>
      <c r="O573" s="9">
        <v>8.6</v>
      </c>
    </row>
    <row r="574" spans="1:15">
      <c r="A574" s="9" t="s">
        <v>606</v>
      </c>
      <c r="B574" s="9" t="s">
        <v>16</v>
      </c>
      <c r="C574" s="9" t="s">
        <v>17</v>
      </c>
      <c r="D574" s="9" t="s">
        <v>18</v>
      </c>
      <c r="E574" s="9" t="s">
        <v>29</v>
      </c>
      <c r="F574" s="9" t="s">
        <v>42</v>
      </c>
      <c r="G574" s="9">
        <v>10.130000000000001</v>
      </c>
      <c r="H574" s="9">
        <v>7</v>
      </c>
      <c r="I574" s="9">
        <v>3.5455000000000001</v>
      </c>
      <c r="J574" s="9">
        <v>74.455500000000001</v>
      </c>
      <c r="K574" s="10">
        <v>43534</v>
      </c>
      <c r="L574" s="11">
        <v>0.81597222222222221</v>
      </c>
      <c r="M574" s="9" t="s">
        <v>21</v>
      </c>
      <c r="N574" s="9">
        <v>70.91</v>
      </c>
      <c r="O574" s="9">
        <v>8.3000000000000007</v>
      </c>
    </row>
    <row r="575" spans="1:15">
      <c r="A575" s="9" t="s">
        <v>607</v>
      </c>
      <c r="B575" s="9" t="s">
        <v>40</v>
      </c>
      <c r="C575" s="9" t="s">
        <v>41</v>
      </c>
      <c r="D575" s="9" t="s">
        <v>25</v>
      </c>
      <c r="E575" s="9" t="s">
        <v>29</v>
      </c>
      <c r="F575" s="9" t="s">
        <v>42</v>
      </c>
      <c r="G575" s="9">
        <v>72.39</v>
      </c>
      <c r="H575" s="9">
        <v>2</v>
      </c>
      <c r="I575" s="9">
        <v>7.2389999999999999</v>
      </c>
      <c r="J575" s="9">
        <v>152.01900000000001</v>
      </c>
      <c r="K575" s="10">
        <v>43478</v>
      </c>
      <c r="L575" s="11">
        <v>0.82986111111111116</v>
      </c>
      <c r="M575" s="9" t="s">
        <v>31</v>
      </c>
      <c r="N575" s="9">
        <v>144.78</v>
      </c>
      <c r="O575" s="9">
        <v>8.1</v>
      </c>
    </row>
    <row r="576" spans="1:15">
      <c r="A576" s="9" t="s">
        <v>608</v>
      </c>
      <c r="B576" s="9" t="s">
        <v>16</v>
      </c>
      <c r="C576" s="9" t="s">
        <v>17</v>
      </c>
      <c r="D576" s="9" t="s">
        <v>25</v>
      </c>
      <c r="E576" s="9" t="s">
        <v>29</v>
      </c>
      <c r="F576" s="9" t="s">
        <v>34</v>
      </c>
      <c r="G576" s="9">
        <v>85.91</v>
      </c>
      <c r="H576" s="9">
        <v>5</v>
      </c>
      <c r="I576" s="9">
        <v>21.477499999999999</v>
      </c>
      <c r="J576" s="9">
        <v>451.02749999999997</v>
      </c>
      <c r="K576" s="10">
        <v>43546</v>
      </c>
      <c r="L576" s="11">
        <v>0.60624999999999996</v>
      </c>
      <c r="M576" s="9" t="s">
        <v>31</v>
      </c>
      <c r="N576" s="9">
        <v>429.55</v>
      </c>
      <c r="O576" s="9">
        <v>8.6</v>
      </c>
    </row>
    <row r="577" spans="1:15">
      <c r="A577" s="9" t="s">
        <v>609</v>
      </c>
      <c r="B577" s="9" t="s">
        <v>40</v>
      </c>
      <c r="C577" s="9" t="s">
        <v>41</v>
      </c>
      <c r="D577" s="9" t="s">
        <v>18</v>
      </c>
      <c r="E577" s="9" t="s">
        <v>29</v>
      </c>
      <c r="F577" s="9" t="s">
        <v>44</v>
      </c>
      <c r="G577" s="9">
        <v>81.31</v>
      </c>
      <c r="H577" s="9">
        <v>7</v>
      </c>
      <c r="I577" s="9">
        <v>28.458500000000001</v>
      </c>
      <c r="J577" s="9">
        <v>597.62850000000003</v>
      </c>
      <c r="K577" s="10">
        <v>43525</v>
      </c>
      <c r="L577" s="11">
        <v>0.8256944444444444</v>
      </c>
      <c r="M577" s="9" t="s">
        <v>21</v>
      </c>
      <c r="N577" s="9">
        <v>569.16999999999996</v>
      </c>
      <c r="O577" s="9">
        <v>6.3</v>
      </c>
    </row>
    <row r="578" spans="1:15">
      <c r="A578" s="9" t="s">
        <v>610</v>
      </c>
      <c r="B578" s="9" t="s">
        <v>40</v>
      </c>
      <c r="C578" s="9" t="s">
        <v>41</v>
      </c>
      <c r="D578" s="9" t="s">
        <v>25</v>
      </c>
      <c r="E578" s="9" t="s">
        <v>29</v>
      </c>
      <c r="F578" s="9" t="s">
        <v>42</v>
      </c>
      <c r="G578" s="9">
        <v>60.3</v>
      </c>
      <c r="H578" s="9">
        <v>4</v>
      </c>
      <c r="I578" s="9">
        <v>12.06</v>
      </c>
      <c r="J578" s="9">
        <v>253.26</v>
      </c>
      <c r="K578" s="10">
        <v>43516</v>
      </c>
      <c r="L578" s="11">
        <v>0.77986111111111112</v>
      </c>
      <c r="M578" s="9" t="s">
        <v>27</v>
      </c>
      <c r="N578" s="9">
        <v>241.2</v>
      </c>
      <c r="O578" s="9">
        <v>5.8</v>
      </c>
    </row>
    <row r="579" spans="1:15">
      <c r="A579" s="9" t="s">
        <v>611</v>
      </c>
      <c r="B579" s="9" t="s">
        <v>23</v>
      </c>
      <c r="C579" s="9" t="s">
        <v>24</v>
      </c>
      <c r="D579" s="9" t="s">
        <v>25</v>
      </c>
      <c r="E579" s="9" t="s">
        <v>29</v>
      </c>
      <c r="F579" s="9" t="s">
        <v>42</v>
      </c>
      <c r="G579" s="9">
        <v>31.77</v>
      </c>
      <c r="H579" s="9">
        <v>4</v>
      </c>
      <c r="I579" s="9">
        <v>6.3540000000000001</v>
      </c>
      <c r="J579" s="9">
        <v>133.434</v>
      </c>
      <c r="K579" s="10">
        <v>43479</v>
      </c>
      <c r="L579" s="11">
        <v>0.61319444444444449</v>
      </c>
      <c r="M579" s="9" t="s">
        <v>21</v>
      </c>
      <c r="N579" s="9">
        <v>127.08</v>
      </c>
      <c r="O579" s="9">
        <v>6.2</v>
      </c>
    </row>
    <row r="580" spans="1:15">
      <c r="A580" s="9" t="s">
        <v>612</v>
      </c>
      <c r="B580" s="9" t="s">
        <v>16</v>
      </c>
      <c r="C580" s="9" t="s">
        <v>17</v>
      </c>
      <c r="D580" s="9" t="s">
        <v>25</v>
      </c>
      <c r="E580" s="9" t="s">
        <v>19</v>
      </c>
      <c r="F580" s="9" t="s">
        <v>20</v>
      </c>
      <c r="G580" s="9">
        <v>64.27</v>
      </c>
      <c r="H580" s="9">
        <v>4</v>
      </c>
      <c r="I580" s="9">
        <v>12.853999999999999</v>
      </c>
      <c r="J580" s="9">
        <v>269.93400000000003</v>
      </c>
      <c r="K580" s="10">
        <v>43550</v>
      </c>
      <c r="L580" s="11">
        <v>0.57916666666666672</v>
      </c>
      <c r="M580" s="9" t="s">
        <v>27</v>
      </c>
      <c r="N580" s="9">
        <v>257.08</v>
      </c>
      <c r="O580" s="9">
        <v>7.7</v>
      </c>
    </row>
    <row r="581" spans="1:15">
      <c r="A581" s="9" t="s">
        <v>613</v>
      </c>
      <c r="B581" s="9" t="s">
        <v>40</v>
      </c>
      <c r="C581" s="9" t="s">
        <v>41</v>
      </c>
      <c r="D581" s="9" t="s">
        <v>25</v>
      </c>
      <c r="E581" s="9" t="s">
        <v>29</v>
      </c>
      <c r="F581" s="9" t="s">
        <v>20</v>
      </c>
      <c r="G581" s="9">
        <v>69.510000000000005</v>
      </c>
      <c r="H581" s="9">
        <v>2</v>
      </c>
      <c r="I581" s="9">
        <v>6.9509999999999996</v>
      </c>
      <c r="J581" s="9">
        <v>145.971</v>
      </c>
      <c r="K581" s="10">
        <v>43525</v>
      </c>
      <c r="L581" s="11">
        <v>0.51041666666666663</v>
      </c>
      <c r="M581" s="9" t="s">
        <v>21</v>
      </c>
      <c r="N581" s="9">
        <v>139.02000000000001</v>
      </c>
      <c r="O581" s="9">
        <v>8.1</v>
      </c>
    </row>
    <row r="582" spans="1:15">
      <c r="A582" s="9" t="s">
        <v>614</v>
      </c>
      <c r="B582" s="9" t="s">
        <v>23</v>
      </c>
      <c r="C582" s="9" t="s">
        <v>24</v>
      </c>
      <c r="D582" s="9" t="s">
        <v>25</v>
      </c>
      <c r="E582" s="9" t="s">
        <v>29</v>
      </c>
      <c r="F582" s="9" t="s">
        <v>42</v>
      </c>
      <c r="G582" s="9">
        <v>27.22</v>
      </c>
      <c r="H582" s="9">
        <v>3</v>
      </c>
      <c r="I582" s="9">
        <v>4.0830000000000002</v>
      </c>
      <c r="J582" s="9">
        <v>85.742999999999995</v>
      </c>
      <c r="K582" s="10">
        <v>43472</v>
      </c>
      <c r="L582" s="11">
        <v>0.52569444444444446</v>
      </c>
      <c r="M582" s="9" t="s">
        <v>27</v>
      </c>
      <c r="N582" s="9">
        <v>81.66</v>
      </c>
      <c r="O582" s="9">
        <v>7.3</v>
      </c>
    </row>
    <row r="583" spans="1:15">
      <c r="A583" s="9" t="s">
        <v>615</v>
      </c>
      <c r="B583" s="9" t="s">
        <v>16</v>
      </c>
      <c r="C583" s="9" t="s">
        <v>17</v>
      </c>
      <c r="D583" s="9" t="s">
        <v>18</v>
      </c>
      <c r="E583" s="9" t="s">
        <v>19</v>
      </c>
      <c r="F583" s="9" t="s">
        <v>20</v>
      </c>
      <c r="G583" s="9">
        <v>77.680000000000007</v>
      </c>
      <c r="H583" s="9">
        <v>4</v>
      </c>
      <c r="I583" s="9">
        <v>15.536</v>
      </c>
      <c r="J583" s="9">
        <v>326.25599999999997</v>
      </c>
      <c r="K583" s="10">
        <v>43497</v>
      </c>
      <c r="L583" s="11">
        <v>0.82916666666666672</v>
      </c>
      <c r="M583" s="9" t="s">
        <v>27</v>
      </c>
      <c r="N583" s="9">
        <v>310.72000000000003</v>
      </c>
      <c r="O583" s="9">
        <v>8.4</v>
      </c>
    </row>
    <row r="584" spans="1:15">
      <c r="A584" s="9" t="s">
        <v>616</v>
      </c>
      <c r="B584" s="9" t="s">
        <v>23</v>
      </c>
      <c r="C584" s="9" t="s">
        <v>24</v>
      </c>
      <c r="D584" s="9" t="s">
        <v>18</v>
      </c>
      <c r="E584" s="9" t="s">
        <v>19</v>
      </c>
      <c r="F584" s="9" t="s">
        <v>44</v>
      </c>
      <c r="G584" s="9">
        <v>92.98</v>
      </c>
      <c r="H584" s="9">
        <v>2</v>
      </c>
      <c r="I584" s="9">
        <v>9.298</v>
      </c>
      <c r="J584" s="9">
        <v>195.25800000000001</v>
      </c>
      <c r="K584" s="10">
        <v>43509</v>
      </c>
      <c r="L584" s="11">
        <v>0.62916666666666665</v>
      </c>
      <c r="M584" s="9" t="s">
        <v>31</v>
      </c>
      <c r="N584" s="9">
        <v>185.96</v>
      </c>
      <c r="O584" s="9">
        <v>8</v>
      </c>
    </row>
    <row r="585" spans="1:15">
      <c r="A585" s="9" t="s">
        <v>617</v>
      </c>
      <c r="B585" s="9" t="s">
        <v>40</v>
      </c>
      <c r="C585" s="9" t="s">
        <v>41</v>
      </c>
      <c r="D585" s="9" t="s">
        <v>18</v>
      </c>
      <c r="E585" s="9" t="s">
        <v>19</v>
      </c>
      <c r="F585" s="9" t="s">
        <v>44</v>
      </c>
      <c r="G585" s="9">
        <v>18.079999999999998</v>
      </c>
      <c r="H585" s="9">
        <v>4</v>
      </c>
      <c r="I585" s="9">
        <v>3.6160000000000001</v>
      </c>
      <c r="J585" s="9">
        <v>75.936000000000007</v>
      </c>
      <c r="K585" s="10">
        <v>43479</v>
      </c>
      <c r="L585" s="11">
        <v>0.75208333333333333</v>
      </c>
      <c r="M585" s="9" t="s">
        <v>31</v>
      </c>
      <c r="N585" s="9">
        <v>72.319999999999993</v>
      </c>
      <c r="O585" s="9">
        <v>9.5</v>
      </c>
    </row>
    <row r="586" spans="1:15">
      <c r="A586" s="9" t="s">
        <v>618</v>
      </c>
      <c r="B586" s="9" t="s">
        <v>40</v>
      </c>
      <c r="C586" s="9" t="s">
        <v>41</v>
      </c>
      <c r="D586" s="9" t="s">
        <v>25</v>
      </c>
      <c r="E586" s="9" t="s">
        <v>29</v>
      </c>
      <c r="F586" s="9" t="s">
        <v>34</v>
      </c>
      <c r="G586" s="9">
        <v>63.06</v>
      </c>
      <c r="H586" s="9">
        <v>3</v>
      </c>
      <c r="I586" s="9">
        <v>9.4589999999999996</v>
      </c>
      <c r="J586" s="9">
        <v>198.63900000000001</v>
      </c>
      <c r="K586" s="10">
        <v>43484</v>
      </c>
      <c r="L586" s="11">
        <v>0.66527777777777775</v>
      </c>
      <c r="M586" s="9" t="s">
        <v>21</v>
      </c>
      <c r="N586" s="9">
        <v>189.18</v>
      </c>
      <c r="O586" s="9">
        <v>7</v>
      </c>
    </row>
    <row r="587" spans="1:15">
      <c r="A587" s="9" t="s">
        <v>619</v>
      </c>
      <c r="B587" s="9" t="s">
        <v>16</v>
      </c>
      <c r="C587" s="9" t="s">
        <v>17</v>
      </c>
      <c r="D587" s="9" t="s">
        <v>25</v>
      </c>
      <c r="E587" s="9" t="s">
        <v>29</v>
      </c>
      <c r="F587" s="9" t="s">
        <v>20</v>
      </c>
      <c r="G587" s="9">
        <v>51.71</v>
      </c>
      <c r="H587" s="9">
        <v>4</v>
      </c>
      <c r="I587" s="9">
        <v>10.342000000000001</v>
      </c>
      <c r="J587" s="9">
        <v>217.18199999999999</v>
      </c>
      <c r="K587" s="10">
        <v>43533</v>
      </c>
      <c r="L587" s="11">
        <v>0.57847222222222228</v>
      </c>
      <c r="M587" s="9" t="s">
        <v>31</v>
      </c>
      <c r="N587" s="9">
        <v>206.84</v>
      </c>
      <c r="O587" s="9">
        <v>9.8000000000000007</v>
      </c>
    </row>
    <row r="588" spans="1:15">
      <c r="A588" s="9" t="s">
        <v>620</v>
      </c>
      <c r="B588" s="9" t="s">
        <v>16</v>
      </c>
      <c r="C588" s="9" t="s">
        <v>17</v>
      </c>
      <c r="D588" s="9" t="s">
        <v>25</v>
      </c>
      <c r="E588" s="9" t="s">
        <v>19</v>
      </c>
      <c r="F588" s="9" t="s">
        <v>42</v>
      </c>
      <c r="G588" s="9">
        <v>52.34</v>
      </c>
      <c r="H588" s="9">
        <v>3</v>
      </c>
      <c r="I588" s="9">
        <v>7.851</v>
      </c>
      <c r="J588" s="9">
        <v>164.87100000000001</v>
      </c>
      <c r="K588" s="10">
        <v>43551</v>
      </c>
      <c r="L588" s="11">
        <v>0.5854166666666667</v>
      </c>
      <c r="M588" s="9" t="s">
        <v>27</v>
      </c>
      <c r="N588" s="9">
        <v>157.02000000000001</v>
      </c>
      <c r="O588" s="9">
        <v>9.1999999999999993</v>
      </c>
    </row>
    <row r="589" spans="1:15">
      <c r="A589" s="9" t="s">
        <v>621</v>
      </c>
      <c r="B589" s="9" t="s">
        <v>16</v>
      </c>
      <c r="C589" s="9" t="s">
        <v>17</v>
      </c>
      <c r="D589" s="9" t="s">
        <v>25</v>
      </c>
      <c r="E589" s="9" t="s">
        <v>19</v>
      </c>
      <c r="F589" s="9" t="s">
        <v>34</v>
      </c>
      <c r="G589" s="9">
        <v>43.06</v>
      </c>
      <c r="H589" s="9">
        <v>5</v>
      </c>
      <c r="I589" s="9">
        <v>10.765000000000001</v>
      </c>
      <c r="J589" s="9">
        <v>226.065</v>
      </c>
      <c r="K589" s="10">
        <v>43500</v>
      </c>
      <c r="L589" s="11">
        <v>0.69305555555555554</v>
      </c>
      <c r="M589" s="9" t="s">
        <v>21</v>
      </c>
      <c r="N589" s="9">
        <v>215.3</v>
      </c>
      <c r="O589" s="9">
        <v>7.7</v>
      </c>
    </row>
    <row r="590" spans="1:15">
      <c r="A590" s="9" t="s">
        <v>622</v>
      </c>
      <c r="B590" s="9" t="s">
        <v>23</v>
      </c>
      <c r="C590" s="9" t="s">
        <v>24</v>
      </c>
      <c r="D590" s="9" t="s">
        <v>25</v>
      </c>
      <c r="E590" s="9" t="s">
        <v>29</v>
      </c>
      <c r="F590" s="9" t="s">
        <v>44</v>
      </c>
      <c r="G590" s="9">
        <v>59.61</v>
      </c>
      <c r="H590" s="9">
        <v>10</v>
      </c>
      <c r="I590" s="9">
        <v>29.805</v>
      </c>
      <c r="J590" s="9">
        <v>625.90499999999997</v>
      </c>
      <c r="K590" s="10">
        <v>43538</v>
      </c>
      <c r="L590" s="11">
        <v>0.46319444444444446</v>
      </c>
      <c r="M590" s="9" t="s">
        <v>27</v>
      </c>
      <c r="N590" s="9">
        <v>596.1</v>
      </c>
      <c r="O590" s="9">
        <v>5.3</v>
      </c>
    </row>
    <row r="591" spans="1:15">
      <c r="A591" s="9" t="s">
        <v>623</v>
      </c>
      <c r="B591" s="9" t="s">
        <v>16</v>
      </c>
      <c r="C591" s="9" t="s">
        <v>17</v>
      </c>
      <c r="D591" s="9" t="s">
        <v>25</v>
      </c>
      <c r="E591" s="9" t="s">
        <v>29</v>
      </c>
      <c r="F591" s="9" t="s">
        <v>20</v>
      </c>
      <c r="G591" s="9">
        <v>14.62</v>
      </c>
      <c r="H591" s="9">
        <v>5</v>
      </c>
      <c r="I591" s="9">
        <v>3.6549999999999998</v>
      </c>
      <c r="J591" s="9">
        <v>76.754999999999995</v>
      </c>
      <c r="K591" s="10">
        <v>43528</v>
      </c>
      <c r="L591" s="11">
        <v>0.51597222222222228</v>
      </c>
      <c r="M591" s="9" t="s">
        <v>27</v>
      </c>
      <c r="N591" s="9">
        <v>73.099999999999994</v>
      </c>
      <c r="O591" s="9">
        <v>4.4000000000000004</v>
      </c>
    </row>
    <row r="592" spans="1:15">
      <c r="A592" s="9" t="s">
        <v>624</v>
      </c>
      <c r="B592" s="9" t="s">
        <v>23</v>
      </c>
      <c r="C592" s="9" t="s">
        <v>24</v>
      </c>
      <c r="D592" s="9" t="s">
        <v>18</v>
      </c>
      <c r="E592" s="9" t="s">
        <v>29</v>
      </c>
      <c r="F592" s="9" t="s">
        <v>20</v>
      </c>
      <c r="G592" s="9">
        <v>46.53</v>
      </c>
      <c r="H592" s="9">
        <v>6</v>
      </c>
      <c r="I592" s="9">
        <v>13.959</v>
      </c>
      <c r="J592" s="9">
        <v>293.13900000000001</v>
      </c>
      <c r="K592" s="10">
        <v>43527</v>
      </c>
      <c r="L592" s="11">
        <v>0.45416666666666666</v>
      </c>
      <c r="M592" s="9" t="s">
        <v>31</v>
      </c>
      <c r="N592" s="9">
        <v>279.18</v>
      </c>
      <c r="O592" s="9">
        <v>4.3</v>
      </c>
    </row>
    <row r="593" spans="1:15">
      <c r="A593" s="9" t="s">
        <v>625</v>
      </c>
      <c r="B593" s="9" t="s">
        <v>23</v>
      </c>
      <c r="C593" s="9" t="s">
        <v>24</v>
      </c>
      <c r="D593" s="9" t="s">
        <v>18</v>
      </c>
      <c r="E593" s="9" t="s">
        <v>19</v>
      </c>
      <c r="F593" s="9" t="s">
        <v>30</v>
      </c>
      <c r="G593" s="9">
        <v>24.24</v>
      </c>
      <c r="H593" s="9">
        <v>7</v>
      </c>
      <c r="I593" s="9">
        <v>8.484</v>
      </c>
      <c r="J593" s="9">
        <v>178.16399999999999</v>
      </c>
      <c r="K593" s="10">
        <v>43492</v>
      </c>
      <c r="L593" s="11">
        <v>0.73472222222222228</v>
      </c>
      <c r="M593" s="9" t="s">
        <v>21</v>
      </c>
      <c r="N593" s="9">
        <v>169.68</v>
      </c>
      <c r="O593" s="9">
        <v>9.4</v>
      </c>
    </row>
    <row r="594" spans="1:15">
      <c r="A594" s="9" t="s">
        <v>626</v>
      </c>
      <c r="B594" s="9" t="s">
        <v>16</v>
      </c>
      <c r="C594" s="9" t="s">
        <v>17</v>
      </c>
      <c r="D594" s="9" t="s">
        <v>18</v>
      </c>
      <c r="E594" s="9" t="s">
        <v>19</v>
      </c>
      <c r="F594" s="9" t="s">
        <v>34</v>
      </c>
      <c r="G594" s="9">
        <v>45.58</v>
      </c>
      <c r="H594" s="9">
        <v>1</v>
      </c>
      <c r="I594" s="9">
        <v>2.2789999999999999</v>
      </c>
      <c r="J594" s="9">
        <v>47.859000000000002</v>
      </c>
      <c r="K594" s="10">
        <v>43503</v>
      </c>
      <c r="L594" s="11">
        <v>0.59236111111111112</v>
      </c>
      <c r="M594" s="9" t="s">
        <v>27</v>
      </c>
      <c r="N594" s="9">
        <v>45.58</v>
      </c>
      <c r="O594" s="9">
        <v>9.8000000000000007</v>
      </c>
    </row>
    <row r="595" spans="1:15">
      <c r="A595" s="9" t="s">
        <v>627</v>
      </c>
      <c r="B595" s="9" t="s">
        <v>16</v>
      </c>
      <c r="C595" s="9" t="s">
        <v>17</v>
      </c>
      <c r="D595" s="9" t="s">
        <v>18</v>
      </c>
      <c r="E595" s="9" t="s">
        <v>19</v>
      </c>
      <c r="F595" s="9" t="s">
        <v>34</v>
      </c>
      <c r="G595" s="9">
        <v>75.2</v>
      </c>
      <c r="H595" s="9">
        <v>3</v>
      </c>
      <c r="I595" s="9">
        <v>11.28</v>
      </c>
      <c r="J595" s="9">
        <v>236.88</v>
      </c>
      <c r="K595" s="10">
        <v>43501</v>
      </c>
      <c r="L595" s="11">
        <v>0.49375000000000002</v>
      </c>
      <c r="M595" s="9" t="s">
        <v>21</v>
      </c>
      <c r="N595" s="9">
        <v>225.6</v>
      </c>
      <c r="O595" s="9">
        <v>4.8</v>
      </c>
    </row>
    <row r="596" spans="1:15">
      <c r="A596" s="9" t="s">
        <v>628</v>
      </c>
      <c r="B596" s="9" t="s">
        <v>40</v>
      </c>
      <c r="C596" s="9" t="s">
        <v>41</v>
      </c>
      <c r="D596" s="9" t="s">
        <v>18</v>
      </c>
      <c r="E596" s="9" t="s">
        <v>29</v>
      </c>
      <c r="F596" s="9" t="s">
        <v>34</v>
      </c>
      <c r="G596" s="9">
        <v>96.8</v>
      </c>
      <c r="H596" s="9">
        <v>3</v>
      </c>
      <c r="I596" s="9">
        <v>14.52</v>
      </c>
      <c r="J596" s="9">
        <v>304.92</v>
      </c>
      <c r="K596" s="10">
        <v>43539</v>
      </c>
      <c r="L596" s="11">
        <v>0.54513888888888884</v>
      </c>
      <c r="M596" s="9" t="s">
        <v>27</v>
      </c>
      <c r="N596" s="9">
        <v>290.39999999999998</v>
      </c>
      <c r="O596" s="9">
        <v>5.3</v>
      </c>
    </row>
    <row r="597" spans="1:15">
      <c r="A597" s="9" t="s">
        <v>629</v>
      </c>
      <c r="B597" s="9" t="s">
        <v>40</v>
      </c>
      <c r="C597" s="9" t="s">
        <v>41</v>
      </c>
      <c r="D597" s="9" t="s">
        <v>25</v>
      </c>
      <c r="E597" s="9" t="s">
        <v>29</v>
      </c>
      <c r="F597" s="9" t="s">
        <v>20</v>
      </c>
      <c r="G597" s="9">
        <v>14.82</v>
      </c>
      <c r="H597" s="9">
        <v>3</v>
      </c>
      <c r="I597" s="9">
        <v>2.2229999999999999</v>
      </c>
      <c r="J597" s="9">
        <v>46.683</v>
      </c>
      <c r="K597" s="10">
        <v>43525</v>
      </c>
      <c r="L597" s="11">
        <v>0.47916666666666669</v>
      </c>
      <c r="M597" s="9" t="s">
        <v>31</v>
      </c>
      <c r="N597" s="9">
        <v>44.46</v>
      </c>
      <c r="O597" s="9">
        <v>8.6999999999999993</v>
      </c>
    </row>
    <row r="598" spans="1:15">
      <c r="A598" s="9" t="s">
        <v>630</v>
      </c>
      <c r="B598" s="9" t="s">
        <v>16</v>
      </c>
      <c r="C598" s="9" t="s">
        <v>17</v>
      </c>
      <c r="D598" s="9" t="s">
        <v>25</v>
      </c>
      <c r="E598" s="9" t="s">
        <v>29</v>
      </c>
      <c r="F598" s="9" t="s">
        <v>42</v>
      </c>
      <c r="G598" s="9">
        <v>52.2</v>
      </c>
      <c r="H598" s="9">
        <v>3</v>
      </c>
      <c r="I598" s="9">
        <v>7.83</v>
      </c>
      <c r="J598" s="9">
        <v>164.43</v>
      </c>
      <c r="K598" s="10">
        <v>43511</v>
      </c>
      <c r="L598" s="11">
        <v>0.5625</v>
      </c>
      <c r="M598" s="9" t="s">
        <v>31</v>
      </c>
      <c r="N598" s="9">
        <v>156.6</v>
      </c>
      <c r="O598" s="9">
        <v>9.5</v>
      </c>
    </row>
    <row r="599" spans="1:15">
      <c r="A599" s="9" t="s">
        <v>631</v>
      </c>
      <c r="B599" s="9" t="s">
        <v>23</v>
      </c>
      <c r="C599" s="9" t="s">
        <v>24</v>
      </c>
      <c r="D599" s="9" t="s">
        <v>25</v>
      </c>
      <c r="E599" s="9" t="s">
        <v>19</v>
      </c>
      <c r="F599" s="9" t="s">
        <v>34</v>
      </c>
      <c r="G599" s="9">
        <v>46.66</v>
      </c>
      <c r="H599" s="9">
        <v>9</v>
      </c>
      <c r="I599" s="9">
        <v>20.997</v>
      </c>
      <c r="J599" s="9">
        <v>440.93700000000001</v>
      </c>
      <c r="K599" s="10">
        <v>43513</v>
      </c>
      <c r="L599" s="11">
        <v>0.7993055555555556</v>
      </c>
      <c r="M599" s="9" t="s">
        <v>21</v>
      </c>
      <c r="N599" s="9">
        <v>419.94</v>
      </c>
      <c r="O599" s="9">
        <v>5.3</v>
      </c>
    </row>
    <row r="600" spans="1:15">
      <c r="A600" s="9" t="s">
        <v>632</v>
      </c>
      <c r="B600" s="9" t="s">
        <v>23</v>
      </c>
      <c r="C600" s="9" t="s">
        <v>24</v>
      </c>
      <c r="D600" s="9" t="s">
        <v>25</v>
      </c>
      <c r="E600" s="9" t="s">
        <v>19</v>
      </c>
      <c r="F600" s="9" t="s">
        <v>44</v>
      </c>
      <c r="G600" s="9">
        <v>36.85</v>
      </c>
      <c r="H600" s="9">
        <v>5</v>
      </c>
      <c r="I600" s="9">
        <v>9.2125000000000004</v>
      </c>
      <c r="J600" s="9">
        <v>193.46250000000001</v>
      </c>
      <c r="K600" s="10">
        <v>43491</v>
      </c>
      <c r="L600" s="11">
        <v>0.78680555555555554</v>
      </c>
      <c r="M600" s="9" t="s">
        <v>27</v>
      </c>
      <c r="N600" s="9">
        <v>184.25</v>
      </c>
      <c r="O600" s="9">
        <v>9.1999999999999993</v>
      </c>
    </row>
    <row r="601" spans="1:15">
      <c r="A601" s="9" t="s">
        <v>633</v>
      </c>
      <c r="B601" s="9" t="s">
        <v>16</v>
      </c>
      <c r="C601" s="9" t="s">
        <v>17</v>
      </c>
      <c r="D601" s="9" t="s">
        <v>18</v>
      </c>
      <c r="E601" s="9" t="s">
        <v>19</v>
      </c>
      <c r="F601" s="9" t="s">
        <v>30</v>
      </c>
      <c r="G601" s="9">
        <v>70.319999999999993</v>
      </c>
      <c r="H601" s="9">
        <v>2</v>
      </c>
      <c r="I601" s="9">
        <v>7.032</v>
      </c>
      <c r="J601" s="9">
        <v>147.672</v>
      </c>
      <c r="K601" s="10">
        <v>43548</v>
      </c>
      <c r="L601" s="11">
        <v>0.59861111111111109</v>
      </c>
      <c r="M601" s="9" t="s">
        <v>21</v>
      </c>
      <c r="N601" s="9">
        <v>140.63999999999999</v>
      </c>
      <c r="O601" s="9">
        <v>9.6</v>
      </c>
    </row>
    <row r="602" spans="1:15">
      <c r="A602" s="9" t="s">
        <v>634</v>
      </c>
      <c r="B602" s="9" t="s">
        <v>23</v>
      </c>
      <c r="C602" s="9" t="s">
        <v>24</v>
      </c>
      <c r="D602" s="9" t="s">
        <v>25</v>
      </c>
      <c r="E602" s="9" t="s">
        <v>29</v>
      </c>
      <c r="F602" s="9" t="s">
        <v>26</v>
      </c>
      <c r="G602" s="9">
        <v>83.08</v>
      </c>
      <c r="H602" s="9">
        <v>1</v>
      </c>
      <c r="I602" s="9">
        <v>4.1539999999999999</v>
      </c>
      <c r="J602" s="9">
        <v>87.233999999999995</v>
      </c>
      <c r="K602" s="10">
        <v>43488</v>
      </c>
      <c r="L602" s="11">
        <v>0.71944444444444444</v>
      </c>
      <c r="M602" s="9" t="s">
        <v>21</v>
      </c>
      <c r="N602" s="9">
        <v>83.08</v>
      </c>
      <c r="O602" s="9">
        <v>6.4</v>
      </c>
    </row>
    <row r="603" spans="1:15">
      <c r="A603" s="9" t="s">
        <v>635</v>
      </c>
      <c r="B603" s="9" t="s">
        <v>23</v>
      </c>
      <c r="C603" s="9" t="s">
        <v>24</v>
      </c>
      <c r="D603" s="9" t="s">
        <v>25</v>
      </c>
      <c r="E603" s="9" t="s">
        <v>19</v>
      </c>
      <c r="F603" s="9" t="s">
        <v>44</v>
      </c>
      <c r="G603" s="9">
        <v>64.989999999999995</v>
      </c>
      <c r="H603" s="9">
        <v>1</v>
      </c>
      <c r="I603" s="9">
        <v>3.2494999999999998</v>
      </c>
      <c r="J603" s="9">
        <v>68.239500000000007</v>
      </c>
      <c r="K603" s="10">
        <v>43491</v>
      </c>
      <c r="L603" s="11">
        <v>0.42083333333333334</v>
      </c>
      <c r="M603" s="9" t="s">
        <v>31</v>
      </c>
      <c r="N603" s="9">
        <v>64.989999999999995</v>
      </c>
      <c r="O603" s="9">
        <v>4.5</v>
      </c>
    </row>
    <row r="604" spans="1:15">
      <c r="A604" s="9" t="s">
        <v>636</v>
      </c>
      <c r="B604" s="9" t="s">
        <v>23</v>
      </c>
      <c r="C604" s="9" t="s">
        <v>24</v>
      </c>
      <c r="D604" s="9" t="s">
        <v>25</v>
      </c>
      <c r="E604" s="9" t="s">
        <v>29</v>
      </c>
      <c r="F604" s="9" t="s">
        <v>42</v>
      </c>
      <c r="G604" s="9">
        <v>77.56</v>
      </c>
      <c r="H604" s="9">
        <v>10</v>
      </c>
      <c r="I604" s="9">
        <v>38.78</v>
      </c>
      <c r="J604" s="9">
        <v>814.38</v>
      </c>
      <c r="K604" s="10">
        <v>43538</v>
      </c>
      <c r="L604" s="11">
        <v>0.85763888888888884</v>
      </c>
      <c r="M604" s="9" t="s">
        <v>21</v>
      </c>
      <c r="N604" s="9">
        <v>775.6</v>
      </c>
      <c r="O604" s="9">
        <v>6.9</v>
      </c>
    </row>
    <row r="605" spans="1:15">
      <c r="A605" s="9" t="s">
        <v>637</v>
      </c>
      <c r="B605" s="9" t="s">
        <v>40</v>
      </c>
      <c r="C605" s="9" t="s">
        <v>41</v>
      </c>
      <c r="D605" s="9" t="s">
        <v>25</v>
      </c>
      <c r="E605" s="9" t="s">
        <v>19</v>
      </c>
      <c r="F605" s="9" t="s">
        <v>34</v>
      </c>
      <c r="G605" s="9">
        <v>54.51</v>
      </c>
      <c r="H605" s="9">
        <v>6</v>
      </c>
      <c r="I605" s="9">
        <v>16.353000000000002</v>
      </c>
      <c r="J605" s="9">
        <v>343.41300000000001</v>
      </c>
      <c r="K605" s="10">
        <v>43541</v>
      </c>
      <c r="L605" s="11">
        <v>0.57916666666666672</v>
      </c>
      <c r="M605" s="9" t="s">
        <v>21</v>
      </c>
      <c r="N605" s="9">
        <v>327.06</v>
      </c>
      <c r="O605" s="9">
        <v>7.8</v>
      </c>
    </row>
    <row r="606" spans="1:15">
      <c r="A606" s="9" t="s">
        <v>638</v>
      </c>
      <c r="B606" s="9" t="s">
        <v>23</v>
      </c>
      <c r="C606" s="9" t="s">
        <v>24</v>
      </c>
      <c r="D606" s="9" t="s">
        <v>18</v>
      </c>
      <c r="E606" s="9" t="s">
        <v>19</v>
      </c>
      <c r="F606" s="9" t="s">
        <v>44</v>
      </c>
      <c r="G606" s="9">
        <v>51.89</v>
      </c>
      <c r="H606" s="9">
        <v>7</v>
      </c>
      <c r="I606" s="9">
        <v>18.1615</v>
      </c>
      <c r="J606" s="9">
        <v>381.39150000000001</v>
      </c>
      <c r="K606" s="10">
        <v>43473</v>
      </c>
      <c r="L606" s="11">
        <v>0.83888888888888891</v>
      </c>
      <c r="M606" s="9" t="s">
        <v>27</v>
      </c>
      <c r="N606" s="9">
        <v>363.23</v>
      </c>
      <c r="O606" s="9">
        <v>4.5</v>
      </c>
    </row>
    <row r="607" spans="1:15">
      <c r="A607" s="9" t="s">
        <v>639</v>
      </c>
      <c r="B607" s="9" t="s">
        <v>40</v>
      </c>
      <c r="C607" s="9" t="s">
        <v>41</v>
      </c>
      <c r="D607" s="9" t="s">
        <v>25</v>
      </c>
      <c r="E607" s="9" t="s">
        <v>29</v>
      </c>
      <c r="F607" s="9" t="s">
        <v>30</v>
      </c>
      <c r="G607" s="9">
        <v>31.75</v>
      </c>
      <c r="H607" s="9">
        <v>4</v>
      </c>
      <c r="I607" s="9">
        <v>6.35</v>
      </c>
      <c r="J607" s="9">
        <v>133.35</v>
      </c>
      <c r="K607" s="10">
        <v>43504</v>
      </c>
      <c r="L607" s="11">
        <v>0.6430555555555556</v>
      </c>
      <c r="M607" s="9" t="s">
        <v>27</v>
      </c>
      <c r="N607" s="9">
        <v>127</v>
      </c>
      <c r="O607" s="9">
        <v>8.6</v>
      </c>
    </row>
    <row r="608" spans="1:15">
      <c r="A608" s="9" t="s">
        <v>640</v>
      </c>
      <c r="B608" s="9" t="s">
        <v>16</v>
      </c>
      <c r="C608" s="9" t="s">
        <v>17</v>
      </c>
      <c r="D608" s="9" t="s">
        <v>18</v>
      </c>
      <c r="E608" s="9" t="s">
        <v>19</v>
      </c>
      <c r="F608" s="9" t="s">
        <v>44</v>
      </c>
      <c r="G608" s="9">
        <v>53.65</v>
      </c>
      <c r="H608" s="9">
        <v>7</v>
      </c>
      <c r="I608" s="9">
        <v>18.7775</v>
      </c>
      <c r="J608" s="9">
        <v>394.32749999999999</v>
      </c>
      <c r="K608" s="10">
        <v>43506</v>
      </c>
      <c r="L608" s="11">
        <v>0.53888888888888886</v>
      </c>
      <c r="M608" s="9" t="s">
        <v>21</v>
      </c>
      <c r="N608" s="9">
        <v>375.55</v>
      </c>
      <c r="O608" s="9">
        <v>5.2</v>
      </c>
    </row>
    <row r="609" spans="1:15">
      <c r="A609" s="9" t="s">
        <v>641</v>
      </c>
      <c r="B609" s="9" t="s">
        <v>23</v>
      </c>
      <c r="C609" s="9" t="s">
        <v>24</v>
      </c>
      <c r="D609" s="9" t="s">
        <v>18</v>
      </c>
      <c r="E609" s="9" t="s">
        <v>19</v>
      </c>
      <c r="F609" s="9" t="s">
        <v>42</v>
      </c>
      <c r="G609" s="9">
        <v>49.79</v>
      </c>
      <c r="H609" s="9">
        <v>4</v>
      </c>
      <c r="I609" s="9">
        <v>9.9580000000000002</v>
      </c>
      <c r="J609" s="9">
        <v>209.11799999999999</v>
      </c>
      <c r="K609" s="10">
        <v>43552</v>
      </c>
      <c r="L609" s="11">
        <v>0.80277777777777781</v>
      </c>
      <c r="M609" s="9" t="s">
        <v>31</v>
      </c>
      <c r="N609" s="9">
        <v>199.16</v>
      </c>
      <c r="O609" s="9">
        <v>6.4</v>
      </c>
    </row>
    <row r="610" spans="1:15">
      <c r="A610" s="9" t="s">
        <v>642</v>
      </c>
      <c r="B610" s="9" t="s">
        <v>16</v>
      </c>
      <c r="C610" s="9" t="s">
        <v>17</v>
      </c>
      <c r="D610" s="9" t="s">
        <v>25</v>
      </c>
      <c r="E610" s="9" t="s">
        <v>29</v>
      </c>
      <c r="F610" s="9" t="s">
        <v>44</v>
      </c>
      <c r="G610" s="9">
        <v>30.61</v>
      </c>
      <c r="H610" s="9">
        <v>1</v>
      </c>
      <c r="I610" s="9">
        <v>1.5305</v>
      </c>
      <c r="J610" s="9">
        <v>32.140500000000003</v>
      </c>
      <c r="K610" s="10">
        <v>43488</v>
      </c>
      <c r="L610" s="11">
        <v>0.51388888888888884</v>
      </c>
      <c r="M610" s="9" t="s">
        <v>21</v>
      </c>
      <c r="N610" s="9">
        <v>30.61</v>
      </c>
      <c r="O610" s="9">
        <v>5.2</v>
      </c>
    </row>
    <row r="611" spans="1:15">
      <c r="A611" s="9" t="s">
        <v>643</v>
      </c>
      <c r="B611" s="9" t="s">
        <v>40</v>
      </c>
      <c r="C611" s="9" t="s">
        <v>41</v>
      </c>
      <c r="D611" s="9" t="s">
        <v>18</v>
      </c>
      <c r="E611" s="9" t="s">
        <v>29</v>
      </c>
      <c r="F611" s="9" t="s">
        <v>42</v>
      </c>
      <c r="G611" s="9">
        <v>57.89</v>
      </c>
      <c r="H611" s="9">
        <v>2</v>
      </c>
      <c r="I611" s="9">
        <v>5.7889999999999997</v>
      </c>
      <c r="J611" s="9">
        <v>121.569</v>
      </c>
      <c r="K611" s="10">
        <v>43482</v>
      </c>
      <c r="L611" s="11">
        <v>0.44236111111111109</v>
      </c>
      <c r="M611" s="9" t="s">
        <v>21</v>
      </c>
      <c r="N611" s="9">
        <v>115.78</v>
      </c>
      <c r="O611" s="9">
        <v>8.9</v>
      </c>
    </row>
    <row r="612" spans="1:15">
      <c r="A612" s="9" t="s">
        <v>644</v>
      </c>
      <c r="B612" s="9" t="s">
        <v>16</v>
      </c>
      <c r="C612" s="9" t="s">
        <v>17</v>
      </c>
      <c r="D612" s="9" t="s">
        <v>25</v>
      </c>
      <c r="E612" s="9" t="s">
        <v>19</v>
      </c>
      <c r="F612" s="9" t="s">
        <v>26</v>
      </c>
      <c r="G612" s="9">
        <v>28.96</v>
      </c>
      <c r="H612" s="9">
        <v>1</v>
      </c>
      <c r="I612" s="9">
        <v>1.448</v>
      </c>
      <c r="J612" s="9">
        <v>30.408000000000001</v>
      </c>
      <c r="K612" s="10">
        <v>43503</v>
      </c>
      <c r="L612" s="11">
        <v>0.42916666666666664</v>
      </c>
      <c r="M612" s="9" t="s">
        <v>31</v>
      </c>
      <c r="N612" s="9">
        <v>28.96</v>
      </c>
      <c r="O612" s="9">
        <v>6.2</v>
      </c>
    </row>
    <row r="613" spans="1:15">
      <c r="A613" s="9" t="s">
        <v>645</v>
      </c>
      <c r="B613" s="9" t="s">
        <v>23</v>
      </c>
      <c r="C613" s="9" t="s">
        <v>24</v>
      </c>
      <c r="D613" s="9" t="s">
        <v>18</v>
      </c>
      <c r="E613" s="9" t="s">
        <v>19</v>
      </c>
      <c r="F613" s="9" t="s">
        <v>42</v>
      </c>
      <c r="G613" s="9">
        <v>98.97</v>
      </c>
      <c r="H613" s="9">
        <v>9</v>
      </c>
      <c r="I613" s="9">
        <v>44.536499999999997</v>
      </c>
      <c r="J613" s="9">
        <v>935.26649999999995</v>
      </c>
      <c r="K613" s="10">
        <v>43533</v>
      </c>
      <c r="L613" s="11">
        <v>0.47430555555555554</v>
      </c>
      <c r="M613" s="9" t="s">
        <v>27</v>
      </c>
      <c r="N613" s="9">
        <v>890.73</v>
      </c>
      <c r="O613" s="9">
        <v>6.7</v>
      </c>
    </row>
    <row r="614" spans="1:15">
      <c r="A614" s="9" t="s">
        <v>646</v>
      </c>
      <c r="B614" s="9" t="s">
        <v>40</v>
      </c>
      <c r="C614" s="9" t="s">
        <v>41</v>
      </c>
      <c r="D614" s="9" t="s">
        <v>18</v>
      </c>
      <c r="E614" s="9" t="s">
        <v>29</v>
      </c>
      <c r="F614" s="9" t="s">
        <v>44</v>
      </c>
      <c r="G614" s="9">
        <v>93.22</v>
      </c>
      <c r="H614" s="9">
        <v>3</v>
      </c>
      <c r="I614" s="9">
        <v>13.983000000000001</v>
      </c>
      <c r="J614" s="9">
        <v>293.64299999999997</v>
      </c>
      <c r="K614" s="10">
        <v>43489</v>
      </c>
      <c r="L614" s="11">
        <v>0.48958333333333331</v>
      </c>
      <c r="M614" s="9" t="s">
        <v>27</v>
      </c>
      <c r="N614" s="9">
        <v>279.66000000000003</v>
      </c>
      <c r="O614" s="9">
        <v>7.2</v>
      </c>
    </row>
    <row r="615" spans="1:15">
      <c r="A615" s="9" t="s">
        <v>647</v>
      </c>
      <c r="B615" s="9" t="s">
        <v>23</v>
      </c>
      <c r="C615" s="9" t="s">
        <v>24</v>
      </c>
      <c r="D615" s="9" t="s">
        <v>18</v>
      </c>
      <c r="E615" s="9" t="s">
        <v>29</v>
      </c>
      <c r="F615" s="9" t="s">
        <v>34</v>
      </c>
      <c r="G615" s="9">
        <v>80.930000000000007</v>
      </c>
      <c r="H615" s="9">
        <v>1</v>
      </c>
      <c r="I615" s="9">
        <v>4.0465</v>
      </c>
      <c r="J615" s="9">
        <v>84.976500000000001</v>
      </c>
      <c r="K615" s="10">
        <v>43484</v>
      </c>
      <c r="L615" s="11">
        <v>0.67222222222222228</v>
      </c>
      <c r="M615" s="9" t="s">
        <v>31</v>
      </c>
      <c r="N615" s="9">
        <v>80.930000000000007</v>
      </c>
      <c r="O615" s="9">
        <v>9</v>
      </c>
    </row>
    <row r="616" spans="1:15">
      <c r="A616" s="9" t="s">
        <v>648</v>
      </c>
      <c r="B616" s="9" t="s">
        <v>16</v>
      </c>
      <c r="C616" s="9" t="s">
        <v>17</v>
      </c>
      <c r="D616" s="9" t="s">
        <v>18</v>
      </c>
      <c r="E616" s="9" t="s">
        <v>29</v>
      </c>
      <c r="F616" s="9" t="s">
        <v>42</v>
      </c>
      <c r="G616" s="9">
        <v>67.45</v>
      </c>
      <c r="H616" s="9">
        <v>10</v>
      </c>
      <c r="I616" s="9">
        <v>33.725000000000001</v>
      </c>
      <c r="J616" s="9">
        <v>708.22500000000002</v>
      </c>
      <c r="K616" s="10">
        <v>43499</v>
      </c>
      <c r="L616" s="11">
        <v>0.47569444444444442</v>
      </c>
      <c r="M616" s="9" t="s">
        <v>21</v>
      </c>
      <c r="N616" s="9">
        <v>674.5</v>
      </c>
      <c r="O616" s="9">
        <v>4.2</v>
      </c>
    </row>
    <row r="617" spans="1:15">
      <c r="A617" s="9" t="s">
        <v>649</v>
      </c>
      <c r="B617" s="9" t="s">
        <v>16</v>
      </c>
      <c r="C617" s="9" t="s">
        <v>17</v>
      </c>
      <c r="D617" s="9" t="s">
        <v>18</v>
      </c>
      <c r="E617" s="9" t="s">
        <v>19</v>
      </c>
      <c r="F617" s="9" t="s">
        <v>34</v>
      </c>
      <c r="G617" s="9">
        <v>38.72</v>
      </c>
      <c r="H617" s="9">
        <v>9</v>
      </c>
      <c r="I617" s="9">
        <v>17.423999999999999</v>
      </c>
      <c r="J617" s="9">
        <v>365.904</v>
      </c>
      <c r="K617" s="10">
        <v>43544</v>
      </c>
      <c r="L617" s="11">
        <v>0.51666666666666672</v>
      </c>
      <c r="M617" s="9" t="s">
        <v>21</v>
      </c>
      <c r="N617" s="9">
        <v>348.48</v>
      </c>
      <c r="O617" s="9">
        <v>4.2</v>
      </c>
    </row>
    <row r="618" spans="1:15">
      <c r="A618" s="9" t="s">
        <v>650</v>
      </c>
      <c r="B618" s="9" t="s">
        <v>40</v>
      </c>
      <c r="C618" s="9" t="s">
        <v>41</v>
      </c>
      <c r="D618" s="9" t="s">
        <v>18</v>
      </c>
      <c r="E618" s="9" t="s">
        <v>29</v>
      </c>
      <c r="F618" s="9" t="s">
        <v>34</v>
      </c>
      <c r="G618" s="9">
        <v>72.599999999999994</v>
      </c>
      <c r="H618" s="9">
        <v>6</v>
      </c>
      <c r="I618" s="9">
        <v>21.78</v>
      </c>
      <c r="J618" s="9">
        <v>457.38</v>
      </c>
      <c r="K618" s="10">
        <v>43478</v>
      </c>
      <c r="L618" s="11">
        <v>0.82708333333333328</v>
      </c>
      <c r="M618" s="9" t="s">
        <v>27</v>
      </c>
      <c r="N618" s="9">
        <v>435.6</v>
      </c>
      <c r="O618" s="9">
        <v>6.9</v>
      </c>
    </row>
    <row r="619" spans="1:15">
      <c r="A619" s="9" t="s">
        <v>651</v>
      </c>
      <c r="B619" s="9" t="s">
        <v>23</v>
      </c>
      <c r="C619" s="9" t="s">
        <v>24</v>
      </c>
      <c r="D619" s="9" t="s">
        <v>18</v>
      </c>
      <c r="E619" s="9" t="s">
        <v>29</v>
      </c>
      <c r="F619" s="9" t="s">
        <v>26</v>
      </c>
      <c r="G619" s="9">
        <v>87.91</v>
      </c>
      <c r="H619" s="9">
        <v>5</v>
      </c>
      <c r="I619" s="9">
        <v>21.977499999999999</v>
      </c>
      <c r="J619" s="9">
        <v>461.52749999999997</v>
      </c>
      <c r="K619" s="10">
        <v>43538</v>
      </c>
      <c r="L619" s="11">
        <v>0.75694444444444442</v>
      </c>
      <c r="M619" s="9" t="s">
        <v>21</v>
      </c>
      <c r="N619" s="9">
        <v>439.55</v>
      </c>
      <c r="O619" s="9">
        <v>4.4000000000000004</v>
      </c>
    </row>
    <row r="620" spans="1:15">
      <c r="A620" s="9" t="s">
        <v>652</v>
      </c>
      <c r="B620" s="9" t="s">
        <v>16</v>
      </c>
      <c r="C620" s="9" t="s">
        <v>17</v>
      </c>
      <c r="D620" s="9" t="s">
        <v>18</v>
      </c>
      <c r="E620" s="9" t="s">
        <v>29</v>
      </c>
      <c r="F620" s="9" t="s">
        <v>42</v>
      </c>
      <c r="G620" s="9">
        <v>98.53</v>
      </c>
      <c r="H620" s="9">
        <v>6</v>
      </c>
      <c r="I620" s="9">
        <v>29.559000000000001</v>
      </c>
      <c r="J620" s="9">
        <v>620.73900000000003</v>
      </c>
      <c r="K620" s="10">
        <v>43488</v>
      </c>
      <c r="L620" s="11">
        <v>0.47361111111111109</v>
      </c>
      <c r="M620" s="9" t="s">
        <v>31</v>
      </c>
      <c r="N620" s="9">
        <v>591.17999999999995</v>
      </c>
      <c r="O620" s="9">
        <v>4</v>
      </c>
    </row>
    <row r="621" spans="1:15">
      <c r="A621" s="9" t="s">
        <v>653</v>
      </c>
      <c r="B621" s="9" t="s">
        <v>23</v>
      </c>
      <c r="C621" s="9" t="s">
        <v>24</v>
      </c>
      <c r="D621" s="9" t="s">
        <v>18</v>
      </c>
      <c r="E621" s="9" t="s">
        <v>19</v>
      </c>
      <c r="F621" s="9" t="s">
        <v>44</v>
      </c>
      <c r="G621" s="9">
        <v>43.46</v>
      </c>
      <c r="H621" s="9">
        <v>6</v>
      </c>
      <c r="I621" s="9">
        <v>13.038</v>
      </c>
      <c r="J621" s="9">
        <v>273.798</v>
      </c>
      <c r="K621" s="10">
        <v>43503</v>
      </c>
      <c r="L621" s="11">
        <v>0.74652777777777779</v>
      </c>
      <c r="M621" s="9" t="s">
        <v>21</v>
      </c>
      <c r="N621" s="9">
        <v>260.76</v>
      </c>
      <c r="O621" s="9">
        <v>8.5</v>
      </c>
    </row>
    <row r="622" spans="1:15">
      <c r="A622" s="9" t="s">
        <v>654</v>
      </c>
      <c r="B622" s="9" t="s">
        <v>16</v>
      </c>
      <c r="C622" s="9" t="s">
        <v>17</v>
      </c>
      <c r="D622" s="9" t="s">
        <v>25</v>
      </c>
      <c r="E622" s="9" t="s">
        <v>19</v>
      </c>
      <c r="F622" s="9" t="s">
        <v>42</v>
      </c>
      <c r="G622" s="9">
        <v>71.680000000000007</v>
      </c>
      <c r="H622" s="9">
        <v>3</v>
      </c>
      <c r="I622" s="9">
        <v>10.752000000000001</v>
      </c>
      <c r="J622" s="9">
        <v>225.792</v>
      </c>
      <c r="K622" s="10">
        <v>43552</v>
      </c>
      <c r="L622" s="11">
        <v>0.64583333333333337</v>
      </c>
      <c r="M622" s="9" t="s">
        <v>31</v>
      </c>
      <c r="N622" s="9">
        <v>215.04</v>
      </c>
      <c r="O622" s="9">
        <v>9.1999999999999993</v>
      </c>
    </row>
    <row r="623" spans="1:15">
      <c r="A623" s="9" t="s">
        <v>655</v>
      </c>
      <c r="B623" s="9" t="s">
        <v>16</v>
      </c>
      <c r="C623" s="9" t="s">
        <v>17</v>
      </c>
      <c r="D623" s="9" t="s">
        <v>18</v>
      </c>
      <c r="E623" s="9" t="s">
        <v>19</v>
      </c>
      <c r="F623" s="9" t="s">
        <v>42</v>
      </c>
      <c r="G623" s="9">
        <v>91.61</v>
      </c>
      <c r="H623" s="9">
        <v>1</v>
      </c>
      <c r="I623" s="9">
        <v>4.5804999999999998</v>
      </c>
      <c r="J623" s="9">
        <v>96.1905</v>
      </c>
      <c r="K623" s="10">
        <v>43544</v>
      </c>
      <c r="L623" s="11">
        <v>0.82222222222222219</v>
      </c>
      <c r="M623" s="9" t="s">
        <v>27</v>
      </c>
      <c r="N623" s="9">
        <v>91.61</v>
      </c>
      <c r="O623" s="9">
        <v>9.8000000000000007</v>
      </c>
    </row>
    <row r="624" spans="1:15">
      <c r="A624" s="9" t="s">
        <v>656</v>
      </c>
      <c r="B624" s="9" t="s">
        <v>40</v>
      </c>
      <c r="C624" s="9" t="s">
        <v>41</v>
      </c>
      <c r="D624" s="9" t="s">
        <v>18</v>
      </c>
      <c r="E624" s="9" t="s">
        <v>19</v>
      </c>
      <c r="F624" s="9" t="s">
        <v>30</v>
      </c>
      <c r="G624" s="9">
        <v>94.59</v>
      </c>
      <c r="H624" s="9">
        <v>7</v>
      </c>
      <c r="I624" s="9">
        <v>33.106499999999997</v>
      </c>
      <c r="J624" s="9">
        <v>695.23649999999998</v>
      </c>
      <c r="K624" s="10">
        <v>43482</v>
      </c>
      <c r="L624" s="11">
        <v>0.64375000000000004</v>
      </c>
      <c r="M624" s="9" t="s">
        <v>31</v>
      </c>
      <c r="N624" s="9">
        <v>662.13</v>
      </c>
      <c r="O624" s="9">
        <v>4.9000000000000004</v>
      </c>
    </row>
    <row r="625" spans="1:15">
      <c r="A625" s="9" t="s">
        <v>657</v>
      </c>
      <c r="B625" s="9" t="s">
        <v>40</v>
      </c>
      <c r="C625" s="9" t="s">
        <v>41</v>
      </c>
      <c r="D625" s="9" t="s">
        <v>25</v>
      </c>
      <c r="E625" s="9" t="s">
        <v>19</v>
      </c>
      <c r="F625" s="9" t="s">
        <v>44</v>
      </c>
      <c r="G625" s="9">
        <v>83.25</v>
      </c>
      <c r="H625" s="9">
        <v>10</v>
      </c>
      <c r="I625" s="9">
        <v>41.625</v>
      </c>
      <c r="J625" s="9">
        <v>874.125</v>
      </c>
      <c r="K625" s="10">
        <v>43477</v>
      </c>
      <c r="L625" s="11">
        <v>0.47569444444444442</v>
      </c>
      <c r="M625" s="9" t="s">
        <v>31</v>
      </c>
      <c r="N625" s="9">
        <v>832.5</v>
      </c>
      <c r="O625" s="9">
        <v>4.4000000000000004</v>
      </c>
    </row>
    <row r="626" spans="1:15">
      <c r="A626" s="9" t="s">
        <v>658</v>
      </c>
      <c r="B626" s="9" t="s">
        <v>40</v>
      </c>
      <c r="C626" s="9" t="s">
        <v>41</v>
      </c>
      <c r="D626" s="9" t="s">
        <v>18</v>
      </c>
      <c r="E626" s="9" t="s">
        <v>29</v>
      </c>
      <c r="F626" s="9" t="s">
        <v>44</v>
      </c>
      <c r="G626" s="9">
        <v>91.35</v>
      </c>
      <c r="H626" s="9">
        <v>1</v>
      </c>
      <c r="I626" s="9">
        <v>4.5674999999999999</v>
      </c>
      <c r="J626" s="9">
        <v>95.917500000000004</v>
      </c>
      <c r="K626" s="10">
        <v>43512</v>
      </c>
      <c r="L626" s="11">
        <v>0.65416666666666667</v>
      </c>
      <c r="M626" s="9" t="s">
        <v>27</v>
      </c>
      <c r="N626" s="9">
        <v>91.35</v>
      </c>
      <c r="O626" s="9">
        <v>6.8</v>
      </c>
    </row>
    <row r="627" spans="1:15">
      <c r="A627" s="9" t="s">
        <v>659</v>
      </c>
      <c r="B627" s="9" t="s">
        <v>40</v>
      </c>
      <c r="C627" s="9" t="s">
        <v>41</v>
      </c>
      <c r="D627" s="9" t="s">
        <v>18</v>
      </c>
      <c r="E627" s="9" t="s">
        <v>19</v>
      </c>
      <c r="F627" s="9" t="s">
        <v>42</v>
      </c>
      <c r="G627" s="9">
        <v>78.88</v>
      </c>
      <c r="H627" s="9">
        <v>2</v>
      </c>
      <c r="I627" s="9">
        <v>7.8879999999999999</v>
      </c>
      <c r="J627" s="9">
        <v>165.648</v>
      </c>
      <c r="K627" s="10">
        <v>43491</v>
      </c>
      <c r="L627" s="11">
        <v>0.6694444444444444</v>
      </c>
      <c r="M627" s="9" t="s">
        <v>27</v>
      </c>
      <c r="N627" s="9">
        <v>157.76</v>
      </c>
      <c r="O627" s="9">
        <v>9.1</v>
      </c>
    </row>
    <row r="628" spans="1:15">
      <c r="A628" s="9" t="s">
        <v>660</v>
      </c>
      <c r="B628" s="9" t="s">
        <v>16</v>
      </c>
      <c r="C628" s="9" t="s">
        <v>17</v>
      </c>
      <c r="D628" s="9" t="s">
        <v>25</v>
      </c>
      <c r="E628" s="9" t="s">
        <v>29</v>
      </c>
      <c r="F628" s="9" t="s">
        <v>34</v>
      </c>
      <c r="G628" s="9">
        <v>60.87</v>
      </c>
      <c r="H628" s="9">
        <v>2</v>
      </c>
      <c r="I628" s="9">
        <v>6.0869999999999997</v>
      </c>
      <c r="J628" s="9">
        <v>127.827</v>
      </c>
      <c r="K628" s="10">
        <v>43533</v>
      </c>
      <c r="L628" s="11">
        <v>0.52569444444444446</v>
      </c>
      <c r="M628" s="9" t="s">
        <v>21</v>
      </c>
      <c r="N628" s="9">
        <v>121.74</v>
      </c>
      <c r="O628" s="9">
        <v>8.6999999999999993</v>
      </c>
    </row>
    <row r="629" spans="1:15">
      <c r="A629" s="9" t="s">
        <v>661</v>
      </c>
      <c r="B629" s="9" t="s">
        <v>40</v>
      </c>
      <c r="C629" s="9" t="s">
        <v>41</v>
      </c>
      <c r="D629" s="9" t="s">
        <v>18</v>
      </c>
      <c r="E629" s="9" t="s">
        <v>29</v>
      </c>
      <c r="F629" s="9" t="s">
        <v>20</v>
      </c>
      <c r="G629" s="9">
        <v>82.58</v>
      </c>
      <c r="H629" s="9">
        <v>10</v>
      </c>
      <c r="I629" s="9">
        <v>41.29</v>
      </c>
      <c r="J629" s="9">
        <v>867.09</v>
      </c>
      <c r="K629" s="10">
        <v>43538</v>
      </c>
      <c r="L629" s="11">
        <v>0.6118055555555556</v>
      </c>
      <c r="M629" s="9" t="s">
        <v>27</v>
      </c>
      <c r="N629" s="9">
        <v>825.8</v>
      </c>
      <c r="O629" s="9">
        <v>5</v>
      </c>
    </row>
    <row r="630" spans="1:15">
      <c r="A630" s="9" t="s">
        <v>662</v>
      </c>
      <c r="B630" s="9" t="s">
        <v>16</v>
      </c>
      <c r="C630" s="9" t="s">
        <v>17</v>
      </c>
      <c r="D630" s="9" t="s">
        <v>18</v>
      </c>
      <c r="E630" s="9" t="s">
        <v>29</v>
      </c>
      <c r="F630" s="9" t="s">
        <v>30</v>
      </c>
      <c r="G630" s="9">
        <v>53.3</v>
      </c>
      <c r="H630" s="9">
        <v>3</v>
      </c>
      <c r="I630" s="9">
        <v>7.9950000000000001</v>
      </c>
      <c r="J630" s="9">
        <v>167.89500000000001</v>
      </c>
      <c r="K630" s="10">
        <v>43490</v>
      </c>
      <c r="L630" s="11">
        <v>0.59652777777777777</v>
      </c>
      <c r="M630" s="9" t="s">
        <v>21</v>
      </c>
      <c r="N630" s="9">
        <v>159.9</v>
      </c>
      <c r="O630" s="9">
        <v>7.5</v>
      </c>
    </row>
    <row r="631" spans="1:15">
      <c r="A631" s="9" t="s">
        <v>663</v>
      </c>
      <c r="B631" s="9" t="s">
        <v>16</v>
      </c>
      <c r="C631" s="9" t="s">
        <v>17</v>
      </c>
      <c r="D631" s="9" t="s">
        <v>25</v>
      </c>
      <c r="E631" s="9" t="s">
        <v>19</v>
      </c>
      <c r="F631" s="9" t="s">
        <v>44</v>
      </c>
      <c r="G631" s="9">
        <v>12.09</v>
      </c>
      <c r="H631" s="9">
        <v>1</v>
      </c>
      <c r="I631" s="9">
        <v>0.60450000000000004</v>
      </c>
      <c r="J631" s="9">
        <v>12.6945</v>
      </c>
      <c r="K631" s="10">
        <v>43491</v>
      </c>
      <c r="L631" s="11">
        <v>0.7631944444444444</v>
      </c>
      <c r="M631" s="9" t="s">
        <v>31</v>
      </c>
      <c r="N631" s="9">
        <v>12.09</v>
      </c>
      <c r="O631" s="9">
        <v>8.1999999999999993</v>
      </c>
    </row>
    <row r="632" spans="1:15">
      <c r="A632" s="9" t="s">
        <v>664</v>
      </c>
      <c r="B632" s="9" t="s">
        <v>16</v>
      </c>
      <c r="C632" s="9" t="s">
        <v>17</v>
      </c>
      <c r="D632" s="9" t="s">
        <v>25</v>
      </c>
      <c r="E632" s="9" t="s">
        <v>29</v>
      </c>
      <c r="F632" s="9" t="s">
        <v>34</v>
      </c>
      <c r="G632" s="9">
        <v>64.19</v>
      </c>
      <c r="H632" s="9">
        <v>10</v>
      </c>
      <c r="I632" s="9">
        <v>32.094999999999999</v>
      </c>
      <c r="J632" s="9">
        <v>673.995</v>
      </c>
      <c r="K632" s="10">
        <v>43484</v>
      </c>
      <c r="L632" s="11">
        <v>0.58888888888888891</v>
      </c>
      <c r="M632" s="9" t="s">
        <v>31</v>
      </c>
      <c r="N632" s="9">
        <v>641.9</v>
      </c>
      <c r="O632" s="9">
        <v>6.7</v>
      </c>
    </row>
    <row r="633" spans="1:15">
      <c r="A633" s="9" t="s">
        <v>665</v>
      </c>
      <c r="B633" s="9" t="s">
        <v>16</v>
      </c>
      <c r="C633" s="9" t="s">
        <v>17</v>
      </c>
      <c r="D633" s="9" t="s">
        <v>25</v>
      </c>
      <c r="E633" s="9" t="s">
        <v>29</v>
      </c>
      <c r="F633" s="9" t="s">
        <v>26</v>
      </c>
      <c r="G633" s="9">
        <v>78.31</v>
      </c>
      <c r="H633" s="9">
        <v>3</v>
      </c>
      <c r="I633" s="9">
        <v>11.746499999999999</v>
      </c>
      <c r="J633" s="9">
        <v>246.6765</v>
      </c>
      <c r="K633" s="10">
        <v>43529</v>
      </c>
      <c r="L633" s="11">
        <v>0.69305555555555554</v>
      </c>
      <c r="M633" s="9" t="s">
        <v>21</v>
      </c>
      <c r="N633" s="9">
        <v>234.93</v>
      </c>
      <c r="O633" s="9">
        <v>5.4</v>
      </c>
    </row>
    <row r="634" spans="1:15">
      <c r="A634" s="9" t="s">
        <v>666</v>
      </c>
      <c r="B634" s="9" t="s">
        <v>16</v>
      </c>
      <c r="C634" s="9" t="s">
        <v>17</v>
      </c>
      <c r="D634" s="9" t="s">
        <v>18</v>
      </c>
      <c r="E634" s="9" t="s">
        <v>29</v>
      </c>
      <c r="F634" s="9" t="s">
        <v>42</v>
      </c>
      <c r="G634" s="9">
        <v>83.77</v>
      </c>
      <c r="H634" s="9">
        <v>2</v>
      </c>
      <c r="I634" s="9">
        <v>8.3770000000000007</v>
      </c>
      <c r="J634" s="9">
        <v>175.917</v>
      </c>
      <c r="K634" s="10">
        <v>43480</v>
      </c>
      <c r="L634" s="11">
        <v>0.45416666666666666</v>
      </c>
      <c r="M634" s="9" t="s">
        <v>31</v>
      </c>
      <c r="N634" s="9">
        <v>167.54</v>
      </c>
      <c r="O634" s="9">
        <v>7</v>
      </c>
    </row>
    <row r="635" spans="1:15">
      <c r="A635" s="9" t="s">
        <v>667</v>
      </c>
      <c r="B635" s="9" t="s">
        <v>40</v>
      </c>
      <c r="C635" s="9" t="s">
        <v>41</v>
      </c>
      <c r="D635" s="9" t="s">
        <v>25</v>
      </c>
      <c r="E635" s="9" t="s">
        <v>29</v>
      </c>
      <c r="F635" s="9" t="s">
        <v>30</v>
      </c>
      <c r="G635" s="9">
        <v>99.7</v>
      </c>
      <c r="H635" s="9">
        <v>3</v>
      </c>
      <c r="I635" s="9">
        <v>14.955</v>
      </c>
      <c r="J635" s="9">
        <v>314.05500000000001</v>
      </c>
      <c r="K635" s="10">
        <v>43542</v>
      </c>
      <c r="L635" s="11">
        <v>0.47847222222222224</v>
      </c>
      <c r="M635" s="9" t="s">
        <v>21</v>
      </c>
      <c r="N635" s="9">
        <v>299.10000000000002</v>
      </c>
      <c r="O635" s="9">
        <v>4.7</v>
      </c>
    </row>
    <row r="636" spans="1:15">
      <c r="A636" s="9" t="s">
        <v>668</v>
      </c>
      <c r="B636" s="9" t="s">
        <v>40</v>
      </c>
      <c r="C636" s="9" t="s">
        <v>41</v>
      </c>
      <c r="D636" s="9" t="s">
        <v>18</v>
      </c>
      <c r="E636" s="9" t="s">
        <v>29</v>
      </c>
      <c r="F636" s="9" t="s">
        <v>42</v>
      </c>
      <c r="G636" s="9">
        <v>79.91</v>
      </c>
      <c r="H636" s="9">
        <v>3</v>
      </c>
      <c r="I636" s="9">
        <v>11.986499999999999</v>
      </c>
      <c r="J636" s="9">
        <v>251.7165</v>
      </c>
      <c r="K636" s="10">
        <v>43544</v>
      </c>
      <c r="L636" s="11">
        <v>0.81111111111111112</v>
      </c>
      <c r="M636" s="9" t="s">
        <v>31</v>
      </c>
      <c r="N636" s="9">
        <v>239.73</v>
      </c>
      <c r="O636" s="9">
        <v>5</v>
      </c>
    </row>
    <row r="637" spans="1:15">
      <c r="A637" s="9" t="s">
        <v>669</v>
      </c>
      <c r="B637" s="9" t="s">
        <v>40</v>
      </c>
      <c r="C637" s="9" t="s">
        <v>41</v>
      </c>
      <c r="D637" s="9" t="s">
        <v>18</v>
      </c>
      <c r="E637" s="9" t="s">
        <v>29</v>
      </c>
      <c r="F637" s="9" t="s">
        <v>20</v>
      </c>
      <c r="G637" s="9">
        <v>66.47</v>
      </c>
      <c r="H637" s="9">
        <v>10</v>
      </c>
      <c r="I637" s="9">
        <v>33.234999999999999</v>
      </c>
      <c r="J637" s="9">
        <v>697.93499999999995</v>
      </c>
      <c r="K637" s="10">
        <v>43480</v>
      </c>
      <c r="L637" s="11">
        <v>0.62569444444444444</v>
      </c>
      <c r="M637" s="9" t="s">
        <v>31</v>
      </c>
      <c r="N637" s="9">
        <v>664.7</v>
      </c>
      <c r="O637" s="9">
        <v>5</v>
      </c>
    </row>
    <row r="638" spans="1:15">
      <c r="A638" s="9" t="s">
        <v>670</v>
      </c>
      <c r="B638" s="9" t="s">
        <v>16</v>
      </c>
      <c r="C638" s="9" t="s">
        <v>17</v>
      </c>
      <c r="D638" s="9" t="s">
        <v>25</v>
      </c>
      <c r="E638" s="9" t="s">
        <v>29</v>
      </c>
      <c r="F638" s="9" t="s">
        <v>20</v>
      </c>
      <c r="G638" s="9">
        <v>28.95</v>
      </c>
      <c r="H638" s="9">
        <v>7</v>
      </c>
      <c r="I638" s="9">
        <v>10.1325</v>
      </c>
      <c r="J638" s="9">
        <v>212.7825</v>
      </c>
      <c r="K638" s="10">
        <v>43527</v>
      </c>
      <c r="L638" s="11">
        <v>0.85486111111111107</v>
      </c>
      <c r="M638" s="9" t="s">
        <v>31</v>
      </c>
      <c r="N638" s="9">
        <v>202.65</v>
      </c>
      <c r="O638" s="9">
        <v>6</v>
      </c>
    </row>
    <row r="639" spans="1:15">
      <c r="A639" s="9" t="s">
        <v>671</v>
      </c>
      <c r="B639" s="9" t="s">
        <v>23</v>
      </c>
      <c r="C639" s="9" t="s">
        <v>24</v>
      </c>
      <c r="D639" s="9" t="s">
        <v>25</v>
      </c>
      <c r="E639" s="9" t="s">
        <v>19</v>
      </c>
      <c r="F639" s="9" t="s">
        <v>26</v>
      </c>
      <c r="G639" s="9">
        <v>46.2</v>
      </c>
      <c r="H639" s="9">
        <v>1</v>
      </c>
      <c r="I639" s="9">
        <v>2.31</v>
      </c>
      <c r="J639" s="9">
        <v>48.51</v>
      </c>
      <c r="K639" s="10">
        <v>43543</v>
      </c>
      <c r="L639" s="11">
        <v>0.51111111111111107</v>
      </c>
      <c r="M639" s="9" t="s">
        <v>27</v>
      </c>
      <c r="N639" s="9">
        <v>46.2</v>
      </c>
      <c r="O639" s="9">
        <v>6.3</v>
      </c>
    </row>
    <row r="640" spans="1:15">
      <c r="A640" s="9" t="s">
        <v>672</v>
      </c>
      <c r="B640" s="9" t="s">
        <v>40</v>
      </c>
      <c r="C640" s="9" t="s">
        <v>41</v>
      </c>
      <c r="D640" s="9" t="s">
        <v>18</v>
      </c>
      <c r="E640" s="9" t="s">
        <v>19</v>
      </c>
      <c r="F640" s="9" t="s">
        <v>42</v>
      </c>
      <c r="G640" s="9">
        <v>17.63</v>
      </c>
      <c r="H640" s="9">
        <v>5</v>
      </c>
      <c r="I640" s="9">
        <v>4.4074999999999998</v>
      </c>
      <c r="J640" s="9">
        <v>92.557500000000005</v>
      </c>
      <c r="K640" s="10">
        <v>43532</v>
      </c>
      <c r="L640" s="11">
        <v>0.64375000000000004</v>
      </c>
      <c r="M640" s="9" t="s">
        <v>27</v>
      </c>
      <c r="N640" s="9">
        <v>88.15</v>
      </c>
      <c r="O640" s="9">
        <v>8.5</v>
      </c>
    </row>
    <row r="641" spans="1:15">
      <c r="A641" s="9" t="s">
        <v>673</v>
      </c>
      <c r="B641" s="9" t="s">
        <v>40</v>
      </c>
      <c r="C641" s="9" t="s">
        <v>41</v>
      </c>
      <c r="D641" s="9" t="s">
        <v>25</v>
      </c>
      <c r="E641" s="9" t="s">
        <v>29</v>
      </c>
      <c r="F641" s="9" t="s">
        <v>44</v>
      </c>
      <c r="G641" s="9">
        <v>52.42</v>
      </c>
      <c r="H641" s="9">
        <v>3</v>
      </c>
      <c r="I641" s="9">
        <v>7.8630000000000004</v>
      </c>
      <c r="J641" s="9">
        <v>165.12299999999999</v>
      </c>
      <c r="K641" s="10">
        <v>43523</v>
      </c>
      <c r="L641" s="11">
        <v>0.73333333333333328</v>
      </c>
      <c r="M641" s="9" t="s">
        <v>21</v>
      </c>
      <c r="N641" s="9">
        <v>157.26</v>
      </c>
      <c r="O641" s="9">
        <v>7.5</v>
      </c>
    </row>
    <row r="642" spans="1:15">
      <c r="A642" s="9" t="s">
        <v>674</v>
      </c>
      <c r="B642" s="9" t="s">
        <v>40</v>
      </c>
      <c r="C642" s="9" t="s">
        <v>41</v>
      </c>
      <c r="D642" s="9" t="s">
        <v>18</v>
      </c>
      <c r="E642" s="9" t="s">
        <v>19</v>
      </c>
      <c r="F642" s="9" t="s">
        <v>42</v>
      </c>
      <c r="G642" s="9">
        <v>98.79</v>
      </c>
      <c r="H642" s="9">
        <v>3</v>
      </c>
      <c r="I642" s="9">
        <v>14.8185</v>
      </c>
      <c r="J642" s="9">
        <v>311.18849999999998</v>
      </c>
      <c r="K642" s="10">
        <v>43519</v>
      </c>
      <c r="L642" s="11">
        <v>0.83333333333333337</v>
      </c>
      <c r="M642" s="9" t="s">
        <v>21</v>
      </c>
      <c r="N642" s="9">
        <v>296.37</v>
      </c>
      <c r="O642" s="9">
        <v>6.4</v>
      </c>
    </row>
    <row r="643" spans="1:15">
      <c r="A643" s="9" t="s">
        <v>675</v>
      </c>
      <c r="B643" s="9" t="s">
        <v>23</v>
      </c>
      <c r="C643" s="9" t="s">
        <v>24</v>
      </c>
      <c r="D643" s="9" t="s">
        <v>18</v>
      </c>
      <c r="E643" s="9" t="s">
        <v>19</v>
      </c>
      <c r="F643" s="9" t="s">
        <v>26</v>
      </c>
      <c r="G643" s="9">
        <v>88.55</v>
      </c>
      <c r="H643" s="9">
        <v>8</v>
      </c>
      <c r="I643" s="9">
        <v>35.42</v>
      </c>
      <c r="J643" s="9">
        <v>743.82</v>
      </c>
      <c r="K643" s="10">
        <v>43543</v>
      </c>
      <c r="L643" s="11">
        <v>0.64513888888888893</v>
      </c>
      <c r="M643" s="9" t="s">
        <v>21</v>
      </c>
      <c r="N643" s="9">
        <v>708.4</v>
      </c>
      <c r="O643" s="9">
        <v>4.7</v>
      </c>
    </row>
    <row r="644" spans="1:15">
      <c r="A644" s="9" t="s">
        <v>676</v>
      </c>
      <c r="B644" s="9" t="s">
        <v>40</v>
      </c>
      <c r="C644" s="9" t="s">
        <v>41</v>
      </c>
      <c r="D644" s="9" t="s">
        <v>18</v>
      </c>
      <c r="E644" s="9" t="s">
        <v>29</v>
      </c>
      <c r="F644" s="9" t="s">
        <v>26</v>
      </c>
      <c r="G644" s="9">
        <v>55.67</v>
      </c>
      <c r="H644" s="9">
        <v>2</v>
      </c>
      <c r="I644" s="9">
        <v>5.5670000000000002</v>
      </c>
      <c r="J644" s="9">
        <v>116.907</v>
      </c>
      <c r="K644" s="10">
        <v>43551</v>
      </c>
      <c r="L644" s="11">
        <v>0.63055555555555554</v>
      </c>
      <c r="M644" s="9" t="s">
        <v>21</v>
      </c>
      <c r="N644" s="9">
        <v>111.34</v>
      </c>
      <c r="O644" s="9">
        <v>6</v>
      </c>
    </row>
    <row r="645" spans="1:15">
      <c r="A645" s="9" t="s">
        <v>677</v>
      </c>
      <c r="B645" s="9" t="s">
        <v>23</v>
      </c>
      <c r="C645" s="9" t="s">
        <v>24</v>
      </c>
      <c r="D645" s="9" t="s">
        <v>18</v>
      </c>
      <c r="E645" s="9" t="s">
        <v>19</v>
      </c>
      <c r="F645" s="9" t="s">
        <v>42</v>
      </c>
      <c r="G645" s="9">
        <v>72.52</v>
      </c>
      <c r="H645" s="9">
        <v>8</v>
      </c>
      <c r="I645" s="9">
        <v>29.007999999999999</v>
      </c>
      <c r="J645" s="9">
        <v>609.16800000000001</v>
      </c>
      <c r="K645" s="10">
        <v>43554</v>
      </c>
      <c r="L645" s="11">
        <v>0.80972222222222223</v>
      </c>
      <c r="M645" s="9" t="s">
        <v>31</v>
      </c>
      <c r="N645" s="9">
        <v>580.16</v>
      </c>
      <c r="O645" s="9">
        <v>4</v>
      </c>
    </row>
    <row r="646" spans="1:15">
      <c r="A646" s="9" t="s">
        <v>678</v>
      </c>
      <c r="B646" s="9" t="s">
        <v>23</v>
      </c>
      <c r="C646" s="9" t="s">
        <v>24</v>
      </c>
      <c r="D646" s="9" t="s">
        <v>18</v>
      </c>
      <c r="E646" s="9" t="s">
        <v>29</v>
      </c>
      <c r="F646" s="9" t="s">
        <v>26</v>
      </c>
      <c r="G646" s="9">
        <v>12.05</v>
      </c>
      <c r="H646" s="9">
        <v>5</v>
      </c>
      <c r="I646" s="9">
        <v>3.0125000000000002</v>
      </c>
      <c r="J646" s="9">
        <v>63.262500000000003</v>
      </c>
      <c r="K646" s="10">
        <v>43512</v>
      </c>
      <c r="L646" s="11">
        <v>0.66180555555555554</v>
      </c>
      <c r="M646" s="9" t="s">
        <v>21</v>
      </c>
      <c r="N646" s="9">
        <v>60.25</v>
      </c>
      <c r="O646" s="9">
        <v>5.5</v>
      </c>
    </row>
    <row r="647" spans="1:15">
      <c r="A647" s="9" t="s">
        <v>679</v>
      </c>
      <c r="B647" s="9" t="s">
        <v>16</v>
      </c>
      <c r="C647" s="9" t="s">
        <v>17</v>
      </c>
      <c r="D647" s="9" t="s">
        <v>18</v>
      </c>
      <c r="E647" s="9" t="s">
        <v>29</v>
      </c>
      <c r="F647" s="9" t="s">
        <v>30</v>
      </c>
      <c r="G647" s="9">
        <v>19.36</v>
      </c>
      <c r="H647" s="9">
        <v>9</v>
      </c>
      <c r="I647" s="9">
        <v>8.7119999999999997</v>
      </c>
      <c r="J647" s="9">
        <v>182.952</v>
      </c>
      <c r="K647" s="10">
        <v>43483</v>
      </c>
      <c r="L647" s="11">
        <v>0.77986111111111112</v>
      </c>
      <c r="M647" s="9" t="s">
        <v>21</v>
      </c>
      <c r="N647" s="9">
        <v>174.24</v>
      </c>
      <c r="O647" s="9">
        <v>8.6999999999999993</v>
      </c>
    </row>
    <row r="648" spans="1:15">
      <c r="A648" s="9" t="s">
        <v>680</v>
      </c>
      <c r="B648" s="9" t="s">
        <v>23</v>
      </c>
      <c r="C648" s="9" t="s">
        <v>24</v>
      </c>
      <c r="D648" s="9" t="s">
        <v>25</v>
      </c>
      <c r="E648" s="9" t="s">
        <v>29</v>
      </c>
      <c r="F648" s="9" t="s">
        <v>20</v>
      </c>
      <c r="G648" s="9">
        <v>70.209999999999994</v>
      </c>
      <c r="H648" s="9">
        <v>6</v>
      </c>
      <c r="I648" s="9">
        <v>21.062999999999999</v>
      </c>
      <c r="J648" s="9">
        <v>442.32299999999998</v>
      </c>
      <c r="K648" s="10">
        <v>43554</v>
      </c>
      <c r="L648" s="11">
        <v>0.62361111111111112</v>
      </c>
      <c r="M648" s="9" t="s">
        <v>27</v>
      </c>
      <c r="N648" s="9">
        <v>421.26</v>
      </c>
      <c r="O648" s="9">
        <v>7.4</v>
      </c>
    </row>
    <row r="649" spans="1:15">
      <c r="A649" s="9" t="s">
        <v>681</v>
      </c>
      <c r="B649" s="9" t="s">
        <v>40</v>
      </c>
      <c r="C649" s="9" t="s">
        <v>41</v>
      </c>
      <c r="D649" s="9" t="s">
        <v>18</v>
      </c>
      <c r="E649" s="9" t="s">
        <v>29</v>
      </c>
      <c r="F649" s="9" t="s">
        <v>44</v>
      </c>
      <c r="G649" s="9">
        <v>33.630000000000003</v>
      </c>
      <c r="H649" s="9">
        <v>1</v>
      </c>
      <c r="I649" s="9">
        <v>1.6815</v>
      </c>
      <c r="J649" s="9">
        <v>35.311500000000002</v>
      </c>
      <c r="K649" s="10">
        <v>43544</v>
      </c>
      <c r="L649" s="11">
        <v>0.82986111111111116</v>
      </c>
      <c r="M649" s="9" t="s">
        <v>27</v>
      </c>
      <c r="N649" s="9">
        <v>33.630000000000003</v>
      </c>
      <c r="O649" s="9">
        <v>5.6</v>
      </c>
    </row>
    <row r="650" spans="1:15">
      <c r="A650" s="9" t="s">
        <v>682</v>
      </c>
      <c r="B650" s="9" t="s">
        <v>23</v>
      </c>
      <c r="C650" s="9" t="s">
        <v>24</v>
      </c>
      <c r="D650" s="9" t="s">
        <v>18</v>
      </c>
      <c r="E650" s="9" t="s">
        <v>19</v>
      </c>
      <c r="F650" s="9" t="s">
        <v>34</v>
      </c>
      <c r="G650" s="9">
        <v>15.49</v>
      </c>
      <c r="H650" s="9">
        <v>2</v>
      </c>
      <c r="I650" s="9">
        <v>1.5489999999999999</v>
      </c>
      <c r="J650" s="9">
        <v>32.529000000000003</v>
      </c>
      <c r="K650" s="10">
        <v>43481</v>
      </c>
      <c r="L650" s="11">
        <v>0.63194444444444442</v>
      </c>
      <c r="M650" s="9" t="s">
        <v>27</v>
      </c>
      <c r="N650" s="9">
        <v>30.98</v>
      </c>
      <c r="O650" s="9">
        <v>6.3</v>
      </c>
    </row>
    <row r="651" spans="1:15">
      <c r="A651" s="9" t="s">
        <v>683</v>
      </c>
      <c r="B651" s="9" t="s">
        <v>23</v>
      </c>
      <c r="C651" s="9" t="s">
        <v>24</v>
      </c>
      <c r="D651" s="9" t="s">
        <v>25</v>
      </c>
      <c r="E651" s="9" t="s">
        <v>29</v>
      </c>
      <c r="F651" s="9" t="s">
        <v>26</v>
      </c>
      <c r="G651" s="9">
        <v>24.74</v>
      </c>
      <c r="H651" s="9">
        <v>10</v>
      </c>
      <c r="I651" s="9">
        <v>12.37</v>
      </c>
      <c r="J651" s="9">
        <v>259.77</v>
      </c>
      <c r="K651" s="10">
        <v>43520</v>
      </c>
      <c r="L651" s="11">
        <v>0.69722222222222219</v>
      </c>
      <c r="M651" s="9" t="s">
        <v>27</v>
      </c>
      <c r="N651" s="9">
        <v>247.4</v>
      </c>
      <c r="O651" s="9">
        <v>7.1</v>
      </c>
    </row>
    <row r="652" spans="1:15">
      <c r="A652" s="9" t="s">
        <v>684</v>
      </c>
      <c r="B652" s="9" t="s">
        <v>40</v>
      </c>
      <c r="C652" s="9" t="s">
        <v>41</v>
      </c>
      <c r="D652" s="9" t="s">
        <v>25</v>
      </c>
      <c r="E652" s="9" t="s">
        <v>29</v>
      </c>
      <c r="F652" s="9" t="s">
        <v>26</v>
      </c>
      <c r="G652" s="9">
        <v>75.66</v>
      </c>
      <c r="H652" s="9">
        <v>5</v>
      </c>
      <c r="I652" s="9">
        <v>18.914999999999999</v>
      </c>
      <c r="J652" s="9">
        <v>397.21499999999997</v>
      </c>
      <c r="K652" s="10">
        <v>43480</v>
      </c>
      <c r="L652" s="11">
        <v>0.76527777777777772</v>
      </c>
      <c r="M652" s="9" t="s">
        <v>21</v>
      </c>
      <c r="N652" s="9">
        <v>378.3</v>
      </c>
      <c r="O652" s="9">
        <v>7.8</v>
      </c>
    </row>
    <row r="653" spans="1:15">
      <c r="A653" s="9" t="s">
        <v>685</v>
      </c>
      <c r="B653" s="9" t="s">
        <v>40</v>
      </c>
      <c r="C653" s="9" t="s">
        <v>41</v>
      </c>
      <c r="D653" s="9" t="s">
        <v>25</v>
      </c>
      <c r="E653" s="9" t="s">
        <v>19</v>
      </c>
      <c r="F653" s="9" t="s">
        <v>20</v>
      </c>
      <c r="G653" s="9">
        <v>55.81</v>
      </c>
      <c r="H653" s="9">
        <v>6</v>
      </c>
      <c r="I653" s="9">
        <v>16.742999999999999</v>
      </c>
      <c r="J653" s="9">
        <v>351.60300000000001</v>
      </c>
      <c r="K653" s="10">
        <v>43487</v>
      </c>
      <c r="L653" s="11">
        <v>0.49444444444444446</v>
      </c>
      <c r="M653" s="9" t="s">
        <v>27</v>
      </c>
      <c r="N653" s="9">
        <v>334.86</v>
      </c>
      <c r="O653" s="9">
        <v>9.9</v>
      </c>
    </row>
    <row r="654" spans="1:15">
      <c r="A654" s="9" t="s">
        <v>686</v>
      </c>
      <c r="B654" s="9" t="s">
        <v>16</v>
      </c>
      <c r="C654" s="9" t="s">
        <v>17</v>
      </c>
      <c r="D654" s="9" t="s">
        <v>18</v>
      </c>
      <c r="E654" s="9" t="s">
        <v>29</v>
      </c>
      <c r="F654" s="9" t="s">
        <v>30</v>
      </c>
      <c r="G654" s="9">
        <v>72.78</v>
      </c>
      <c r="H654" s="9">
        <v>10</v>
      </c>
      <c r="I654" s="9">
        <v>36.39</v>
      </c>
      <c r="J654" s="9">
        <v>764.19</v>
      </c>
      <c r="K654" s="10">
        <v>43499</v>
      </c>
      <c r="L654" s="11">
        <v>0.72499999999999998</v>
      </c>
      <c r="M654" s="9" t="s">
        <v>27</v>
      </c>
      <c r="N654" s="9">
        <v>727.8</v>
      </c>
      <c r="O654" s="9">
        <v>7.3</v>
      </c>
    </row>
    <row r="655" spans="1:15">
      <c r="A655" s="9" t="s">
        <v>687</v>
      </c>
      <c r="B655" s="9" t="s">
        <v>40</v>
      </c>
      <c r="C655" s="9" t="s">
        <v>41</v>
      </c>
      <c r="D655" s="9" t="s">
        <v>18</v>
      </c>
      <c r="E655" s="9" t="s">
        <v>29</v>
      </c>
      <c r="F655" s="9" t="s">
        <v>34</v>
      </c>
      <c r="G655" s="9">
        <v>37.32</v>
      </c>
      <c r="H655" s="9">
        <v>9</v>
      </c>
      <c r="I655" s="9">
        <v>16.794</v>
      </c>
      <c r="J655" s="9">
        <v>352.67399999999998</v>
      </c>
      <c r="K655" s="10">
        <v>43530</v>
      </c>
      <c r="L655" s="11">
        <v>0.64652777777777781</v>
      </c>
      <c r="M655" s="9" t="s">
        <v>21</v>
      </c>
      <c r="N655" s="9">
        <v>335.88</v>
      </c>
      <c r="O655" s="9">
        <v>5.0999999999999996</v>
      </c>
    </row>
    <row r="656" spans="1:15">
      <c r="A656" s="9" t="s">
        <v>688</v>
      </c>
      <c r="B656" s="9" t="s">
        <v>40</v>
      </c>
      <c r="C656" s="9" t="s">
        <v>41</v>
      </c>
      <c r="D656" s="9" t="s">
        <v>18</v>
      </c>
      <c r="E656" s="9" t="s">
        <v>29</v>
      </c>
      <c r="F656" s="9" t="s">
        <v>44</v>
      </c>
      <c r="G656" s="9">
        <v>60.18</v>
      </c>
      <c r="H656" s="9">
        <v>4</v>
      </c>
      <c r="I656" s="9">
        <v>12.036</v>
      </c>
      <c r="J656" s="9">
        <v>252.756</v>
      </c>
      <c r="K656" s="10">
        <v>43512</v>
      </c>
      <c r="L656" s="11">
        <v>0.75277777777777777</v>
      </c>
      <c r="M656" s="9" t="s">
        <v>31</v>
      </c>
      <c r="N656" s="9">
        <v>240.72</v>
      </c>
      <c r="O656" s="9">
        <v>9.4</v>
      </c>
    </row>
    <row r="657" spans="1:15">
      <c r="A657" s="9" t="s">
        <v>689</v>
      </c>
      <c r="B657" s="9" t="s">
        <v>16</v>
      </c>
      <c r="C657" s="9" t="s">
        <v>17</v>
      </c>
      <c r="D657" s="9" t="s">
        <v>25</v>
      </c>
      <c r="E657" s="9" t="s">
        <v>19</v>
      </c>
      <c r="F657" s="9" t="s">
        <v>26</v>
      </c>
      <c r="G657" s="9">
        <v>15.69</v>
      </c>
      <c r="H657" s="9">
        <v>3</v>
      </c>
      <c r="I657" s="9">
        <v>2.3534999999999999</v>
      </c>
      <c r="J657" s="9">
        <v>49.423499999999997</v>
      </c>
      <c r="K657" s="10">
        <v>43538</v>
      </c>
      <c r="L657" s="11">
        <v>0.59236111111111112</v>
      </c>
      <c r="M657" s="9" t="s">
        <v>31</v>
      </c>
      <c r="N657" s="9">
        <v>47.07</v>
      </c>
      <c r="O657" s="9">
        <v>5.8</v>
      </c>
    </row>
    <row r="658" spans="1:15">
      <c r="A658" s="9" t="s">
        <v>690</v>
      </c>
      <c r="B658" s="9" t="s">
        <v>23</v>
      </c>
      <c r="C658" s="9" t="s">
        <v>24</v>
      </c>
      <c r="D658" s="9" t="s">
        <v>25</v>
      </c>
      <c r="E658" s="9" t="s">
        <v>19</v>
      </c>
      <c r="F658" s="9" t="s">
        <v>26</v>
      </c>
      <c r="G658" s="9">
        <v>99.69</v>
      </c>
      <c r="H658" s="9">
        <v>1</v>
      </c>
      <c r="I658" s="9">
        <v>4.9844999999999997</v>
      </c>
      <c r="J658" s="9">
        <v>104.67449999999999</v>
      </c>
      <c r="K658" s="10">
        <v>43523</v>
      </c>
      <c r="L658" s="11">
        <v>0.43263888888888891</v>
      </c>
      <c r="M658" s="9" t="s">
        <v>31</v>
      </c>
      <c r="N658" s="9">
        <v>99.69</v>
      </c>
      <c r="O658" s="9">
        <v>8</v>
      </c>
    </row>
    <row r="659" spans="1:15">
      <c r="A659" s="9" t="s">
        <v>691</v>
      </c>
      <c r="B659" s="9" t="s">
        <v>16</v>
      </c>
      <c r="C659" s="9" t="s">
        <v>17</v>
      </c>
      <c r="D659" s="9" t="s">
        <v>18</v>
      </c>
      <c r="E659" s="9" t="s">
        <v>19</v>
      </c>
      <c r="F659" s="9" t="s">
        <v>44</v>
      </c>
      <c r="G659" s="9">
        <v>88.15</v>
      </c>
      <c r="H659" s="9">
        <v>3</v>
      </c>
      <c r="I659" s="9">
        <v>13.2225</v>
      </c>
      <c r="J659" s="9">
        <v>277.67250000000001</v>
      </c>
      <c r="K659" s="10">
        <v>43483</v>
      </c>
      <c r="L659" s="11">
        <v>0.42430555555555555</v>
      </c>
      <c r="M659" s="9" t="s">
        <v>21</v>
      </c>
      <c r="N659" s="9">
        <v>264.45</v>
      </c>
      <c r="O659" s="9">
        <v>7.9</v>
      </c>
    </row>
    <row r="660" spans="1:15">
      <c r="A660" s="9" t="s">
        <v>692</v>
      </c>
      <c r="B660" s="9" t="s">
        <v>16</v>
      </c>
      <c r="C660" s="9" t="s">
        <v>17</v>
      </c>
      <c r="D660" s="9" t="s">
        <v>18</v>
      </c>
      <c r="E660" s="9" t="s">
        <v>19</v>
      </c>
      <c r="F660" s="9" t="s">
        <v>34</v>
      </c>
      <c r="G660" s="9">
        <v>27.93</v>
      </c>
      <c r="H660" s="9">
        <v>5</v>
      </c>
      <c r="I660" s="9">
        <v>6.9824999999999999</v>
      </c>
      <c r="J660" s="9">
        <v>146.63249999999999</v>
      </c>
      <c r="K660" s="10">
        <v>43494</v>
      </c>
      <c r="L660" s="11">
        <v>0.65833333333333333</v>
      </c>
      <c r="M660" s="9" t="s">
        <v>27</v>
      </c>
      <c r="N660" s="9">
        <v>139.65</v>
      </c>
      <c r="O660" s="9">
        <v>5.9</v>
      </c>
    </row>
    <row r="661" spans="1:15">
      <c r="A661" s="9" t="s">
        <v>693</v>
      </c>
      <c r="B661" s="9" t="s">
        <v>16</v>
      </c>
      <c r="C661" s="9" t="s">
        <v>17</v>
      </c>
      <c r="D661" s="9" t="s">
        <v>18</v>
      </c>
      <c r="E661" s="9" t="s">
        <v>29</v>
      </c>
      <c r="F661" s="9" t="s">
        <v>44</v>
      </c>
      <c r="G661" s="9">
        <v>55.45</v>
      </c>
      <c r="H661" s="9">
        <v>1</v>
      </c>
      <c r="I661" s="9">
        <v>2.7725</v>
      </c>
      <c r="J661" s="9">
        <v>58.222499999999997</v>
      </c>
      <c r="K661" s="10">
        <v>43522</v>
      </c>
      <c r="L661" s="11">
        <v>0.74027777777777781</v>
      </c>
      <c r="M661" s="9" t="s">
        <v>31</v>
      </c>
      <c r="N661" s="9">
        <v>55.45</v>
      </c>
      <c r="O661" s="9">
        <v>4.9000000000000004</v>
      </c>
    </row>
    <row r="662" spans="1:15">
      <c r="A662" s="9" t="s">
        <v>694</v>
      </c>
      <c r="B662" s="9" t="s">
        <v>40</v>
      </c>
      <c r="C662" s="9" t="s">
        <v>41</v>
      </c>
      <c r="D662" s="9" t="s">
        <v>25</v>
      </c>
      <c r="E662" s="9" t="s">
        <v>19</v>
      </c>
      <c r="F662" s="9" t="s">
        <v>34</v>
      </c>
      <c r="G662" s="9">
        <v>42.97</v>
      </c>
      <c r="H662" s="9">
        <v>3</v>
      </c>
      <c r="I662" s="9">
        <v>6.4455</v>
      </c>
      <c r="J662" s="9">
        <v>135.35550000000001</v>
      </c>
      <c r="K662" s="10">
        <v>43499</v>
      </c>
      <c r="L662" s="11">
        <v>0.49027777777777776</v>
      </c>
      <c r="M662" s="9" t="s">
        <v>27</v>
      </c>
      <c r="N662" s="9">
        <v>128.91</v>
      </c>
      <c r="O662" s="9">
        <v>9.3000000000000007</v>
      </c>
    </row>
    <row r="663" spans="1:15">
      <c r="A663" s="9" t="s">
        <v>695</v>
      </c>
      <c r="B663" s="9" t="s">
        <v>23</v>
      </c>
      <c r="C663" s="9" t="s">
        <v>24</v>
      </c>
      <c r="D663" s="9" t="s">
        <v>18</v>
      </c>
      <c r="E663" s="9" t="s">
        <v>29</v>
      </c>
      <c r="F663" s="9" t="s">
        <v>34</v>
      </c>
      <c r="G663" s="9">
        <v>17.14</v>
      </c>
      <c r="H663" s="9">
        <v>7</v>
      </c>
      <c r="I663" s="9">
        <v>5.9989999999999997</v>
      </c>
      <c r="J663" s="9">
        <v>125.979</v>
      </c>
      <c r="K663" s="10">
        <v>43481</v>
      </c>
      <c r="L663" s="11">
        <v>0.50486111111111109</v>
      </c>
      <c r="M663" s="9" t="s">
        <v>31</v>
      </c>
      <c r="N663" s="9">
        <v>119.98</v>
      </c>
      <c r="O663" s="9">
        <v>7.9</v>
      </c>
    </row>
    <row r="664" spans="1:15">
      <c r="A664" s="9" t="s">
        <v>696</v>
      </c>
      <c r="B664" s="9" t="s">
        <v>40</v>
      </c>
      <c r="C664" s="9" t="s">
        <v>41</v>
      </c>
      <c r="D664" s="9" t="s">
        <v>18</v>
      </c>
      <c r="E664" s="9" t="s">
        <v>19</v>
      </c>
      <c r="F664" s="9" t="s">
        <v>44</v>
      </c>
      <c r="G664" s="9">
        <v>58.75</v>
      </c>
      <c r="H664" s="9">
        <v>6</v>
      </c>
      <c r="I664" s="9">
        <v>17.625</v>
      </c>
      <c r="J664" s="9">
        <v>370.125</v>
      </c>
      <c r="K664" s="10">
        <v>43548</v>
      </c>
      <c r="L664" s="11">
        <v>0.75972222222222219</v>
      </c>
      <c r="M664" s="9" t="s">
        <v>31</v>
      </c>
      <c r="N664" s="9">
        <v>352.5</v>
      </c>
      <c r="O664" s="9">
        <v>5.9</v>
      </c>
    </row>
    <row r="665" spans="1:15">
      <c r="A665" s="9" t="s">
        <v>697</v>
      </c>
      <c r="B665" s="9" t="s">
        <v>23</v>
      </c>
      <c r="C665" s="9" t="s">
        <v>24</v>
      </c>
      <c r="D665" s="9" t="s">
        <v>18</v>
      </c>
      <c r="E665" s="9" t="s">
        <v>19</v>
      </c>
      <c r="F665" s="9" t="s">
        <v>42</v>
      </c>
      <c r="G665" s="9">
        <v>87.1</v>
      </c>
      <c r="H665" s="9">
        <v>10</v>
      </c>
      <c r="I665" s="9">
        <v>43.55</v>
      </c>
      <c r="J665" s="9">
        <v>914.55</v>
      </c>
      <c r="K665" s="10">
        <v>43508</v>
      </c>
      <c r="L665" s="11">
        <v>0.61458333333333337</v>
      </c>
      <c r="M665" s="9" t="s">
        <v>31</v>
      </c>
      <c r="N665" s="9">
        <v>871</v>
      </c>
      <c r="O665" s="9">
        <v>9.9</v>
      </c>
    </row>
    <row r="666" spans="1:15">
      <c r="A666" s="9" t="s">
        <v>698</v>
      </c>
      <c r="B666" s="9" t="s">
        <v>23</v>
      </c>
      <c r="C666" s="9" t="s">
        <v>24</v>
      </c>
      <c r="D666" s="9" t="s">
        <v>25</v>
      </c>
      <c r="E666" s="9" t="s">
        <v>19</v>
      </c>
      <c r="F666" s="9" t="s">
        <v>34</v>
      </c>
      <c r="G666" s="9">
        <v>98.8</v>
      </c>
      <c r="H666" s="9">
        <v>2</v>
      </c>
      <c r="I666" s="9">
        <v>9.8800000000000008</v>
      </c>
      <c r="J666" s="9">
        <v>207.48</v>
      </c>
      <c r="K666" s="10">
        <v>43517</v>
      </c>
      <c r="L666" s="11">
        <v>0.48541666666666666</v>
      </c>
      <c r="M666" s="9" t="s">
        <v>27</v>
      </c>
      <c r="N666" s="9">
        <v>197.6</v>
      </c>
      <c r="O666" s="9">
        <v>7.7</v>
      </c>
    </row>
    <row r="667" spans="1:15">
      <c r="A667" s="9" t="s">
        <v>699</v>
      </c>
      <c r="B667" s="9" t="s">
        <v>16</v>
      </c>
      <c r="C667" s="9" t="s">
        <v>17</v>
      </c>
      <c r="D667" s="9" t="s">
        <v>25</v>
      </c>
      <c r="E667" s="9" t="s">
        <v>19</v>
      </c>
      <c r="F667" s="9" t="s">
        <v>44</v>
      </c>
      <c r="G667" s="9">
        <v>48.63</v>
      </c>
      <c r="H667" s="9">
        <v>4</v>
      </c>
      <c r="I667" s="9">
        <v>9.7260000000000009</v>
      </c>
      <c r="J667" s="9">
        <v>204.24600000000001</v>
      </c>
      <c r="K667" s="10">
        <v>43500</v>
      </c>
      <c r="L667" s="11">
        <v>0.65555555555555556</v>
      </c>
      <c r="M667" s="9" t="s">
        <v>21</v>
      </c>
      <c r="N667" s="9">
        <v>194.52</v>
      </c>
      <c r="O667" s="9">
        <v>7.6</v>
      </c>
    </row>
    <row r="668" spans="1:15">
      <c r="A668" s="9" t="s">
        <v>700</v>
      </c>
      <c r="B668" s="9" t="s">
        <v>40</v>
      </c>
      <c r="C668" s="9" t="s">
        <v>41</v>
      </c>
      <c r="D668" s="9" t="s">
        <v>18</v>
      </c>
      <c r="E668" s="9" t="s">
        <v>29</v>
      </c>
      <c r="F668" s="9" t="s">
        <v>42</v>
      </c>
      <c r="G668" s="9">
        <v>57.74</v>
      </c>
      <c r="H668" s="9">
        <v>3</v>
      </c>
      <c r="I668" s="9">
        <v>8.6609999999999996</v>
      </c>
      <c r="J668" s="9">
        <v>181.881</v>
      </c>
      <c r="K668" s="10">
        <v>43516</v>
      </c>
      <c r="L668" s="11">
        <v>0.54583333333333328</v>
      </c>
      <c r="M668" s="9" t="s">
        <v>21</v>
      </c>
      <c r="N668" s="9">
        <v>173.22</v>
      </c>
      <c r="O668" s="9">
        <v>7.7</v>
      </c>
    </row>
    <row r="669" spans="1:15">
      <c r="A669" s="9" t="s">
        <v>701</v>
      </c>
      <c r="B669" s="9" t="s">
        <v>40</v>
      </c>
      <c r="C669" s="9" t="s">
        <v>41</v>
      </c>
      <c r="D669" s="9" t="s">
        <v>25</v>
      </c>
      <c r="E669" s="9" t="s">
        <v>19</v>
      </c>
      <c r="F669" s="9" t="s">
        <v>20</v>
      </c>
      <c r="G669" s="9">
        <v>17.97</v>
      </c>
      <c r="H669" s="9">
        <v>4</v>
      </c>
      <c r="I669" s="9">
        <v>3.5939999999999999</v>
      </c>
      <c r="J669" s="9">
        <v>75.474000000000004</v>
      </c>
      <c r="K669" s="10">
        <v>43519</v>
      </c>
      <c r="L669" s="11">
        <v>0.86319444444444449</v>
      </c>
      <c r="M669" s="9" t="s">
        <v>21</v>
      </c>
      <c r="N669" s="9">
        <v>71.88</v>
      </c>
      <c r="O669" s="9">
        <v>6.4</v>
      </c>
    </row>
    <row r="670" spans="1:15">
      <c r="A670" s="9" t="s">
        <v>702</v>
      </c>
      <c r="B670" s="9" t="s">
        <v>23</v>
      </c>
      <c r="C670" s="9" t="s">
        <v>24</v>
      </c>
      <c r="D670" s="9" t="s">
        <v>18</v>
      </c>
      <c r="E670" s="9" t="s">
        <v>19</v>
      </c>
      <c r="F670" s="9" t="s">
        <v>20</v>
      </c>
      <c r="G670" s="9">
        <v>47.71</v>
      </c>
      <c r="H670" s="9">
        <v>6</v>
      </c>
      <c r="I670" s="9">
        <v>14.313000000000001</v>
      </c>
      <c r="J670" s="9">
        <v>300.57299999999998</v>
      </c>
      <c r="K670" s="10">
        <v>43512</v>
      </c>
      <c r="L670" s="11">
        <v>0.59652777777777777</v>
      </c>
      <c r="M670" s="9" t="s">
        <v>21</v>
      </c>
      <c r="N670" s="9">
        <v>286.26</v>
      </c>
      <c r="O670" s="9">
        <v>4.4000000000000004</v>
      </c>
    </row>
    <row r="671" spans="1:15">
      <c r="A671" s="9" t="s">
        <v>703</v>
      </c>
      <c r="B671" s="9" t="s">
        <v>40</v>
      </c>
      <c r="C671" s="9" t="s">
        <v>41</v>
      </c>
      <c r="D671" s="9" t="s">
        <v>25</v>
      </c>
      <c r="E671" s="9" t="s">
        <v>19</v>
      </c>
      <c r="F671" s="9" t="s">
        <v>34</v>
      </c>
      <c r="G671" s="9">
        <v>40.619999999999997</v>
      </c>
      <c r="H671" s="9">
        <v>2</v>
      </c>
      <c r="I671" s="9">
        <v>4.0620000000000003</v>
      </c>
      <c r="J671" s="9">
        <v>85.302000000000007</v>
      </c>
      <c r="K671" s="10">
        <v>43482</v>
      </c>
      <c r="L671" s="11">
        <v>0.41736111111111113</v>
      </c>
      <c r="M671" s="9" t="s">
        <v>31</v>
      </c>
      <c r="N671" s="9">
        <v>81.239999999999995</v>
      </c>
      <c r="O671" s="9">
        <v>4.0999999999999996</v>
      </c>
    </row>
    <row r="672" spans="1:15">
      <c r="A672" s="9" t="s">
        <v>704</v>
      </c>
      <c r="B672" s="9" t="s">
        <v>16</v>
      </c>
      <c r="C672" s="9" t="s">
        <v>17</v>
      </c>
      <c r="D672" s="9" t="s">
        <v>18</v>
      </c>
      <c r="E672" s="9" t="s">
        <v>29</v>
      </c>
      <c r="F672" s="9" t="s">
        <v>44</v>
      </c>
      <c r="G672" s="9">
        <v>56.04</v>
      </c>
      <c r="H672" s="9">
        <v>10</v>
      </c>
      <c r="I672" s="9">
        <v>28.02</v>
      </c>
      <c r="J672" s="9">
        <v>588.41999999999996</v>
      </c>
      <c r="K672" s="10">
        <v>43479</v>
      </c>
      <c r="L672" s="11">
        <v>0.8125</v>
      </c>
      <c r="M672" s="9" t="s">
        <v>21</v>
      </c>
      <c r="N672" s="9">
        <v>560.4</v>
      </c>
      <c r="O672" s="9">
        <v>4.4000000000000004</v>
      </c>
    </row>
    <row r="673" spans="1:15">
      <c r="A673" s="9" t="s">
        <v>705</v>
      </c>
      <c r="B673" s="9" t="s">
        <v>40</v>
      </c>
      <c r="C673" s="9" t="s">
        <v>41</v>
      </c>
      <c r="D673" s="9" t="s">
        <v>18</v>
      </c>
      <c r="E673" s="9" t="s">
        <v>29</v>
      </c>
      <c r="F673" s="9" t="s">
        <v>42</v>
      </c>
      <c r="G673" s="9">
        <v>93.4</v>
      </c>
      <c r="H673" s="9">
        <v>2</v>
      </c>
      <c r="I673" s="9">
        <v>9.34</v>
      </c>
      <c r="J673" s="9">
        <v>196.14</v>
      </c>
      <c r="K673" s="10">
        <v>43554</v>
      </c>
      <c r="L673" s="11">
        <v>0.69027777777777777</v>
      </c>
      <c r="M673" s="9" t="s">
        <v>27</v>
      </c>
      <c r="N673" s="9">
        <v>186.8</v>
      </c>
      <c r="O673" s="9">
        <v>5.5</v>
      </c>
    </row>
    <row r="674" spans="1:15">
      <c r="A674" s="9" t="s">
        <v>706</v>
      </c>
      <c r="B674" s="9" t="s">
        <v>40</v>
      </c>
      <c r="C674" s="9" t="s">
        <v>41</v>
      </c>
      <c r="D674" s="9" t="s">
        <v>25</v>
      </c>
      <c r="E674" s="9" t="s">
        <v>19</v>
      </c>
      <c r="F674" s="9" t="s">
        <v>20</v>
      </c>
      <c r="G674" s="9">
        <v>73.41</v>
      </c>
      <c r="H674" s="9">
        <v>3</v>
      </c>
      <c r="I674" s="9">
        <v>11.0115</v>
      </c>
      <c r="J674" s="9">
        <v>231.2415</v>
      </c>
      <c r="K674" s="10">
        <v>43526</v>
      </c>
      <c r="L674" s="11">
        <v>0.54861111111111116</v>
      </c>
      <c r="M674" s="9" t="s">
        <v>21</v>
      </c>
      <c r="N674" s="9">
        <v>220.23</v>
      </c>
      <c r="O674" s="9">
        <v>4</v>
      </c>
    </row>
    <row r="675" spans="1:15">
      <c r="A675" s="9" t="s">
        <v>707</v>
      </c>
      <c r="B675" s="9" t="s">
        <v>23</v>
      </c>
      <c r="C675" s="9" t="s">
        <v>24</v>
      </c>
      <c r="D675" s="9" t="s">
        <v>25</v>
      </c>
      <c r="E675" s="9" t="s">
        <v>29</v>
      </c>
      <c r="F675" s="9" t="s">
        <v>20</v>
      </c>
      <c r="G675" s="9">
        <v>33.64</v>
      </c>
      <c r="H675" s="9">
        <v>8</v>
      </c>
      <c r="I675" s="9">
        <v>13.456</v>
      </c>
      <c r="J675" s="9">
        <v>282.57600000000002</v>
      </c>
      <c r="K675" s="10">
        <v>43511</v>
      </c>
      <c r="L675" s="11">
        <v>0.71527777777777779</v>
      </c>
      <c r="M675" s="9" t="s">
        <v>31</v>
      </c>
      <c r="N675" s="9">
        <v>269.12</v>
      </c>
      <c r="O675" s="9">
        <v>9.3000000000000007</v>
      </c>
    </row>
    <row r="676" spans="1:15">
      <c r="A676" s="9" t="s">
        <v>708</v>
      </c>
      <c r="B676" s="9" t="s">
        <v>16</v>
      </c>
      <c r="C676" s="9" t="s">
        <v>17</v>
      </c>
      <c r="D676" s="9" t="s">
        <v>25</v>
      </c>
      <c r="E676" s="9" t="s">
        <v>19</v>
      </c>
      <c r="F676" s="9" t="s">
        <v>26</v>
      </c>
      <c r="G676" s="9">
        <v>45.48</v>
      </c>
      <c r="H676" s="9">
        <v>10</v>
      </c>
      <c r="I676" s="9">
        <v>22.74</v>
      </c>
      <c r="J676" s="9">
        <v>477.54</v>
      </c>
      <c r="K676" s="10">
        <v>43525</v>
      </c>
      <c r="L676" s="11">
        <v>0.43194444444444446</v>
      </c>
      <c r="M676" s="9" t="s">
        <v>31</v>
      </c>
      <c r="N676" s="9">
        <v>454.8</v>
      </c>
      <c r="O676" s="9">
        <v>4.8</v>
      </c>
    </row>
    <row r="677" spans="1:15">
      <c r="A677" s="9" t="s">
        <v>709</v>
      </c>
      <c r="B677" s="9" t="s">
        <v>40</v>
      </c>
      <c r="C677" s="9" t="s">
        <v>41</v>
      </c>
      <c r="D677" s="9" t="s">
        <v>18</v>
      </c>
      <c r="E677" s="9" t="s">
        <v>29</v>
      </c>
      <c r="F677" s="9" t="s">
        <v>44</v>
      </c>
      <c r="G677" s="9">
        <v>83.77</v>
      </c>
      <c r="H677" s="9">
        <v>2</v>
      </c>
      <c r="I677" s="9">
        <v>8.3770000000000007</v>
      </c>
      <c r="J677" s="9">
        <v>175.917</v>
      </c>
      <c r="K677" s="10">
        <v>43520</v>
      </c>
      <c r="L677" s="11">
        <v>0.83125000000000004</v>
      </c>
      <c r="M677" s="9" t="s">
        <v>27</v>
      </c>
      <c r="N677" s="9">
        <v>167.54</v>
      </c>
      <c r="O677" s="9">
        <v>4.5999999999999996</v>
      </c>
    </row>
    <row r="678" spans="1:15">
      <c r="A678" s="9" t="s">
        <v>710</v>
      </c>
      <c r="B678" s="9" t="s">
        <v>40</v>
      </c>
      <c r="C678" s="9" t="s">
        <v>41</v>
      </c>
      <c r="D678" s="9" t="s">
        <v>18</v>
      </c>
      <c r="E678" s="9" t="s">
        <v>19</v>
      </c>
      <c r="F678" s="9" t="s">
        <v>34</v>
      </c>
      <c r="G678" s="9">
        <v>64.08</v>
      </c>
      <c r="H678" s="9">
        <v>7</v>
      </c>
      <c r="I678" s="9">
        <v>22.428000000000001</v>
      </c>
      <c r="J678" s="9">
        <v>470.988</v>
      </c>
      <c r="K678" s="10">
        <v>43515</v>
      </c>
      <c r="L678" s="11">
        <v>0.81180555555555556</v>
      </c>
      <c r="M678" s="9" t="s">
        <v>31</v>
      </c>
      <c r="N678" s="9">
        <v>448.56</v>
      </c>
      <c r="O678" s="9">
        <v>7.3</v>
      </c>
    </row>
    <row r="679" spans="1:15">
      <c r="A679" s="9" t="s">
        <v>711</v>
      </c>
      <c r="B679" s="9" t="s">
        <v>16</v>
      </c>
      <c r="C679" s="9" t="s">
        <v>17</v>
      </c>
      <c r="D679" s="9" t="s">
        <v>18</v>
      </c>
      <c r="E679" s="9" t="s">
        <v>19</v>
      </c>
      <c r="F679" s="9" t="s">
        <v>42</v>
      </c>
      <c r="G679" s="9">
        <v>73.47</v>
      </c>
      <c r="H679" s="9">
        <v>4</v>
      </c>
      <c r="I679" s="9">
        <v>14.694000000000001</v>
      </c>
      <c r="J679" s="9">
        <v>308.57400000000001</v>
      </c>
      <c r="K679" s="10">
        <v>43519</v>
      </c>
      <c r="L679" s="11">
        <v>0.77083333333333337</v>
      </c>
      <c r="M679" s="9" t="s">
        <v>27</v>
      </c>
      <c r="N679" s="9">
        <v>293.88</v>
      </c>
      <c r="O679" s="9">
        <v>6</v>
      </c>
    </row>
    <row r="680" spans="1:15">
      <c r="A680" s="9" t="s">
        <v>712</v>
      </c>
      <c r="B680" s="9" t="s">
        <v>23</v>
      </c>
      <c r="C680" s="9" t="s">
        <v>24</v>
      </c>
      <c r="D680" s="9" t="s">
        <v>25</v>
      </c>
      <c r="E680" s="9" t="s">
        <v>29</v>
      </c>
      <c r="F680" s="9" t="s">
        <v>20</v>
      </c>
      <c r="G680" s="9">
        <v>58.95</v>
      </c>
      <c r="H680" s="9">
        <v>10</v>
      </c>
      <c r="I680" s="9">
        <v>29.475000000000001</v>
      </c>
      <c r="J680" s="9">
        <v>618.97500000000002</v>
      </c>
      <c r="K680" s="10">
        <v>43503</v>
      </c>
      <c r="L680" s="11">
        <v>0.6020833333333333</v>
      </c>
      <c r="M680" s="9" t="s">
        <v>21</v>
      </c>
      <c r="N680" s="9">
        <v>589.5</v>
      </c>
      <c r="O680" s="9">
        <v>8.1</v>
      </c>
    </row>
    <row r="681" spans="1:15">
      <c r="A681" s="9" t="s">
        <v>713</v>
      </c>
      <c r="B681" s="9" t="s">
        <v>16</v>
      </c>
      <c r="C681" s="9" t="s">
        <v>17</v>
      </c>
      <c r="D681" s="9" t="s">
        <v>18</v>
      </c>
      <c r="E681" s="9" t="s">
        <v>29</v>
      </c>
      <c r="F681" s="9" t="s">
        <v>42</v>
      </c>
      <c r="G681" s="9">
        <v>48.5</v>
      </c>
      <c r="H681" s="9">
        <v>6</v>
      </c>
      <c r="I681" s="9">
        <v>14.55</v>
      </c>
      <c r="J681" s="9">
        <v>305.55</v>
      </c>
      <c r="K681" s="10">
        <v>43476</v>
      </c>
      <c r="L681" s="11">
        <v>0.58125000000000004</v>
      </c>
      <c r="M681" s="9" t="s">
        <v>21</v>
      </c>
      <c r="N681" s="9">
        <v>291</v>
      </c>
      <c r="O681" s="9">
        <v>9.4</v>
      </c>
    </row>
    <row r="682" spans="1:15">
      <c r="A682" s="9" t="s">
        <v>714</v>
      </c>
      <c r="B682" s="9" t="s">
        <v>40</v>
      </c>
      <c r="C682" s="9" t="s">
        <v>41</v>
      </c>
      <c r="D682" s="9" t="s">
        <v>18</v>
      </c>
      <c r="E682" s="9" t="s">
        <v>19</v>
      </c>
      <c r="F682" s="9" t="s">
        <v>26</v>
      </c>
      <c r="G682" s="9">
        <v>39.479999999999997</v>
      </c>
      <c r="H682" s="9">
        <v>1</v>
      </c>
      <c r="I682" s="9">
        <v>1.974</v>
      </c>
      <c r="J682" s="9">
        <v>41.454000000000001</v>
      </c>
      <c r="K682" s="10">
        <v>43508</v>
      </c>
      <c r="L682" s="11">
        <v>0.82152777777777775</v>
      </c>
      <c r="M682" s="9" t="s">
        <v>27</v>
      </c>
      <c r="N682" s="9">
        <v>39.479999999999997</v>
      </c>
      <c r="O682" s="9">
        <v>6.5</v>
      </c>
    </row>
    <row r="683" spans="1:15">
      <c r="A683" s="9" t="s">
        <v>715</v>
      </c>
      <c r="B683" s="9" t="s">
        <v>40</v>
      </c>
      <c r="C683" s="9" t="s">
        <v>41</v>
      </c>
      <c r="D683" s="9" t="s">
        <v>25</v>
      </c>
      <c r="E683" s="9" t="s">
        <v>19</v>
      </c>
      <c r="F683" s="9" t="s">
        <v>34</v>
      </c>
      <c r="G683" s="9">
        <v>34.81</v>
      </c>
      <c r="H683" s="9">
        <v>1</v>
      </c>
      <c r="I683" s="9">
        <v>1.7404999999999999</v>
      </c>
      <c r="J683" s="9">
        <v>36.5505</v>
      </c>
      <c r="K683" s="10">
        <v>43479</v>
      </c>
      <c r="L683" s="11">
        <v>0.42430555555555555</v>
      </c>
      <c r="M683" s="9" t="s">
        <v>31</v>
      </c>
      <c r="N683" s="9">
        <v>34.81</v>
      </c>
      <c r="O683" s="9">
        <v>7</v>
      </c>
    </row>
    <row r="684" spans="1:15">
      <c r="A684" s="9" t="s">
        <v>716</v>
      </c>
      <c r="B684" s="9" t="s">
        <v>23</v>
      </c>
      <c r="C684" s="9" t="s">
        <v>24</v>
      </c>
      <c r="D684" s="9" t="s">
        <v>25</v>
      </c>
      <c r="E684" s="9" t="s">
        <v>19</v>
      </c>
      <c r="F684" s="9" t="s">
        <v>44</v>
      </c>
      <c r="G684" s="9">
        <v>49.32</v>
      </c>
      <c r="H684" s="9">
        <v>6</v>
      </c>
      <c r="I684" s="9">
        <v>14.795999999999999</v>
      </c>
      <c r="J684" s="9">
        <v>310.71600000000001</v>
      </c>
      <c r="K684" s="10">
        <v>43474</v>
      </c>
      <c r="L684" s="11">
        <v>0.57361111111111107</v>
      </c>
      <c r="M684" s="9" t="s">
        <v>21</v>
      </c>
      <c r="N684" s="9">
        <v>295.92</v>
      </c>
      <c r="O684" s="9">
        <v>7.1</v>
      </c>
    </row>
    <row r="685" spans="1:15">
      <c r="A685" s="9" t="s">
        <v>717</v>
      </c>
      <c r="B685" s="9" t="s">
        <v>16</v>
      </c>
      <c r="C685" s="9" t="s">
        <v>17</v>
      </c>
      <c r="D685" s="9" t="s">
        <v>18</v>
      </c>
      <c r="E685" s="9" t="s">
        <v>29</v>
      </c>
      <c r="F685" s="9" t="s">
        <v>44</v>
      </c>
      <c r="G685" s="9">
        <v>21.48</v>
      </c>
      <c r="H685" s="9">
        <v>2</v>
      </c>
      <c r="I685" s="9">
        <v>2.1480000000000001</v>
      </c>
      <c r="J685" s="9">
        <v>45.107999999999997</v>
      </c>
      <c r="K685" s="10">
        <v>43523</v>
      </c>
      <c r="L685" s="11">
        <v>0.51527777777777772</v>
      </c>
      <c r="M685" s="9" t="s">
        <v>21</v>
      </c>
      <c r="N685" s="9">
        <v>42.96</v>
      </c>
      <c r="O685" s="9">
        <v>6.6</v>
      </c>
    </row>
    <row r="686" spans="1:15">
      <c r="A686" s="9" t="s">
        <v>718</v>
      </c>
      <c r="B686" s="9" t="s">
        <v>40</v>
      </c>
      <c r="C686" s="9" t="s">
        <v>41</v>
      </c>
      <c r="D686" s="9" t="s">
        <v>18</v>
      </c>
      <c r="E686" s="9" t="s">
        <v>19</v>
      </c>
      <c r="F686" s="9" t="s">
        <v>34</v>
      </c>
      <c r="G686" s="9">
        <v>23.08</v>
      </c>
      <c r="H686" s="9">
        <v>6</v>
      </c>
      <c r="I686" s="9">
        <v>6.9240000000000004</v>
      </c>
      <c r="J686" s="9">
        <v>145.404</v>
      </c>
      <c r="K686" s="10">
        <v>43489</v>
      </c>
      <c r="L686" s="11">
        <v>0.80555555555555558</v>
      </c>
      <c r="M686" s="9" t="s">
        <v>21</v>
      </c>
      <c r="N686" s="9">
        <v>138.47999999999999</v>
      </c>
      <c r="O686" s="9">
        <v>4.9000000000000004</v>
      </c>
    </row>
    <row r="687" spans="1:15">
      <c r="A687" s="9" t="s">
        <v>719</v>
      </c>
      <c r="B687" s="9" t="s">
        <v>40</v>
      </c>
      <c r="C687" s="9" t="s">
        <v>41</v>
      </c>
      <c r="D687" s="9" t="s">
        <v>18</v>
      </c>
      <c r="E687" s="9" t="s">
        <v>19</v>
      </c>
      <c r="F687" s="9" t="s">
        <v>30</v>
      </c>
      <c r="G687" s="9">
        <v>49.1</v>
      </c>
      <c r="H687" s="9">
        <v>2</v>
      </c>
      <c r="I687" s="9">
        <v>4.91</v>
      </c>
      <c r="J687" s="9">
        <v>103.11</v>
      </c>
      <c r="K687" s="10">
        <v>43473</v>
      </c>
      <c r="L687" s="11">
        <v>0.54027777777777775</v>
      </c>
      <c r="M687" s="9" t="s">
        <v>31</v>
      </c>
      <c r="N687" s="9">
        <v>98.2</v>
      </c>
      <c r="O687" s="9">
        <v>6.4</v>
      </c>
    </row>
    <row r="688" spans="1:15">
      <c r="A688" s="9" t="s">
        <v>720</v>
      </c>
      <c r="B688" s="9" t="s">
        <v>40</v>
      </c>
      <c r="C688" s="9" t="s">
        <v>41</v>
      </c>
      <c r="D688" s="9" t="s">
        <v>18</v>
      </c>
      <c r="E688" s="9" t="s">
        <v>19</v>
      </c>
      <c r="F688" s="9" t="s">
        <v>34</v>
      </c>
      <c r="G688" s="9">
        <v>64.83</v>
      </c>
      <c r="H688" s="9">
        <v>2</v>
      </c>
      <c r="I688" s="9">
        <v>6.4829999999999997</v>
      </c>
      <c r="J688" s="9">
        <v>136.143</v>
      </c>
      <c r="K688" s="10">
        <v>43473</v>
      </c>
      <c r="L688" s="11">
        <v>0.49930555555555556</v>
      </c>
      <c r="M688" s="9" t="s">
        <v>31</v>
      </c>
      <c r="N688" s="9">
        <v>129.66</v>
      </c>
      <c r="O688" s="9">
        <v>8</v>
      </c>
    </row>
    <row r="689" spans="1:15">
      <c r="A689" s="9" t="s">
        <v>721</v>
      </c>
      <c r="B689" s="9" t="s">
        <v>16</v>
      </c>
      <c r="C689" s="9" t="s">
        <v>17</v>
      </c>
      <c r="D689" s="9" t="s">
        <v>18</v>
      </c>
      <c r="E689" s="9" t="s">
        <v>29</v>
      </c>
      <c r="F689" s="9" t="s">
        <v>30</v>
      </c>
      <c r="G689" s="9">
        <v>63.56</v>
      </c>
      <c r="H689" s="9">
        <v>10</v>
      </c>
      <c r="I689" s="9">
        <v>31.78</v>
      </c>
      <c r="J689" s="9">
        <v>667.38</v>
      </c>
      <c r="K689" s="10">
        <v>43481</v>
      </c>
      <c r="L689" s="11">
        <v>0.74930555555555556</v>
      </c>
      <c r="M689" s="9" t="s">
        <v>27</v>
      </c>
      <c r="N689" s="9">
        <v>635.6</v>
      </c>
      <c r="O689" s="9">
        <v>4.3</v>
      </c>
    </row>
    <row r="690" spans="1:15">
      <c r="A690" s="9" t="s">
        <v>722</v>
      </c>
      <c r="B690" s="9" t="s">
        <v>23</v>
      </c>
      <c r="C690" s="9" t="s">
        <v>24</v>
      </c>
      <c r="D690" s="9" t="s">
        <v>18</v>
      </c>
      <c r="E690" s="9" t="s">
        <v>29</v>
      </c>
      <c r="F690" s="9" t="s">
        <v>34</v>
      </c>
      <c r="G690" s="9">
        <v>72.88</v>
      </c>
      <c r="H690" s="9">
        <v>2</v>
      </c>
      <c r="I690" s="9">
        <v>7.2880000000000003</v>
      </c>
      <c r="J690" s="9">
        <v>153.048</v>
      </c>
      <c r="K690" s="10">
        <v>43537</v>
      </c>
      <c r="L690" s="11">
        <v>0.53541666666666665</v>
      </c>
      <c r="M690" s="9" t="s">
        <v>27</v>
      </c>
      <c r="N690" s="9">
        <v>145.76</v>
      </c>
      <c r="O690" s="9">
        <v>6.1</v>
      </c>
    </row>
    <row r="691" spans="1:15">
      <c r="A691" s="9" t="s">
        <v>723</v>
      </c>
      <c r="B691" s="9" t="s">
        <v>16</v>
      </c>
      <c r="C691" s="9" t="s">
        <v>17</v>
      </c>
      <c r="D691" s="9" t="s">
        <v>25</v>
      </c>
      <c r="E691" s="9" t="s">
        <v>19</v>
      </c>
      <c r="F691" s="9" t="s">
        <v>42</v>
      </c>
      <c r="G691" s="9">
        <v>67.099999999999994</v>
      </c>
      <c r="H691" s="9">
        <v>3</v>
      </c>
      <c r="I691" s="9">
        <v>10.065</v>
      </c>
      <c r="J691" s="9">
        <v>211.36500000000001</v>
      </c>
      <c r="K691" s="10">
        <v>43511</v>
      </c>
      <c r="L691" s="11">
        <v>0.44166666666666665</v>
      </c>
      <c r="M691" s="9" t="s">
        <v>27</v>
      </c>
      <c r="N691" s="9">
        <v>201.3</v>
      </c>
      <c r="O691" s="9">
        <v>7.5</v>
      </c>
    </row>
    <row r="692" spans="1:15">
      <c r="A692" s="9" t="s">
        <v>724</v>
      </c>
      <c r="B692" s="9" t="s">
        <v>23</v>
      </c>
      <c r="C692" s="9" t="s">
        <v>24</v>
      </c>
      <c r="D692" s="9" t="s">
        <v>18</v>
      </c>
      <c r="E692" s="9" t="s">
        <v>19</v>
      </c>
      <c r="F692" s="9" t="s">
        <v>34</v>
      </c>
      <c r="G692" s="9">
        <v>70.19</v>
      </c>
      <c r="H692" s="9">
        <v>9</v>
      </c>
      <c r="I692" s="9">
        <v>31.5855</v>
      </c>
      <c r="J692" s="9">
        <v>663.29549999999995</v>
      </c>
      <c r="K692" s="10">
        <v>43490</v>
      </c>
      <c r="L692" s="11">
        <v>0.56805555555555554</v>
      </c>
      <c r="M692" s="9" t="s">
        <v>27</v>
      </c>
      <c r="N692" s="9">
        <v>631.71</v>
      </c>
      <c r="O692" s="9">
        <v>6.7</v>
      </c>
    </row>
    <row r="693" spans="1:15">
      <c r="A693" s="9" t="s">
        <v>725</v>
      </c>
      <c r="B693" s="9" t="s">
        <v>23</v>
      </c>
      <c r="C693" s="9" t="s">
        <v>24</v>
      </c>
      <c r="D693" s="9" t="s">
        <v>18</v>
      </c>
      <c r="E693" s="9" t="s">
        <v>29</v>
      </c>
      <c r="F693" s="9" t="s">
        <v>42</v>
      </c>
      <c r="G693" s="9">
        <v>55.04</v>
      </c>
      <c r="H693" s="9">
        <v>7</v>
      </c>
      <c r="I693" s="9">
        <v>19.263999999999999</v>
      </c>
      <c r="J693" s="9">
        <v>404.54399999999998</v>
      </c>
      <c r="K693" s="10">
        <v>43536</v>
      </c>
      <c r="L693" s="11">
        <v>0.81874999999999998</v>
      </c>
      <c r="M693" s="9" t="s">
        <v>21</v>
      </c>
      <c r="N693" s="9">
        <v>385.28</v>
      </c>
      <c r="O693" s="9">
        <v>5.2</v>
      </c>
    </row>
    <row r="694" spans="1:15">
      <c r="A694" s="9" t="s">
        <v>726</v>
      </c>
      <c r="B694" s="9" t="s">
        <v>16</v>
      </c>
      <c r="C694" s="9" t="s">
        <v>17</v>
      </c>
      <c r="D694" s="9" t="s">
        <v>18</v>
      </c>
      <c r="E694" s="9" t="s">
        <v>29</v>
      </c>
      <c r="F694" s="9" t="s">
        <v>20</v>
      </c>
      <c r="G694" s="9">
        <v>48.63</v>
      </c>
      <c r="H694" s="9">
        <v>10</v>
      </c>
      <c r="I694" s="9">
        <v>24.315000000000001</v>
      </c>
      <c r="J694" s="9">
        <v>510.61500000000001</v>
      </c>
      <c r="K694" s="10">
        <v>43528</v>
      </c>
      <c r="L694" s="11">
        <v>0.53055555555555556</v>
      </c>
      <c r="M694" s="9" t="s">
        <v>27</v>
      </c>
      <c r="N694" s="9">
        <v>486.3</v>
      </c>
      <c r="O694" s="9">
        <v>8.8000000000000007</v>
      </c>
    </row>
    <row r="695" spans="1:15">
      <c r="A695" s="9" t="s">
        <v>727</v>
      </c>
      <c r="B695" s="9" t="s">
        <v>23</v>
      </c>
      <c r="C695" s="9" t="s">
        <v>24</v>
      </c>
      <c r="D695" s="9" t="s">
        <v>18</v>
      </c>
      <c r="E695" s="9" t="s">
        <v>19</v>
      </c>
      <c r="F695" s="9" t="s">
        <v>44</v>
      </c>
      <c r="G695" s="9">
        <v>73.38</v>
      </c>
      <c r="H695" s="9">
        <v>7</v>
      </c>
      <c r="I695" s="9">
        <v>25.683</v>
      </c>
      <c r="J695" s="9">
        <v>539.34299999999996</v>
      </c>
      <c r="K695" s="10">
        <v>43506</v>
      </c>
      <c r="L695" s="11">
        <v>0.5805555555555556</v>
      </c>
      <c r="M695" s="9" t="s">
        <v>27</v>
      </c>
      <c r="N695" s="9">
        <v>513.66</v>
      </c>
      <c r="O695" s="9">
        <v>9.5</v>
      </c>
    </row>
    <row r="696" spans="1:15">
      <c r="A696" s="9" t="s">
        <v>728</v>
      </c>
      <c r="B696" s="9" t="s">
        <v>23</v>
      </c>
      <c r="C696" s="9" t="s">
        <v>24</v>
      </c>
      <c r="D696" s="9" t="s">
        <v>25</v>
      </c>
      <c r="E696" s="9" t="s">
        <v>19</v>
      </c>
      <c r="F696" s="9" t="s">
        <v>42</v>
      </c>
      <c r="G696" s="9">
        <v>52.6</v>
      </c>
      <c r="H696" s="9">
        <v>9</v>
      </c>
      <c r="I696" s="9">
        <v>23.67</v>
      </c>
      <c r="J696" s="9">
        <v>497.07</v>
      </c>
      <c r="K696" s="10">
        <v>43481</v>
      </c>
      <c r="L696" s="11">
        <v>0.61250000000000004</v>
      </c>
      <c r="M696" s="9" t="s">
        <v>27</v>
      </c>
      <c r="N696" s="9">
        <v>473.4</v>
      </c>
      <c r="O696" s="9">
        <v>7.6</v>
      </c>
    </row>
    <row r="697" spans="1:15">
      <c r="A697" s="9" t="s">
        <v>729</v>
      </c>
      <c r="B697" s="9" t="s">
        <v>16</v>
      </c>
      <c r="C697" s="9" t="s">
        <v>17</v>
      </c>
      <c r="D697" s="9" t="s">
        <v>18</v>
      </c>
      <c r="E697" s="9" t="s">
        <v>19</v>
      </c>
      <c r="F697" s="9" t="s">
        <v>30</v>
      </c>
      <c r="G697" s="9">
        <v>87.37</v>
      </c>
      <c r="H697" s="9">
        <v>5</v>
      </c>
      <c r="I697" s="9">
        <v>21.842500000000001</v>
      </c>
      <c r="J697" s="9">
        <v>458.6925</v>
      </c>
      <c r="K697" s="10">
        <v>43494</v>
      </c>
      <c r="L697" s="11">
        <v>0.82291666666666663</v>
      </c>
      <c r="M697" s="9" t="s">
        <v>27</v>
      </c>
      <c r="N697" s="9">
        <v>436.85</v>
      </c>
      <c r="O697" s="9">
        <v>6.6</v>
      </c>
    </row>
    <row r="698" spans="1:15">
      <c r="A698" s="9" t="s">
        <v>730</v>
      </c>
      <c r="B698" s="9" t="s">
        <v>16</v>
      </c>
      <c r="C698" s="9" t="s">
        <v>17</v>
      </c>
      <c r="D698" s="9" t="s">
        <v>18</v>
      </c>
      <c r="E698" s="9" t="s">
        <v>19</v>
      </c>
      <c r="F698" s="9" t="s">
        <v>34</v>
      </c>
      <c r="G698" s="9">
        <v>27.04</v>
      </c>
      <c r="H698" s="9">
        <v>4</v>
      </c>
      <c r="I698" s="9">
        <v>5.4080000000000004</v>
      </c>
      <c r="J698" s="9">
        <v>113.568</v>
      </c>
      <c r="K698" s="10">
        <v>43466</v>
      </c>
      <c r="L698" s="11">
        <v>0.85138888888888886</v>
      </c>
      <c r="M698" s="9" t="s">
        <v>21</v>
      </c>
      <c r="N698" s="9">
        <v>108.16</v>
      </c>
      <c r="O698" s="9">
        <v>6.9</v>
      </c>
    </row>
    <row r="699" spans="1:15">
      <c r="A699" s="9" t="s">
        <v>731</v>
      </c>
      <c r="B699" s="9" t="s">
        <v>40</v>
      </c>
      <c r="C699" s="9" t="s">
        <v>41</v>
      </c>
      <c r="D699" s="9" t="s">
        <v>25</v>
      </c>
      <c r="E699" s="9" t="s">
        <v>29</v>
      </c>
      <c r="F699" s="9" t="s">
        <v>30</v>
      </c>
      <c r="G699" s="9">
        <v>62.19</v>
      </c>
      <c r="H699" s="9">
        <v>4</v>
      </c>
      <c r="I699" s="9">
        <v>12.438000000000001</v>
      </c>
      <c r="J699" s="9">
        <v>261.19799999999998</v>
      </c>
      <c r="K699" s="10">
        <v>43471</v>
      </c>
      <c r="L699" s="11">
        <v>0.82361111111111107</v>
      </c>
      <c r="M699" s="9" t="s">
        <v>21</v>
      </c>
      <c r="N699" s="9">
        <v>248.76</v>
      </c>
      <c r="O699" s="9">
        <v>4.3</v>
      </c>
    </row>
    <row r="700" spans="1:15">
      <c r="A700" s="9" t="s">
        <v>732</v>
      </c>
      <c r="B700" s="9" t="s">
        <v>16</v>
      </c>
      <c r="C700" s="9" t="s">
        <v>17</v>
      </c>
      <c r="D700" s="9" t="s">
        <v>18</v>
      </c>
      <c r="E700" s="9" t="s">
        <v>29</v>
      </c>
      <c r="F700" s="9" t="s">
        <v>26</v>
      </c>
      <c r="G700" s="9">
        <v>69.58</v>
      </c>
      <c r="H700" s="9">
        <v>9</v>
      </c>
      <c r="I700" s="9">
        <v>31.311</v>
      </c>
      <c r="J700" s="9">
        <v>657.53099999999995</v>
      </c>
      <c r="K700" s="10">
        <v>43515</v>
      </c>
      <c r="L700" s="11">
        <v>0.81805555555555554</v>
      </c>
      <c r="M700" s="9" t="s">
        <v>31</v>
      </c>
      <c r="N700" s="9">
        <v>626.22</v>
      </c>
      <c r="O700" s="9">
        <v>7.8</v>
      </c>
    </row>
    <row r="701" spans="1:15">
      <c r="A701" s="9" t="s">
        <v>733</v>
      </c>
      <c r="B701" s="9" t="s">
        <v>23</v>
      </c>
      <c r="C701" s="9" t="s">
        <v>24</v>
      </c>
      <c r="D701" s="9" t="s">
        <v>25</v>
      </c>
      <c r="E701" s="9" t="s">
        <v>29</v>
      </c>
      <c r="F701" s="9" t="s">
        <v>30</v>
      </c>
      <c r="G701" s="9">
        <v>97.5</v>
      </c>
      <c r="H701" s="9">
        <v>10</v>
      </c>
      <c r="I701" s="9">
        <v>48.75</v>
      </c>
      <c r="J701" s="9">
        <v>1023.75</v>
      </c>
      <c r="K701" s="10">
        <v>43477</v>
      </c>
      <c r="L701" s="11">
        <v>0.6791666666666667</v>
      </c>
      <c r="M701" s="9" t="s">
        <v>21</v>
      </c>
      <c r="N701" s="9">
        <v>975</v>
      </c>
      <c r="O701" s="9">
        <v>8</v>
      </c>
    </row>
    <row r="702" spans="1:15">
      <c r="A702" s="9" t="s">
        <v>734</v>
      </c>
      <c r="B702" s="9" t="s">
        <v>23</v>
      </c>
      <c r="C702" s="9" t="s">
        <v>24</v>
      </c>
      <c r="D702" s="9" t="s">
        <v>25</v>
      </c>
      <c r="E702" s="9" t="s">
        <v>19</v>
      </c>
      <c r="F702" s="9" t="s">
        <v>44</v>
      </c>
      <c r="G702" s="9">
        <v>60.41</v>
      </c>
      <c r="H702" s="9">
        <v>8</v>
      </c>
      <c r="I702" s="9">
        <v>24.164000000000001</v>
      </c>
      <c r="J702" s="9">
        <v>507.44400000000002</v>
      </c>
      <c r="K702" s="10">
        <v>43503</v>
      </c>
      <c r="L702" s="11">
        <v>0.51597222222222228</v>
      </c>
      <c r="M702" s="9" t="s">
        <v>21</v>
      </c>
      <c r="N702" s="9">
        <v>483.28</v>
      </c>
      <c r="O702" s="9">
        <v>9.6</v>
      </c>
    </row>
    <row r="703" spans="1:15">
      <c r="A703" s="9" t="s">
        <v>735</v>
      </c>
      <c r="B703" s="9" t="s">
        <v>40</v>
      </c>
      <c r="C703" s="9" t="s">
        <v>41</v>
      </c>
      <c r="D703" s="9" t="s">
        <v>25</v>
      </c>
      <c r="E703" s="9" t="s">
        <v>29</v>
      </c>
      <c r="F703" s="9" t="s">
        <v>42</v>
      </c>
      <c r="G703" s="9">
        <v>32.32</v>
      </c>
      <c r="H703" s="9">
        <v>3</v>
      </c>
      <c r="I703" s="9">
        <v>4.8479999999999999</v>
      </c>
      <c r="J703" s="9">
        <v>101.80800000000001</v>
      </c>
      <c r="K703" s="10">
        <v>43551</v>
      </c>
      <c r="L703" s="11">
        <v>0.7993055555555556</v>
      </c>
      <c r="M703" s="9" t="s">
        <v>31</v>
      </c>
      <c r="N703" s="9">
        <v>96.96</v>
      </c>
      <c r="O703" s="9">
        <v>4.3</v>
      </c>
    </row>
    <row r="704" spans="1:15">
      <c r="A704" s="9" t="s">
        <v>736</v>
      </c>
      <c r="B704" s="9" t="s">
        <v>40</v>
      </c>
      <c r="C704" s="9" t="s">
        <v>41</v>
      </c>
      <c r="D704" s="9" t="s">
        <v>18</v>
      </c>
      <c r="E704" s="9" t="s">
        <v>19</v>
      </c>
      <c r="F704" s="9" t="s">
        <v>44</v>
      </c>
      <c r="G704" s="9">
        <v>19.77</v>
      </c>
      <c r="H704" s="9">
        <v>10</v>
      </c>
      <c r="I704" s="9">
        <v>9.8849999999999998</v>
      </c>
      <c r="J704" s="9">
        <v>207.58500000000001</v>
      </c>
      <c r="K704" s="10">
        <v>43523</v>
      </c>
      <c r="L704" s="11">
        <v>0.7895833333333333</v>
      </c>
      <c r="M704" s="9" t="s">
        <v>31</v>
      </c>
      <c r="N704" s="9">
        <v>197.7</v>
      </c>
      <c r="O704" s="9">
        <v>5</v>
      </c>
    </row>
    <row r="705" spans="1:15">
      <c r="A705" s="9" t="s">
        <v>737</v>
      </c>
      <c r="B705" s="9" t="s">
        <v>40</v>
      </c>
      <c r="C705" s="9" t="s">
        <v>41</v>
      </c>
      <c r="D705" s="9" t="s">
        <v>18</v>
      </c>
      <c r="E705" s="9" t="s">
        <v>29</v>
      </c>
      <c r="F705" s="9" t="s">
        <v>20</v>
      </c>
      <c r="G705" s="9">
        <v>80.47</v>
      </c>
      <c r="H705" s="9">
        <v>9</v>
      </c>
      <c r="I705" s="9">
        <v>36.211500000000001</v>
      </c>
      <c r="J705" s="9">
        <v>760.44150000000002</v>
      </c>
      <c r="K705" s="10">
        <v>43471</v>
      </c>
      <c r="L705" s="11">
        <v>0.47083333333333333</v>
      </c>
      <c r="M705" s="9" t="s">
        <v>27</v>
      </c>
      <c r="N705" s="9">
        <v>724.23</v>
      </c>
      <c r="O705" s="9">
        <v>9.1999999999999993</v>
      </c>
    </row>
    <row r="706" spans="1:15">
      <c r="A706" s="9" t="s">
        <v>738</v>
      </c>
      <c r="B706" s="9" t="s">
        <v>40</v>
      </c>
      <c r="C706" s="9" t="s">
        <v>41</v>
      </c>
      <c r="D706" s="9" t="s">
        <v>18</v>
      </c>
      <c r="E706" s="9" t="s">
        <v>19</v>
      </c>
      <c r="F706" s="9" t="s">
        <v>30</v>
      </c>
      <c r="G706" s="9">
        <v>88.39</v>
      </c>
      <c r="H706" s="9">
        <v>9</v>
      </c>
      <c r="I706" s="9">
        <v>39.775500000000001</v>
      </c>
      <c r="J706" s="9">
        <v>835.28549999999996</v>
      </c>
      <c r="K706" s="10">
        <v>43526</v>
      </c>
      <c r="L706" s="11">
        <v>0.52777777777777779</v>
      </c>
      <c r="M706" s="9" t="s">
        <v>27</v>
      </c>
      <c r="N706" s="9">
        <v>795.51</v>
      </c>
      <c r="O706" s="9">
        <v>6.3</v>
      </c>
    </row>
    <row r="707" spans="1:15">
      <c r="A707" s="9" t="s">
        <v>739</v>
      </c>
      <c r="B707" s="9" t="s">
        <v>40</v>
      </c>
      <c r="C707" s="9" t="s">
        <v>41</v>
      </c>
      <c r="D707" s="9" t="s">
        <v>25</v>
      </c>
      <c r="E707" s="9" t="s">
        <v>29</v>
      </c>
      <c r="F707" s="9" t="s">
        <v>20</v>
      </c>
      <c r="G707" s="9">
        <v>71.77</v>
      </c>
      <c r="H707" s="9">
        <v>7</v>
      </c>
      <c r="I707" s="9">
        <v>25.119499999999999</v>
      </c>
      <c r="J707" s="9">
        <v>527.5095</v>
      </c>
      <c r="K707" s="10">
        <v>43553</v>
      </c>
      <c r="L707" s="11">
        <v>0.58750000000000002</v>
      </c>
      <c r="M707" s="9" t="s">
        <v>27</v>
      </c>
      <c r="N707" s="9">
        <v>502.39</v>
      </c>
      <c r="O707" s="9">
        <v>8.9</v>
      </c>
    </row>
    <row r="708" spans="1:15">
      <c r="A708" s="9" t="s">
        <v>740</v>
      </c>
      <c r="B708" s="9" t="s">
        <v>40</v>
      </c>
      <c r="C708" s="9" t="s">
        <v>41</v>
      </c>
      <c r="D708" s="9" t="s">
        <v>25</v>
      </c>
      <c r="E708" s="9" t="s">
        <v>19</v>
      </c>
      <c r="F708" s="9" t="s">
        <v>26</v>
      </c>
      <c r="G708" s="9">
        <v>43</v>
      </c>
      <c r="H708" s="9">
        <v>4</v>
      </c>
      <c r="I708" s="9">
        <v>8.6</v>
      </c>
      <c r="J708" s="9">
        <v>180.6</v>
      </c>
      <c r="K708" s="10">
        <v>43496</v>
      </c>
      <c r="L708" s="11">
        <v>0.8666666666666667</v>
      </c>
      <c r="M708" s="9" t="s">
        <v>21</v>
      </c>
      <c r="N708" s="9">
        <v>172</v>
      </c>
      <c r="O708" s="9">
        <v>7.6</v>
      </c>
    </row>
    <row r="709" spans="1:15">
      <c r="A709" s="9" t="s">
        <v>741</v>
      </c>
      <c r="B709" s="9" t="s">
        <v>23</v>
      </c>
      <c r="C709" s="9" t="s">
        <v>24</v>
      </c>
      <c r="D709" s="9" t="s">
        <v>18</v>
      </c>
      <c r="E709" s="9" t="s">
        <v>29</v>
      </c>
      <c r="F709" s="9" t="s">
        <v>42</v>
      </c>
      <c r="G709" s="9">
        <v>68.98</v>
      </c>
      <c r="H709" s="9">
        <v>1</v>
      </c>
      <c r="I709" s="9">
        <v>3.4489999999999998</v>
      </c>
      <c r="J709" s="9">
        <v>72.429000000000002</v>
      </c>
      <c r="K709" s="10">
        <v>43486</v>
      </c>
      <c r="L709" s="11">
        <v>0.84236111111111112</v>
      </c>
      <c r="M709" s="9" t="s">
        <v>27</v>
      </c>
      <c r="N709" s="9">
        <v>68.98</v>
      </c>
      <c r="O709" s="9">
        <v>4.8</v>
      </c>
    </row>
    <row r="710" spans="1:15">
      <c r="A710" s="9" t="s">
        <v>742</v>
      </c>
      <c r="B710" s="9" t="s">
        <v>23</v>
      </c>
      <c r="C710" s="9" t="s">
        <v>24</v>
      </c>
      <c r="D710" s="9" t="s">
        <v>25</v>
      </c>
      <c r="E710" s="9" t="s">
        <v>29</v>
      </c>
      <c r="F710" s="9" t="s">
        <v>44</v>
      </c>
      <c r="G710" s="9">
        <v>15.62</v>
      </c>
      <c r="H710" s="9">
        <v>8</v>
      </c>
      <c r="I710" s="9">
        <v>6.2480000000000002</v>
      </c>
      <c r="J710" s="9">
        <v>131.208</v>
      </c>
      <c r="K710" s="10">
        <v>43485</v>
      </c>
      <c r="L710" s="11">
        <v>0.85902777777777772</v>
      </c>
      <c r="M710" s="9" t="s">
        <v>21</v>
      </c>
      <c r="N710" s="9">
        <v>124.96</v>
      </c>
      <c r="O710" s="9">
        <v>9.1</v>
      </c>
    </row>
    <row r="711" spans="1:15">
      <c r="A711" s="9" t="s">
        <v>743</v>
      </c>
      <c r="B711" s="9" t="s">
        <v>16</v>
      </c>
      <c r="C711" s="9" t="s">
        <v>17</v>
      </c>
      <c r="D711" s="9" t="s">
        <v>25</v>
      </c>
      <c r="E711" s="9" t="s">
        <v>29</v>
      </c>
      <c r="F711" s="9" t="s">
        <v>34</v>
      </c>
      <c r="G711" s="9">
        <v>25.7</v>
      </c>
      <c r="H711" s="9">
        <v>3</v>
      </c>
      <c r="I711" s="9">
        <v>3.855</v>
      </c>
      <c r="J711" s="9">
        <v>80.954999999999998</v>
      </c>
      <c r="K711" s="10">
        <v>43482</v>
      </c>
      <c r="L711" s="11">
        <v>0.74930555555555556</v>
      </c>
      <c r="M711" s="9" t="s">
        <v>21</v>
      </c>
      <c r="N711" s="9">
        <v>77.099999999999994</v>
      </c>
      <c r="O711" s="9">
        <v>6.1</v>
      </c>
    </row>
    <row r="712" spans="1:15">
      <c r="A712" s="9" t="s">
        <v>744</v>
      </c>
      <c r="B712" s="9" t="s">
        <v>16</v>
      </c>
      <c r="C712" s="9" t="s">
        <v>17</v>
      </c>
      <c r="D712" s="9" t="s">
        <v>18</v>
      </c>
      <c r="E712" s="9" t="s">
        <v>29</v>
      </c>
      <c r="F712" s="9" t="s">
        <v>42</v>
      </c>
      <c r="G712" s="9">
        <v>80.62</v>
      </c>
      <c r="H712" s="9">
        <v>6</v>
      </c>
      <c r="I712" s="9">
        <v>24.186</v>
      </c>
      <c r="J712" s="9">
        <v>507.90600000000001</v>
      </c>
      <c r="K712" s="10">
        <v>43524</v>
      </c>
      <c r="L712" s="11">
        <v>0.84583333333333333</v>
      </c>
      <c r="M712" s="9" t="s">
        <v>27</v>
      </c>
      <c r="N712" s="9">
        <v>483.72</v>
      </c>
      <c r="O712" s="9">
        <v>9.1</v>
      </c>
    </row>
    <row r="713" spans="1:15">
      <c r="A713" s="9" t="s">
        <v>745</v>
      </c>
      <c r="B713" s="9" t="s">
        <v>23</v>
      </c>
      <c r="C713" s="9" t="s">
        <v>24</v>
      </c>
      <c r="D713" s="9" t="s">
        <v>18</v>
      </c>
      <c r="E713" s="9" t="s">
        <v>19</v>
      </c>
      <c r="F713" s="9" t="s">
        <v>30</v>
      </c>
      <c r="G713" s="9">
        <v>75.53</v>
      </c>
      <c r="H713" s="9">
        <v>4</v>
      </c>
      <c r="I713" s="9">
        <v>15.106</v>
      </c>
      <c r="J713" s="9">
        <v>317.226</v>
      </c>
      <c r="K713" s="10">
        <v>43543</v>
      </c>
      <c r="L713" s="11">
        <v>0.66111111111111109</v>
      </c>
      <c r="M713" s="9" t="s">
        <v>21</v>
      </c>
      <c r="N713" s="9">
        <v>302.12</v>
      </c>
      <c r="O713" s="9">
        <v>8.3000000000000007</v>
      </c>
    </row>
    <row r="714" spans="1:15">
      <c r="A714" s="9" t="s">
        <v>746</v>
      </c>
      <c r="B714" s="9" t="s">
        <v>23</v>
      </c>
      <c r="C714" s="9" t="s">
        <v>24</v>
      </c>
      <c r="D714" s="9" t="s">
        <v>25</v>
      </c>
      <c r="E714" s="9" t="s">
        <v>19</v>
      </c>
      <c r="F714" s="9" t="s">
        <v>26</v>
      </c>
      <c r="G714" s="9">
        <v>77.63</v>
      </c>
      <c r="H714" s="9">
        <v>9</v>
      </c>
      <c r="I714" s="9">
        <v>34.933500000000002</v>
      </c>
      <c r="J714" s="9">
        <v>733.60350000000005</v>
      </c>
      <c r="K714" s="10">
        <v>43515</v>
      </c>
      <c r="L714" s="11">
        <v>0.63472222222222219</v>
      </c>
      <c r="M714" s="9" t="s">
        <v>21</v>
      </c>
      <c r="N714" s="9">
        <v>698.67</v>
      </c>
      <c r="O714" s="9">
        <v>7.2</v>
      </c>
    </row>
    <row r="715" spans="1:15">
      <c r="A715" s="9" t="s">
        <v>747</v>
      </c>
      <c r="B715" s="9" t="s">
        <v>23</v>
      </c>
      <c r="C715" s="9" t="s">
        <v>24</v>
      </c>
      <c r="D715" s="9" t="s">
        <v>25</v>
      </c>
      <c r="E715" s="9" t="s">
        <v>19</v>
      </c>
      <c r="F715" s="9" t="s">
        <v>20</v>
      </c>
      <c r="G715" s="9">
        <v>13.85</v>
      </c>
      <c r="H715" s="9">
        <v>9</v>
      </c>
      <c r="I715" s="9">
        <v>6.2324999999999999</v>
      </c>
      <c r="J715" s="9">
        <v>130.88249999999999</v>
      </c>
      <c r="K715" s="10">
        <v>43500</v>
      </c>
      <c r="L715" s="11">
        <v>0.53472222222222221</v>
      </c>
      <c r="M715" s="9" t="s">
        <v>21</v>
      </c>
      <c r="N715" s="9">
        <v>124.65</v>
      </c>
      <c r="O715" s="9">
        <v>6</v>
      </c>
    </row>
    <row r="716" spans="1:15">
      <c r="A716" s="9" t="s">
        <v>748</v>
      </c>
      <c r="B716" s="9" t="s">
        <v>23</v>
      </c>
      <c r="C716" s="9" t="s">
        <v>24</v>
      </c>
      <c r="D716" s="9" t="s">
        <v>18</v>
      </c>
      <c r="E716" s="9" t="s">
        <v>29</v>
      </c>
      <c r="F716" s="9" t="s">
        <v>44</v>
      </c>
      <c r="G716" s="9">
        <v>98.7</v>
      </c>
      <c r="H716" s="9">
        <v>8</v>
      </c>
      <c r="I716" s="9">
        <v>39.479999999999997</v>
      </c>
      <c r="J716" s="9">
        <v>829.08</v>
      </c>
      <c r="K716" s="10">
        <v>43496</v>
      </c>
      <c r="L716" s="11">
        <v>0.44166666666666665</v>
      </c>
      <c r="M716" s="9" t="s">
        <v>21</v>
      </c>
      <c r="N716" s="9">
        <v>789.6</v>
      </c>
      <c r="O716" s="9">
        <v>8.5</v>
      </c>
    </row>
    <row r="717" spans="1:15">
      <c r="A717" s="9" t="s">
        <v>749</v>
      </c>
      <c r="B717" s="9" t="s">
        <v>16</v>
      </c>
      <c r="C717" s="9" t="s">
        <v>17</v>
      </c>
      <c r="D717" s="9" t="s">
        <v>25</v>
      </c>
      <c r="E717" s="9" t="s">
        <v>19</v>
      </c>
      <c r="F717" s="9" t="s">
        <v>20</v>
      </c>
      <c r="G717" s="9">
        <v>35.68</v>
      </c>
      <c r="H717" s="9">
        <v>5</v>
      </c>
      <c r="I717" s="9">
        <v>8.92</v>
      </c>
      <c r="J717" s="9">
        <v>187.32</v>
      </c>
      <c r="K717" s="10">
        <v>43502</v>
      </c>
      <c r="L717" s="11">
        <v>0.7729166666666667</v>
      </c>
      <c r="M717" s="9" t="s">
        <v>31</v>
      </c>
      <c r="N717" s="9">
        <v>178.4</v>
      </c>
      <c r="O717" s="9">
        <v>6.6</v>
      </c>
    </row>
    <row r="718" spans="1:15">
      <c r="A718" s="9" t="s">
        <v>750</v>
      </c>
      <c r="B718" s="9" t="s">
        <v>16</v>
      </c>
      <c r="C718" s="9" t="s">
        <v>17</v>
      </c>
      <c r="D718" s="9" t="s">
        <v>18</v>
      </c>
      <c r="E718" s="9" t="s">
        <v>19</v>
      </c>
      <c r="F718" s="9" t="s">
        <v>44</v>
      </c>
      <c r="G718" s="9">
        <v>71.459999999999994</v>
      </c>
      <c r="H718" s="9">
        <v>7</v>
      </c>
      <c r="I718" s="9">
        <v>25.010999999999999</v>
      </c>
      <c r="J718" s="9">
        <v>525.23099999999999</v>
      </c>
      <c r="K718" s="10">
        <v>43552</v>
      </c>
      <c r="L718" s="11">
        <v>0.67083333333333328</v>
      </c>
      <c r="M718" s="9" t="s">
        <v>21</v>
      </c>
      <c r="N718" s="9">
        <v>500.22</v>
      </c>
      <c r="O718" s="9">
        <v>4.5</v>
      </c>
    </row>
    <row r="719" spans="1:15">
      <c r="A719" s="9" t="s">
        <v>751</v>
      </c>
      <c r="B719" s="9" t="s">
        <v>16</v>
      </c>
      <c r="C719" s="9" t="s">
        <v>17</v>
      </c>
      <c r="D719" s="9" t="s">
        <v>18</v>
      </c>
      <c r="E719" s="9" t="s">
        <v>29</v>
      </c>
      <c r="F719" s="9" t="s">
        <v>26</v>
      </c>
      <c r="G719" s="9">
        <v>11.94</v>
      </c>
      <c r="H719" s="9">
        <v>3</v>
      </c>
      <c r="I719" s="9">
        <v>1.7909999999999999</v>
      </c>
      <c r="J719" s="9">
        <v>37.610999999999997</v>
      </c>
      <c r="K719" s="10">
        <v>43484</v>
      </c>
      <c r="L719" s="11">
        <v>0.53263888888888888</v>
      </c>
      <c r="M719" s="9" t="s">
        <v>31</v>
      </c>
      <c r="N719" s="9">
        <v>35.82</v>
      </c>
      <c r="O719" s="9">
        <v>8.1</v>
      </c>
    </row>
    <row r="720" spans="1:15">
      <c r="A720" s="9" t="s">
        <v>752</v>
      </c>
      <c r="B720" s="9" t="s">
        <v>16</v>
      </c>
      <c r="C720" s="9" t="s">
        <v>17</v>
      </c>
      <c r="D720" s="9" t="s">
        <v>25</v>
      </c>
      <c r="E720" s="9" t="s">
        <v>29</v>
      </c>
      <c r="F720" s="9" t="s">
        <v>44</v>
      </c>
      <c r="G720" s="9">
        <v>45.38</v>
      </c>
      <c r="H720" s="9">
        <v>3</v>
      </c>
      <c r="I720" s="9">
        <v>6.8070000000000004</v>
      </c>
      <c r="J720" s="9">
        <v>142.947</v>
      </c>
      <c r="K720" s="10">
        <v>43513</v>
      </c>
      <c r="L720" s="11">
        <v>0.56527777777777777</v>
      </c>
      <c r="M720" s="9" t="s">
        <v>31</v>
      </c>
      <c r="N720" s="9">
        <v>136.13999999999999</v>
      </c>
      <c r="O720" s="9">
        <v>7.2</v>
      </c>
    </row>
    <row r="721" spans="1:15">
      <c r="A721" s="9" t="s">
        <v>753</v>
      </c>
      <c r="B721" s="9" t="s">
        <v>40</v>
      </c>
      <c r="C721" s="9" t="s">
        <v>41</v>
      </c>
      <c r="D721" s="9" t="s">
        <v>18</v>
      </c>
      <c r="E721" s="9" t="s">
        <v>19</v>
      </c>
      <c r="F721" s="9" t="s">
        <v>44</v>
      </c>
      <c r="G721" s="9">
        <v>17.48</v>
      </c>
      <c r="H721" s="9">
        <v>6</v>
      </c>
      <c r="I721" s="9">
        <v>5.2439999999999998</v>
      </c>
      <c r="J721" s="9">
        <v>110.124</v>
      </c>
      <c r="K721" s="10">
        <v>43483</v>
      </c>
      <c r="L721" s="11">
        <v>0.62777777777777777</v>
      </c>
      <c r="M721" s="9" t="s">
        <v>31</v>
      </c>
      <c r="N721" s="9">
        <v>104.88</v>
      </c>
      <c r="O721" s="9">
        <v>6.1</v>
      </c>
    </row>
    <row r="722" spans="1:15">
      <c r="A722" s="9" t="s">
        <v>754</v>
      </c>
      <c r="B722" s="9" t="s">
        <v>40</v>
      </c>
      <c r="C722" s="9" t="s">
        <v>41</v>
      </c>
      <c r="D722" s="9" t="s">
        <v>25</v>
      </c>
      <c r="E722" s="9" t="s">
        <v>19</v>
      </c>
      <c r="F722" s="9" t="s">
        <v>44</v>
      </c>
      <c r="G722" s="9">
        <v>25.56</v>
      </c>
      <c r="H722" s="9">
        <v>7</v>
      </c>
      <c r="I722" s="9">
        <v>8.9459999999999997</v>
      </c>
      <c r="J722" s="9">
        <v>187.86600000000001</v>
      </c>
      <c r="K722" s="10">
        <v>43498</v>
      </c>
      <c r="L722" s="11">
        <v>0.86250000000000004</v>
      </c>
      <c r="M722" s="9" t="s">
        <v>27</v>
      </c>
      <c r="N722" s="9">
        <v>178.92</v>
      </c>
      <c r="O722" s="9">
        <v>7.1</v>
      </c>
    </row>
    <row r="723" spans="1:15">
      <c r="A723" s="9" t="s">
        <v>755</v>
      </c>
      <c r="B723" s="9" t="s">
        <v>23</v>
      </c>
      <c r="C723" s="9" t="s">
        <v>24</v>
      </c>
      <c r="D723" s="9" t="s">
        <v>18</v>
      </c>
      <c r="E723" s="9" t="s">
        <v>19</v>
      </c>
      <c r="F723" s="9" t="s">
        <v>34</v>
      </c>
      <c r="G723" s="9">
        <v>90.63</v>
      </c>
      <c r="H723" s="9">
        <v>9</v>
      </c>
      <c r="I723" s="9">
        <v>40.783499999999997</v>
      </c>
      <c r="J723" s="9">
        <v>856.45349999999996</v>
      </c>
      <c r="K723" s="10">
        <v>43483</v>
      </c>
      <c r="L723" s="11">
        <v>0.64444444444444449</v>
      </c>
      <c r="M723" s="9" t="s">
        <v>27</v>
      </c>
      <c r="N723" s="9">
        <v>815.67</v>
      </c>
      <c r="O723" s="9">
        <v>5.0999999999999996</v>
      </c>
    </row>
    <row r="724" spans="1:15">
      <c r="A724" s="9" t="s">
        <v>756</v>
      </c>
      <c r="B724" s="9" t="s">
        <v>40</v>
      </c>
      <c r="C724" s="9" t="s">
        <v>41</v>
      </c>
      <c r="D724" s="9" t="s">
        <v>25</v>
      </c>
      <c r="E724" s="9" t="s">
        <v>29</v>
      </c>
      <c r="F724" s="9" t="s">
        <v>30</v>
      </c>
      <c r="G724" s="9">
        <v>44.12</v>
      </c>
      <c r="H724" s="9">
        <v>3</v>
      </c>
      <c r="I724" s="9">
        <v>6.6180000000000003</v>
      </c>
      <c r="J724" s="9">
        <v>138.97800000000001</v>
      </c>
      <c r="K724" s="10">
        <v>43542</v>
      </c>
      <c r="L724" s="11">
        <v>0.57291666666666663</v>
      </c>
      <c r="M724" s="9" t="s">
        <v>31</v>
      </c>
      <c r="N724" s="9">
        <v>132.36000000000001</v>
      </c>
      <c r="O724" s="9">
        <v>7.9</v>
      </c>
    </row>
    <row r="725" spans="1:15">
      <c r="A725" s="9" t="s">
        <v>757</v>
      </c>
      <c r="B725" s="9" t="s">
        <v>23</v>
      </c>
      <c r="C725" s="9" t="s">
        <v>24</v>
      </c>
      <c r="D725" s="9" t="s">
        <v>18</v>
      </c>
      <c r="E725" s="9" t="s">
        <v>19</v>
      </c>
      <c r="F725" s="9" t="s">
        <v>42</v>
      </c>
      <c r="G725" s="9">
        <v>36.770000000000003</v>
      </c>
      <c r="H725" s="9">
        <v>7</v>
      </c>
      <c r="I725" s="9">
        <v>12.8695</v>
      </c>
      <c r="J725" s="9">
        <v>270.2595</v>
      </c>
      <c r="K725" s="10">
        <v>43476</v>
      </c>
      <c r="L725" s="11">
        <v>0.84027777777777779</v>
      </c>
      <c r="M725" s="9" t="s">
        <v>27</v>
      </c>
      <c r="N725" s="9">
        <v>257.39</v>
      </c>
      <c r="O725" s="9">
        <v>7.4</v>
      </c>
    </row>
    <row r="726" spans="1:15">
      <c r="A726" s="9" t="s">
        <v>758</v>
      </c>
      <c r="B726" s="9" t="s">
        <v>40</v>
      </c>
      <c r="C726" s="9" t="s">
        <v>41</v>
      </c>
      <c r="D726" s="9" t="s">
        <v>18</v>
      </c>
      <c r="E726" s="9" t="s">
        <v>29</v>
      </c>
      <c r="F726" s="9" t="s">
        <v>42</v>
      </c>
      <c r="G726" s="9">
        <v>23.34</v>
      </c>
      <c r="H726" s="9">
        <v>4</v>
      </c>
      <c r="I726" s="9">
        <v>4.6680000000000001</v>
      </c>
      <c r="J726" s="9">
        <v>98.028000000000006</v>
      </c>
      <c r="K726" s="10">
        <v>43500</v>
      </c>
      <c r="L726" s="11">
        <v>0.78680555555555554</v>
      </c>
      <c r="M726" s="9" t="s">
        <v>21</v>
      </c>
      <c r="N726" s="9">
        <v>93.36</v>
      </c>
      <c r="O726" s="9">
        <v>7.4</v>
      </c>
    </row>
    <row r="727" spans="1:15">
      <c r="A727" s="9" t="s">
        <v>759</v>
      </c>
      <c r="B727" s="9" t="s">
        <v>23</v>
      </c>
      <c r="C727" s="9" t="s">
        <v>24</v>
      </c>
      <c r="D727" s="9" t="s">
        <v>18</v>
      </c>
      <c r="E727" s="9" t="s">
        <v>19</v>
      </c>
      <c r="F727" s="9" t="s">
        <v>20</v>
      </c>
      <c r="G727" s="9">
        <v>28.5</v>
      </c>
      <c r="H727" s="9">
        <v>8</v>
      </c>
      <c r="I727" s="9">
        <v>11.4</v>
      </c>
      <c r="J727" s="9">
        <v>239.4</v>
      </c>
      <c r="K727" s="10">
        <v>43502</v>
      </c>
      <c r="L727" s="11">
        <v>0.6</v>
      </c>
      <c r="M727" s="9" t="s">
        <v>27</v>
      </c>
      <c r="N727" s="9">
        <v>228</v>
      </c>
      <c r="O727" s="9">
        <v>6.6</v>
      </c>
    </row>
    <row r="728" spans="1:15">
      <c r="A728" s="9" t="s">
        <v>760</v>
      </c>
      <c r="B728" s="9" t="s">
        <v>23</v>
      </c>
      <c r="C728" s="9" t="s">
        <v>24</v>
      </c>
      <c r="D728" s="9" t="s">
        <v>18</v>
      </c>
      <c r="E728" s="9" t="s">
        <v>29</v>
      </c>
      <c r="F728" s="9" t="s">
        <v>30</v>
      </c>
      <c r="G728" s="9">
        <v>55.57</v>
      </c>
      <c r="H728" s="9">
        <v>3</v>
      </c>
      <c r="I728" s="9">
        <v>8.3354999999999997</v>
      </c>
      <c r="J728" s="9">
        <v>175.0455</v>
      </c>
      <c r="K728" s="10">
        <v>43473</v>
      </c>
      <c r="L728" s="11">
        <v>0.48749999999999999</v>
      </c>
      <c r="M728" s="9" t="s">
        <v>31</v>
      </c>
      <c r="N728" s="9">
        <v>166.71</v>
      </c>
      <c r="O728" s="9">
        <v>5.9</v>
      </c>
    </row>
    <row r="729" spans="1:15">
      <c r="A729" s="9" t="s">
        <v>761</v>
      </c>
      <c r="B729" s="9" t="s">
        <v>40</v>
      </c>
      <c r="C729" s="9" t="s">
        <v>41</v>
      </c>
      <c r="D729" s="9" t="s">
        <v>25</v>
      </c>
      <c r="E729" s="9" t="s">
        <v>29</v>
      </c>
      <c r="F729" s="9" t="s">
        <v>34</v>
      </c>
      <c r="G729" s="9">
        <v>69.739999999999995</v>
      </c>
      <c r="H729" s="9">
        <v>10</v>
      </c>
      <c r="I729" s="9">
        <v>34.869999999999997</v>
      </c>
      <c r="J729" s="9">
        <v>732.27</v>
      </c>
      <c r="K729" s="10">
        <v>43529</v>
      </c>
      <c r="L729" s="11">
        <v>0.74236111111111114</v>
      </c>
      <c r="M729" s="9" t="s">
        <v>31</v>
      </c>
      <c r="N729" s="9">
        <v>697.4</v>
      </c>
      <c r="O729" s="9">
        <v>8.9</v>
      </c>
    </row>
    <row r="730" spans="1:15">
      <c r="A730" s="9" t="s">
        <v>762</v>
      </c>
      <c r="B730" s="9" t="s">
        <v>23</v>
      </c>
      <c r="C730" s="9" t="s">
        <v>24</v>
      </c>
      <c r="D730" s="9" t="s">
        <v>25</v>
      </c>
      <c r="E730" s="9" t="s">
        <v>29</v>
      </c>
      <c r="F730" s="9" t="s">
        <v>44</v>
      </c>
      <c r="G730" s="9">
        <v>97.26</v>
      </c>
      <c r="H730" s="9">
        <v>4</v>
      </c>
      <c r="I730" s="9">
        <v>19.452000000000002</v>
      </c>
      <c r="J730" s="9">
        <v>408.49200000000002</v>
      </c>
      <c r="K730" s="10">
        <v>43540</v>
      </c>
      <c r="L730" s="11">
        <v>0.6479166666666667</v>
      </c>
      <c r="M730" s="9" t="s">
        <v>21</v>
      </c>
      <c r="N730" s="9">
        <v>389.04</v>
      </c>
      <c r="O730" s="9">
        <v>6.8</v>
      </c>
    </row>
    <row r="731" spans="1:15">
      <c r="A731" s="9" t="s">
        <v>763</v>
      </c>
      <c r="B731" s="9" t="s">
        <v>40</v>
      </c>
      <c r="C731" s="9" t="s">
        <v>41</v>
      </c>
      <c r="D731" s="9" t="s">
        <v>18</v>
      </c>
      <c r="E731" s="9" t="s">
        <v>19</v>
      </c>
      <c r="F731" s="9" t="s">
        <v>30</v>
      </c>
      <c r="G731" s="9">
        <v>52.18</v>
      </c>
      <c r="H731" s="9">
        <v>7</v>
      </c>
      <c r="I731" s="9">
        <v>18.263000000000002</v>
      </c>
      <c r="J731" s="9">
        <v>383.52300000000002</v>
      </c>
      <c r="K731" s="10">
        <v>43533</v>
      </c>
      <c r="L731" s="11">
        <v>0.45416666666666666</v>
      </c>
      <c r="M731" s="9" t="s">
        <v>27</v>
      </c>
      <c r="N731" s="9">
        <v>365.26</v>
      </c>
      <c r="O731" s="9">
        <v>9.3000000000000007</v>
      </c>
    </row>
    <row r="732" spans="1:15">
      <c r="A732" s="9" t="s">
        <v>764</v>
      </c>
      <c r="B732" s="9" t="s">
        <v>16</v>
      </c>
      <c r="C732" s="9" t="s">
        <v>17</v>
      </c>
      <c r="D732" s="9" t="s">
        <v>18</v>
      </c>
      <c r="E732" s="9" t="s">
        <v>19</v>
      </c>
      <c r="F732" s="9" t="s">
        <v>44</v>
      </c>
      <c r="G732" s="9">
        <v>22.32</v>
      </c>
      <c r="H732" s="9">
        <v>4</v>
      </c>
      <c r="I732" s="9">
        <v>4.4640000000000004</v>
      </c>
      <c r="J732" s="9">
        <v>93.744</v>
      </c>
      <c r="K732" s="10">
        <v>43525</v>
      </c>
      <c r="L732" s="11">
        <v>0.68263888888888891</v>
      </c>
      <c r="M732" s="9" t="s">
        <v>31</v>
      </c>
      <c r="N732" s="9">
        <v>89.28</v>
      </c>
      <c r="O732" s="9">
        <v>4.4000000000000004</v>
      </c>
    </row>
    <row r="733" spans="1:15">
      <c r="A733" s="9" t="s">
        <v>765</v>
      </c>
      <c r="B733" s="9" t="s">
        <v>16</v>
      </c>
      <c r="C733" s="9" t="s">
        <v>17</v>
      </c>
      <c r="D733" s="9" t="s">
        <v>25</v>
      </c>
      <c r="E733" s="9" t="s">
        <v>29</v>
      </c>
      <c r="F733" s="9" t="s">
        <v>20</v>
      </c>
      <c r="G733" s="9">
        <v>56</v>
      </c>
      <c r="H733" s="9">
        <v>3</v>
      </c>
      <c r="I733" s="9">
        <v>8.4</v>
      </c>
      <c r="J733" s="9">
        <v>176.4</v>
      </c>
      <c r="K733" s="10">
        <v>43524</v>
      </c>
      <c r="L733" s="11">
        <v>0.81458333333333333</v>
      </c>
      <c r="M733" s="9" t="s">
        <v>21</v>
      </c>
      <c r="N733" s="9">
        <v>168</v>
      </c>
      <c r="O733" s="9">
        <v>4.8</v>
      </c>
    </row>
    <row r="734" spans="1:15">
      <c r="A734" s="9" t="s">
        <v>766</v>
      </c>
      <c r="B734" s="9" t="s">
        <v>16</v>
      </c>
      <c r="C734" s="9" t="s">
        <v>17</v>
      </c>
      <c r="D734" s="9" t="s">
        <v>18</v>
      </c>
      <c r="E734" s="9" t="s">
        <v>29</v>
      </c>
      <c r="F734" s="9" t="s">
        <v>44</v>
      </c>
      <c r="G734" s="9">
        <v>19.7</v>
      </c>
      <c r="H734" s="9">
        <v>1</v>
      </c>
      <c r="I734" s="9">
        <v>0.98499999999999999</v>
      </c>
      <c r="J734" s="9">
        <v>20.684999999999999</v>
      </c>
      <c r="K734" s="10">
        <v>43504</v>
      </c>
      <c r="L734" s="11">
        <v>0.48541666666666666</v>
      </c>
      <c r="M734" s="9" t="s">
        <v>21</v>
      </c>
      <c r="N734" s="9">
        <v>19.7</v>
      </c>
      <c r="O734" s="9">
        <v>9.5</v>
      </c>
    </row>
    <row r="735" spans="1:15">
      <c r="A735" s="9" t="s">
        <v>767</v>
      </c>
      <c r="B735" s="9" t="s">
        <v>40</v>
      </c>
      <c r="C735" s="9" t="s">
        <v>41</v>
      </c>
      <c r="D735" s="9" t="s">
        <v>25</v>
      </c>
      <c r="E735" s="9" t="s">
        <v>29</v>
      </c>
      <c r="F735" s="9" t="s">
        <v>26</v>
      </c>
      <c r="G735" s="9">
        <v>75.88</v>
      </c>
      <c r="H735" s="9">
        <v>7</v>
      </c>
      <c r="I735" s="9">
        <v>26.558</v>
      </c>
      <c r="J735" s="9">
        <v>557.71799999999996</v>
      </c>
      <c r="K735" s="10">
        <v>43489</v>
      </c>
      <c r="L735" s="11">
        <v>0.44305555555555554</v>
      </c>
      <c r="M735" s="9" t="s">
        <v>21</v>
      </c>
      <c r="N735" s="9">
        <v>531.16</v>
      </c>
      <c r="O735" s="9">
        <v>8.9</v>
      </c>
    </row>
    <row r="736" spans="1:15">
      <c r="A736" s="9" t="s">
        <v>768</v>
      </c>
      <c r="B736" s="9" t="s">
        <v>40</v>
      </c>
      <c r="C736" s="9" t="s">
        <v>41</v>
      </c>
      <c r="D736" s="9" t="s">
        <v>18</v>
      </c>
      <c r="E736" s="9" t="s">
        <v>29</v>
      </c>
      <c r="F736" s="9" t="s">
        <v>42</v>
      </c>
      <c r="G736" s="9">
        <v>53.72</v>
      </c>
      <c r="H736" s="9">
        <v>1</v>
      </c>
      <c r="I736" s="9">
        <v>2.6859999999999999</v>
      </c>
      <c r="J736" s="9">
        <v>56.405999999999999</v>
      </c>
      <c r="K736" s="10">
        <v>43525</v>
      </c>
      <c r="L736" s="11">
        <v>0.8354166666666667</v>
      </c>
      <c r="M736" s="9" t="s">
        <v>21</v>
      </c>
      <c r="N736" s="9">
        <v>53.72</v>
      </c>
      <c r="O736" s="9">
        <v>6.4</v>
      </c>
    </row>
    <row r="737" spans="1:15">
      <c r="A737" s="9" t="s">
        <v>769</v>
      </c>
      <c r="B737" s="9" t="s">
        <v>23</v>
      </c>
      <c r="C737" s="9" t="s">
        <v>24</v>
      </c>
      <c r="D737" s="9" t="s">
        <v>18</v>
      </c>
      <c r="E737" s="9" t="s">
        <v>29</v>
      </c>
      <c r="F737" s="9" t="s">
        <v>20</v>
      </c>
      <c r="G737" s="9">
        <v>81.95</v>
      </c>
      <c r="H737" s="9">
        <v>10</v>
      </c>
      <c r="I737" s="9">
        <v>40.975000000000001</v>
      </c>
      <c r="J737" s="9">
        <v>860.47500000000002</v>
      </c>
      <c r="K737" s="10">
        <v>43534</v>
      </c>
      <c r="L737" s="11">
        <v>0.52708333333333335</v>
      </c>
      <c r="M737" s="9" t="s">
        <v>31</v>
      </c>
      <c r="N737" s="9">
        <v>819.5</v>
      </c>
      <c r="O737" s="9">
        <v>6</v>
      </c>
    </row>
    <row r="738" spans="1:15">
      <c r="A738" s="9" t="s">
        <v>770</v>
      </c>
      <c r="B738" s="9" t="s">
        <v>23</v>
      </c>
      <c r="C738" s="9" t="s">
        <v>24</v>
      </c>
      <c r="D738" s="9" t="s">
        <v>18</v>
      </c>
      <c r="E738" s="9" t="s">
        <v>19</v>
      </c>
      <c r="F738" s="9" t="s">
        <v>30</v>
      </c>
      <c r="G738" s="9">
        <v>81.2</v>
      </c>
      <c r="H738" s="9">
        <v>7</v>
      </c>
      <c r="I738" s="9">
        <v>28.42</v>
      </c>
      <c r="J738" s="9">
        <v>596.82000000000005</v>
      </c>
      <c r="K738" s="10">
        <v>43547</v>
      </c>
      <c r="L738" s="11">
        <v>0.66597222222222219</v>
      </c>
      <c r="M738" s="9" t="s">
        <v>31</v>
      </c>
      <c r="N738" s="9">
        <v>568.4</v>
      </c>
      <c r="O738" s="9">
        <v>8.1</v>
      </c>
    </row>
    <row r="739" spans="1:15">
      <c r="A739" s="9" t="s">
        <v>771</v>
      </c>
      <c r="B739" s="9" t="s">
        <v>23</v>
      </c>
      <c r="C739" s="9" t="s">
        <v>24</v>
      </c>
      <c r="D739" s="9" t="s">
        <v>25</v>
      </c>
      <c r="E739" s="9" t="s">
        <v>29</v>
      </c>
      <c r="F739" s="9" t="s">
        <v>26</v>
      </c>
      <c r="G739" s="9">
        <v>58.76</v>
      </c>
      <c r="H739" s="9">
        <v>10</v>
      </c>
      <c r="I739" s="9">
        <v>29.38</v>
      </c>
      <c r="J739" s="9">
        <v>616.98</v>
      </c>
      <c r="K739" s="10">
        <v>43494</v>
      </c>
      <c r="L739" s="11">
        <v>0.60138888888888886</v>
      </c>
      <c r="M739" s="9" t="s">
        <v>21</v>
      </c>
      <c r="N739" s="9">
        <v>587.6</v>
      </c>
      <c r="O739" s="9">
        <v>9</v>
      </c>
    </row>
    <row r="740" spans="1:15">
      <c r="A740" s="9" t="s">
        <v>772</v>
      </c>
      <c r="B740" s="9" t="s">
        <v>40</v>
      </c>
      <c r="C740" s="9" t="s">
        <v>41</v>
      </c>
      <c r="D740" s="9" t="s">
        <v>18</v>
      </c>
      <c r="E740" s="9" t="s">
        <v>29</v>
      </c>
      <c r="F740" s="9" t="s">
        <v>26</v>
      </c>
      <c r="G740" s="9">
        <v>91.56</v>
      </c>
      <c r="H740" s="9">
        <v>8</v>
      </c>
      <c r="I740" s="9">
        <v>36.624000000000002</v>
      </c>
      <c r="J740" s="9">
        <v>769.10400000000004</v>
      </c>
      <c r="K740" s="10">
        <v>43477</v>
      </c>
      <c r="L740" s="11">
        <v>0.76527777777777772</v>
      </c>
      <c r="M740" s="9" t="s">
        <v>21</v>
      </c>
      <c r="N740" s="9">
        <v>732.48</v>
      </c>
      <c r="O740" s="9">
        <v>6</v>
      </c>
    </row>
    <row r="741" spans="1:15">
      <c r="A741" s="9" t="s">
        <v>773</v>
      </c>
      <c r="B741" s="9" t="s">
        <v>16</v>
      </c>
      <c r="C741" s="9" t="s">
        <v>17</v>
      </c>
      <c r="D741" s="9" t="s">
        <v>25</v>
      </c>
      <c r="E741" s="9" t="s">
        <v>29</v>
      </c>
      <c r="F741" s="9" t="s">
        <v>30</v>
      </c>
      <c r="G741" s="9">
        <v>93.96</v>
      </c>
      <c r="H741" s="9">
        <v>9</v>
      </c>
      <c r="I741" s="9">
        <v>42.281999999999996</v>
      </c>
      <c r="J741" s="9">
        <v>887.92200000000003</v>
      </c>
      <c r="K741" s="10">
        <v>43544</v>
      </c>
      <c r="L741" s="11">
        <v>0.48055555555555557</v>
      </c>
      <c r="M741" s="9" t="s">
        <v>27</v>
      </c>
      <c r="N741" s="9">
        <v>845.64</v>
      </c>
      <c r="O741" s="9">
        <v>9.8000000000000007</v>
      </c>
    </row>
    <row r="742" spans="1:15">
      <c r="A742" s="9" t="s">
        <v>774</v>
      </c>
      <c r="B742" s="9" t="s">
        <v>23</v>
      </c>
      <c r="C742" s="9" t="s">
        <v>24</v>
      </c>
      <c r="D742" s="9" t="s">
        <v>25</v>
      </c>
      <c r="E742" s="9" t="s">
        <v>29</v>
      </c>
      <c r="F742" s="9" t="s">
        <v>30</v>
      </c>
      <c r="G742" s="9">
        <v>55.61</v>
      </c>
      <c r="H742" s="9">
        <v>7</v>
      </c>
      <c r="I742" s="9">
        <v>19.4635</v>
      </c>
      <c r="J742" s="9">
        <v>408.73349999999999</v>
      </c>
      <c r="K742" s="10">
        <v>43547</v>
      </c>
      <c r="L742" s="11">
        <v>0.52847222222222223</v>
      </c>
      <c r="M742" s="9" t="s">
        <v>27</v>
      </c>
      <c r="N742" s="9">
        <v>389.27</v>
      </c>
      <c r="O742" s="9">
        <v>8.5</v>
      </c>
    </row>
    <row r="743" spans="1:15">
      <c r="A743" s="9" t="s">
        <v>775</v>
      </c>
      <c r="B743" s="9" t="s">
        <v>23</v>
      </c>
      <c r="C743" s="9" t="s">
        <v>24</v>
      </c>
      <c r="D743" s="9" t="s">
        <v>25</v>
      </c>
      <c r="E743" s="9" t="s">
        <v>29</v>
      </c>
      <c r="F743" s="9" t="s">
        <v>42</v>
      </c>
      <c r="G743" s="9">
        <v>84.83</v>
      </c>
      <c r="H743" s="9">
        <v>1</v>
      </c>
      <c r="I743" s="9">
        <v>4.2415000000000003</v>
      </c>
      <c r="J743" s="9">
        <v>89.0715</v>
      </c>
      <c r="K743" s="10">
        <v>43479</v>
      </c>
      <c r="L743" s="11">
        <v>0.63888888888888884</v>
      </c>
      <c r="M743" s="9" t="s">
        <v>21</v>
      </c>
      <c r="N743" s="9">
        <v>84.83</v>
      </c>
      <c r="O743" s="9">
        <v>8.8000000000000007</v>
      </c>
    </row>
    <row r="744" spans="1:15">
      <c r="A744" s="9" t="s">
        <v>776</v>
      </c>
      <c r="B744" s="9" t="s">
        <v>16</v>
      </c>
      <c r="C744" s="9" t="s">
        <v>17</v>
      </c>
      <c r="D744" s="9" t="s">
        <v>18</v>
      </c>
      <c r="E744" s="9" t="s">
        <v>19</v>
      </c>
      <c r="F744" s="9" t="s">
        <v>34</v>
      </c>
      <c r="G744" s="9">
        <v>71.63</v>
      </c>
      <c r="H744" s="9">
        <v>2</v>
      </c>
      <c r="I744" s="9">
        <v>7.1630000000000003</v>
      </c>
      <c r="J744" s="9">
        <v>150.423</v>
      </c>
      <c r="K744" s="10">
        <v>43508</v>
      </c>
      <c r="L744" s="11">
        <v>0.60624999999999996</v>
      </c>
      <c r="M744" s="9" t="s">
        <v>21</v>
      </c>
      <c r="N744" s="9">
        <v>143.26</v>
      </c>
      <c r="O744" s="9">
        <v>8.8000000000000007</v>
      </c>
    </row>
    <row r="745" spans="1:15">
      <c r="A745" s="9" t="s">
        <v>777</v>
      </c>
      <c r="B745" s="9" t="s">
        <v>16</v>
      </c>
      <c r="C745" s="9" t="s">
        <v>17</v>
      </c>
      <c r="D745" s="9" t="s">
        <v>18</v>
      </c>
      <c r="E745" s="9" t="s">
        <v>29</v>
      </c>
      <c r="F745" s="9" t="s">
        <v>30</v>
      </c>
      <c r="G745" s="9">
        <v>37.69</v>
      </c>
      <c r="H745" s="9">
        <v>2</v>
      </c>
      <c r="I745" s="9">
        <v>3.7690000000000001</v>
      </c>
      <c r="J745" s="9">
        <v>79.149000000000001</v>
      </c>
      <c r="K745" s="10">
        <v>43516</v>
      </c>
      <c r="L745" s="11">
        <v>0.64513888888888893</v>
      </c>
      <c r="M745" s="9" t="s">
        <v>21</v>
      </c>
      <c r="N745" s="9">
        <v>75.38</v>
      </c>
      <c r="O745" s="9">
        <v>9.5</v>
      </c>
    </row>
    <row r="746" spans="1:15">
      <c r="A746" s="9" t="s">
        <v>778</v>
      </c>
      <c r="B746" s="9" t="s">
        <v>23</v>
      </c>
      <c r="C746" s="9" t="s">
        <v>24</v>
      </c>
      <c r="D746" s="9" t="s">
        <v>18</v>
      </c>
      <c r="E746" s="9" t="s">
        <v>19</v>
      </c>
      <c r="F746" s="9" t="s">
        <v>34</v>
      </c>
      <c r="G746" s="9">
        <v>31.67</v>
      </c>
      <c r="H746" s="9">
        <v>8</v>
      </c>
      <c r="I746" s="9">
        <v>12.667999999999999</v>
      </c>
      <c r="J746" s="9">
        <v>266.02800000000002</v>
      </c>
      <c r="K746" s="10">
        <v>43467</v>
      </c>
      <c r="L746" s="11">
        <v>0.67986111111111114</v>
      </c>
      <c r="M746" s="9" t="s">
        <v>31</v>
      </c>
      <c r="N746" s="9">
        <v>253.36</v>
      </c>
      <c r="O746" s="9">
        <v>5.6</v>
      </c>
    </row>
    <row r="747" spans="1:15">
      <c r="A747" s="9" t="s">
        <v>779</v>
      </c>
      <c r="B747" s="9" t="s">
        <v>23</v>
      </c>
      <c r="C747" s="9" t="s">
        <v>24</v>
      </c>
      <c r="D747" s="9" t="s">
        <v>18</v>
      </c>
      <c r="E747" s="9" t="s">
        <v>19</v>
      </c>
      <c r="F747" s="9" t="s">
        <v>42</v>
      </c>
      <c r="G747" s="9">
        <v>38.42</v>
      </c>
      <c r="H747" s="9">
        <v>1</v>
      </c>
      <c r="I747" s="9">
        <v>1.921</v>
      </c>
      <c r="J747" s="9">
        <v>40.341000000000001</v>
      </c>
      <c r="K747" s="10">
        <v>43498</v>
      </c>
      <c r="L747" s="11">
        <v>0.68958333333333333</v>
      </c>
      <c r="M747" s="9" t="s">
        <v>27</v>
      </c>
      <c r="N747" s="9">
        <v>38.42</v>
      </c>
      <c r="O747" s="9">
        <v>8.6</v>
      </c>
    </row>
    <row r="748" spans="1:15">
      <c r="A748" s="9" t="s">
        <v>780</v>
      </c>
      <c r="B748" s="9" t="s">
        <v>40</v>
      </c>
      <c r="C748" s="9" t="s">
        <v>41</v>
      </c>
      <c r="D748" s="9" t="s">
        <v>18</v>
      </c>
      <c r="E748" s="9" t="s">
        <v>29</v>
      </c>
      <c r="F748" s="9" t="s">
        <v>44</v>
      </c>
      <c r="G748" s="9">
        <v>65.23</v>
      </c>
      <c r="H748" s="9">
        <v>10</v>
      </c>
      <c r="I748" s="9">
        <v>32.615000000000002</v>
      </c>
      <c r="J748" s="9">
        <v>684.91499999999996</v>
      </c>
      <c r="K748" s="10">
        <v>43473</v>
      </c>
      <c r="L748" s="11">
        <v>0.79652777777777772</v>
      </c>
      <c r="M748" s="9" t="s">
        <v>31</v>
      </c>
      <c r="N748" s="9">
        <v>652.29999999999995</v>
      </c>
      <c r="O748" s="9">
        <v>5.2</v>
      </c>
    </row>
    <row r="749" spans="1:15">
      <c r="A749" s="9" t="s">
        <v>781</v>
      </c>
      <c r="B749" s="9" t="s">
        <v>23</v>
      </c>
      <c r="C749" s="9" t="s">
        <v>24</v>
      </c>
      <c r="D749" s="9" t="s">
        <v>18</v>
      </c>
      <c r="E749" s="9" t="s">
        <v>19</v>
      </c>
      <c r="F749" s="9" t="s">
        <v>30</v>
      </c>
      <c r="G749" s="9">
        <v>10.53</v>
      </c>
      <c r="H749" s="9">
        <v>5</v>
      </c>
      <c r="I749" s="9">
        <v>2.6324999999999998</v>
      </c>
      <c r="J749" s="9">
        <v>55.282499999999999</v>
      </c>
      <c r="K749" s="10">
        <v>43495</v>
      </c>
      <c r="L749" s="11">
        <v>0.61319444444444449</v>
      </c>
      <c r="M749" s="9" t="s">
        <v>31</v>
      </c>
      <c r="N749" s="9">
        <v>52.65</v>
      </c>
      <c r="O749" s="9">
        <v>5.8</v>
      </c>
    </row>
    <row r="750" spans="1:15">
      <c r="A750" s="9" t="s">
        <v>782</v>
      </c>
      <c r="B750" s="9" t="s">
        <v>40</v>
      </c>
      <c r="C750" s="9" t="s">
        <v>41</v>
      </c>
      <c r="D750" s="9" t="s">
        <v>18</v>
      </c>
      <c r="E750" s="9" t="s">
        <v>19</v>
      </c>
      <c r="F750" s="9" t="s">
        <v>30</v>
      </c>
      <c r="G750" s="9">
        <v>12.29</v>
      </c>
      <c r="H750" s="9">
        <v>9</v>
      </c>
      <c r="I750" s="9">
        <v>5.5305</v>
      </c>
      <c r="J750" s="9">
        <v>116.1405</v>
      </c>
      <c r="K750" s="10">
        <v>43550</v>
      </c>
      <c r="L750" s="11">
        <v>0.81111111111111112</v>
      </c>
      <c r="M750" s="9" t="s">
        <v>31</v>
      </c>
      <c r="N750" s="9">
        <v>110.61</v>
      </c>
      <c r="O750" s="9">
        <v>8</v>
      </c>
    </row>
    <row r="751" spans="1:15">
      <c r="A751" s="9" t="s">
        <v>783</v>
      </c>
      <c r="B751" s="9" t="s">
        <v>23</v>
      </c>
      <c r="C751" s="9" t="s">
        <v>24</v>
      </c>
      <c r="D751" s="9" t="s">
        <v>18</v>
      </c>
      <c r="E751" s="9" t="s">
        <v>29</v>
      </c>
      <c r="F751" s="9" t="s">
        <v>20</v>
      </c>
      <c r="G751" s="9">
        <v>81.23</v>
      </c>
      <c r="H751" s="9">
        <v>7</v>
      </c>
      <c r="I751" s="9">
        <v>28.430499999999999</v>
      </c>
      <c r="J751" s="9">
        <v>597.04049999999995</v>
      </c>
      <c r="K751" s="10">
        <v>43480</v>
      </c>
      <c r="L751" s="11">
        <v>0.86388888888888893</v>
      </c>
      <c r="M751" s="9" t="s">
        <v>27</v>
      </c>
      <c r="N751" s="9">
        <v>568.61</v>
      </c>
      <c r="O751" s="9">
        <v>9</v>
      </c>
    </row>
    <row r="752" spans="1:15">
      <c r="A752" s="9" t="s">
        <v>784</v>
      </c>
      <c r="B752" s="9" t="s">
        <v>40</v>
      </c>
      <c r="C752" s="9" t="s">
        <v>41</v>
      </c>
      <c r="D752" s="9" t="s">
        <v>18</v>
      </c>
      <c r="E752" s="9" t="s">
        <v>19</v>
      </c>
      <c r="F752" s="9" t="s">
        <v>44</v>
      </c>
      <c r="G752" s="9">
        <v>22.32</v>
      </c>
      <c r="H752" s="9">
        <v>4</v>
      </c>
      <c r="I752" s="9">
        <v>4.4640000000000004</v>
      </c>
      <c r="J752" s="9">
        <v>93.744</v>
      </c>
      <c r="K752" s="10">
        <v>43538</v>
      </c>
      <c r="L752" s="11">
        <v>0.46944444444444444</v>
      </c>
      <c r="M752" s="9" t="s">
        <v>21</v>
      </c>
      <c r="N752" s="9">
        <v>89.28</v>
      </c>
      <c r="O752" s="9">
        <v>4.0999999999999996</v>
      </c>
    </row>
    <row r="753" spans="1:15">
      <c r="A753" s="9" t="s">
        <v>785</v>
      </c>
      <c r="B753" s="9" t="s">
        <v>16</v>
      </c>
      <c r="C753" s="9" t="s">
        <v>17</v>
      </c>
      <c r="D753" s="9" t="s">
        <v>25</v>
      </c>
      <c r="E753" s="9" t="s">
        <v>19</v>
      </c>
      <c r="F753" s="9" t="s">
        <v>42</v>
      </c>
      <c r="G753" s="9">
        <v>27.28</v>
      </c>
      <c r="H753" s="9">
        <v>5</v>
      </c>
      <c r="I753" s="9">
        <v>6.82</v>
      </c>
      <c r="J753" s="9">
        <v>143.22</v>
      </c>
      <c r="K753" s="10">
        <v>43499</v>
      </c>
      <c r="L753" s="11">
        <v>0.43819444444444444</v>
      </c>
      <c r="M753" s="9" t="s">
        <v>31</v>
      </c>
      <c r="N753" s="9">
        <v>136.4</v>
      </c>
      <c r="O753" s="9">
        <v>8.6</v>
      </c>
    </row>
    <row r="754" spans="1:15">
      <c r="A754" s="9" t="s">
        <v>786</v>
      </c>
      <c r="B754" s="9" t="s">
        <v>16</v>
      </c>
      <c r="C754" s="9" t="s">
        <v>17</v>
      </c>
      <c r="D754" s="9" t="s">
        <v>18</v>
      </c>
      <c r="E754" s="9" t="s">
        <v>19</v>
      </c>
      <c r="F754" s="9" t="s">
        <v>26</v>
      </c>
      <c r="G754" s="9">
        <v>17.420000000000002</v>
      </c>
      <c r="H754" s="9">
        <v>10</v>
      </c>
      <c r="I754" s="9">
        <v>8.7100000000000009</v>
      </c>
      <c r="J754" s="9">
        <v>182.91</v>
      </c>
      <c r="K754" s="10">
        <v>43518</v>
      </c>
      <c r="L754" s="11">
        <v>0.52083333333333337</v>
      </c>
      <c r="M754" s="9" t="s">
        <v>21</v>
      </c>
      <c r="N754" s="9">
        <v>174.2</v>
      </c>
      <c r="O754" s="9">
        <v>7</v>
      </c>
    </row>
    <row r="755" spans="1:15">
      <c r="A755" s="9" t="s">
        <v>787</v>
      </c>
      <c r="B755" s="9" t="s">
        <v>40</v>
      </c>
      <c r="C755" s="9" t="s">
        <v>41</v>
      </c>
      <c r="D755" s="9" t="s">
        <v>25</v>
      </c>
      <c r="E755" s="9" t="s">
        <v>29</v>
      </c>
      <c r="F755" s="9" t="s">
        <v>30</v>
      </c>
      <c r="G755" s="9">
        <v>73.28</v>
      </c>
      <c r="H755" s="9">
        <v>5</v>
      </c>
      <c r="I755" s="9">
        <v>18.32</v>
      </c>
      <c r="J755" s="9">
        <v>384.72</v>
      </c>
      <c r="K755" s="10">
        <v>43489</v>
      </c>
      <c r="L755" s="11">
        <v>0.62847222222222221</v>
      </c>
      <c r="M755" s="9" t="s">
        <v>21</v>
      </c>
      <c r="N755" s="9">
        <v>366.4</v>
      </c>
      <c r="O755" s="9">
        <v>8.4</v>
      </c>
    </row>
    <row r="756" spans="1:15">
      <c r="A756" s="9" t="s">
        <v>788</v>
      </c>
      <c r="B756" s="9" t="s">
        <v>23</v>
      </c>
      <c r="C756" s="9" t="s">
        <v>24</v>
      </c>
      <c r="D756" s="9" t="s">
        <v>18</v>
      </c>
      <c r="E756" s="9" t="s">
        <v>19</v>
      </c>
      <c r="F756" s="9" t="s">
        <v>44</v>
      </c>
      <c r="G756" s="9">
        <v>84.87</v>
      </c>
      <c r="H756" s="9">
        <v>3</v>
      </c>
      <c r="I756" s="9">
        <v>12.730499999999999</v>
      </c>
      <c r="J756" s="9">
        <v>267.34050000000002</v>
      </c>
      <c r="K756" s="10">
        <v>43490</v>
      </c>
      <c r="L756" s="11">
        <v>0.77083333333333337</v>
      </c>
      <c r="M756" s="9" t="s">
        <v>21</v>
      </c>
      <c r="N756" s="9">
        <v>254.61</v>
      </c>
      <c r="O756" s="9">
        <v>7.4</v>
      </c>
    </row>
    <row r="757" spans="1:15">
      <c r="A757" s="9" t="s">
        <v>789</v>
      </c>
      <c r="B757" s="9" t="s">
        <v>16</v>
      </c>
      <c r="C757" s="9" t="s">
        <v>17</v>
      </c>
      <c r="D757" s="9" t="s">
        <v>25</v>
      </c>
      <c r="E757" s="9" t="s">
        <v>19</v>
      </c>
      <c r="F757" s="9" t="s">
        <v>44</v>
      </c>
      <c r="G757" s="9">
        <v>97.29</v>
      </c>
      <c r="H757" s="9">
        <v>8</v>
      </c>
      <c r="I757" s="9">
        <v>38.915999999999997</v>
      </c>
      <c r="J757" s="9">
        <v>817.23599999999999</v>
      </c>
      <c r="K757" s="10">
        <v>43533</v>
      </c>
      <c r="L757" s="11">
        <v>0.5541666666666667</v>
      </c>
      <c r="M757" s="9" t="s">
        <v>31</v>
      </c>
      <c r="N757" s="9">
        <v>778.32</v>
      </c>
      <c r="O757" s="9">
        <v>6.2</v>
      </c>
    </row>
    <row r="758" spans="1:15">
      <c r="A758" s="9" t="s">
        <v>790</v>
      </c>
      <c r="B758" s="9" t="s">
        <v>40</v>
      </c>
      <c r="C758" s="9" t="s">
        <v>41</v>
      </c>
      <c r="D758" s="9" t="s">
        <v>18</v>
      </c>
      <c r="E758" s="9" t="s">
        <v>19</v>
      </c>
      <c r="F758" s="9" t="s">
        <v>26</v>
      </c>
      <c r="G758" s="9">
        <v>35.74</v>
      </c>
      <c r="H758" s="9">
        <v>8</v>
      </c>
      <c r="I758" s="9">
        <v>14.295999999999999</v>
      </c>
      <c r="J758" s="9">
        <v>300.21600000000001</v>
      </c>
      <c r="K758" s="10">
        <v>43513</v>
      </c>
      <c r="L758" s="11">
        <v>0.64444444444444449</v>
      </c>
      <c r="M758" s="9" t="s">
        <v>21</v>
      </c>
      <c r="N758" s="9">
        <v>285.92</v>
      </c>
      <c r="O758" s="9">
        <v>4.9000000000000004</v>
      </c>
    </row>
    <row r="759" spans="1:15">
      <c r="A759" s="9" t="s">
        <v>791</v>
      </c>
      <c r="B759" s="9" t="s">
        <v>16</v>
      </c>
      <c r="C759" s="9" t="s">
        <v>17</v>
      </c>
      <c r="D759" s="9" t="s">
        <v>25</v>
      </c>
      <c r="E759" s="9" t="s">
        <v>19</v>
      </c>
      <c r="F759" s="9" t="s">
        <v>30</v>
      </c>
      <c r="G759" s="9">
        <v>96.52</v>
      </c>
      <c r="H759" s="9">
        <v>6</v>
      </c>
      <c r="I759" s="9">
        <v>28.956</v>
      </c>
      <c r="J759" s="9">
        <v>608.07600000000002</v>
      </c>
      <c r="K759" s="10">
        <v>43476</v>
      </c>
      <c r="L759" s="11">
        <v>0.49444444444444446</v>
      </c>
      <c r="M759" s="9" t="s">
        <v>27</v>
      </c>
      <c r="N759" s="9">
        <v>579.12</v>
      </c>
      <c r="O759" s="9">
        <v>4.5</v>
      </c>
    </row>
    <row r="760" spans="1:15">
      <c r="A760" s="9" t="s">
        <v>792</v>
      </c>
      <c r="B760" s="9" t="s">
        <v>16</v>
      </c>
      <c r="C760" s="9" t="s">
        <v>17</v>
      </c>
      <c r="D760" s="9" t="s">
        <v>18</v>
      </c>
      <c r="E760" s="9" t="s">
        <v>29</v>
      </c>
      <c r="F760" s="9" t="s">
        <v>42</v>
      </c>
      <c r="G760" s="9">
        <v>18.850000000000001</v>
      </c>
      <c r="H760" s="9">
        <v>10</v>
      </c>
      <c r="I760" s="9">
        <v>9.4250000000000007</v>
      </c>
      <c r="J760" s="9">
        <v>197.92500000000001</v>
      </c>
      <c r="K760" s="10">
        <v>43523</v>
      </c>
      <c r="L760" s="11">
        <v>0.76666666666666672</v>
      </c>
      <c r="M760" s="9" t="s">
        <v>21</v>
      </c>
      <c r="N760" s="9">
        <v>188.5</v>
      </c>
      <c r="O760" s="9">
        <v>5.6</v>
      </c>
    </row>
    <row r="761" spans="1:15">
      <c r="A761" s="9" t="s">
        <v>793</v>
      </c>
      <c r="B761" s="9" t="s">
        <v>16</v>
      </c>
      <c r="C761" s="9" t="s">
        <v>17</v>
      </c>
      <c r="D761" s="9" t="s">
        <v>25</v>
      </c>
      <c r="E761" s="9" t="s">
        <v>19</v>
      </c>
      <c r="F761" s="9" t="s">
        <v>42</v>
      </c>
      <c r="G761" s="9">
        <v>55.39</v>
      </c>
      <c r="H761" s="9">
        <v>4</v>
      </c>
      <c r="I761" s="9">
        <v>11.077999999999999</v>
      </c>
      <c r="J761" s="9">
        <v>232.63800000000001</v>
      </c>
      <c r="K761" s="10">
        <v>43549</v>
      </c>
      <c r="L761" s="11">
        <v>0.6381944444444444</v>
      </c>
      <c r="M761" s="9" t="s">
        <v>21</v>
      </c>
      <c r="N761" s="9">
        <v>221.56</v>
      </c>
      <c r="O761" s="9">
        <v>8</v>
      </c>
    </row>
    <row r="762" spans="1:15">
      <c r="A762" s="9" t="s">
        <v>794</v>
      </c>
      <c r="B762" s="9" t="s">
        <v>40</v>
      </c>
      <c r="C762" s="9" t="s">
        <v>41</v>
      </c>
      <c r="D762" s="9" t="s">
        <v>18</v>
      </c>
      <c r="E762" s="9" t="s">
        <v>19</v>
      </c>
      <c r="F762" s="9" t="s">
        <v>42</v>
      </c>
      <c r="G762" s="9">
        <v>77.2</v>
      </c>
      <c r="H762" s="9">
        <v>10</v>
      </c>
      <c r="I762" s="9">
        <v>38.6</v>
      </c>
      <c r="J762" s="9">
        <v>810.6</v>
      </c>
      <c r="K762" s="10">
        <v>43507</v>
      </c>
      <c r="L762" s="11">
        <v>0.44305555555555554</v>
      </c>
      <c r="M762" s="9" t="s">
        <v>31</v>
      </c>
      <c r="N762" s="9">
        <v>772</v>
      </c>
      <c r="O762" s="9">
        <v>5.6</v>
      </c>
    </row>
    <row r="763" spans="1:15">
      <c r="A763" s="9" t="s">
        <v>795</v>
      </c>
      <c r="B763" s="9" t="s">
        <v>40</v>
      </c>
      <c r="C763" s="9" t="s">
        <v>41</v>
      </c>
      <c r="D763" s="9" t="s">
        <v>25</v>
      </c>
      <c r="E763" s="9" t="s">
        <v>29</v>
      </c>
      <c r="F763" s="9" t="s">
        <v>26</v>
      </c>
      <c r="G763" s="9">
        <v>72.13</v>
      </c>
      <c r="H763" s="9">
        <v>10</v>
      </c>
      <c r="I763" s="9">
        <v>36.064999999999998</v>
      </c>
      <c r="J763" s="9">
        <v>757.36500000000001</v>
      </c>
      <c r="K763" s="10">
        <v>43496</v>
      </c>
      <c r="L763" s="11">
        <v>0.6333333333333333</v>
      </c>
      <c r="M763" s="9" t="s">
        <v>31</v>
      </c>
      <c r="N763" s="9">
        <v>721.3</v>
      </c>
      <c r="O763" s="9">
        <v>4.2</v>
      </c>
    </row>
    <row r="764" spans="1:15">
      <c r="A764" s="9" t="s">
        <v>796</v>
      </c>
      <c r="B764" s="9" t="s">
        <v>16</v>
      </c>
      <c r="C764" s="9" t="s">
        <v>17</v>
      </c>
      <c r="D764" s="9" t="s">
        <v>18</v>
      </c>
      <c r="E764" s="9" t="s">
        <v>19</v>
      </c>
      <c r="F764" s="9" t="s">
        <v>44</v>
      </c>
      <c r="G764" s="9">
        <v>63.88</v>
      </c>
      <c r="H764" s="9">
        <v>8</v>
      </c>
      <c r="I764" s="9">
        <v>25.552</v>
      </c>
      <c r="J764" s="9">
        <v>536.59199999999998</v>
      </c>
      <c r="K764" s="10">
        <v>43485</v>
      </c>
      <c r="L764" s="11">
        <v>0.7416666666666667</v>
      </c>
      <c r="M764" s="9" t="s">
        <v>21</v>
      </c>
      <c r="N764" s="9">
        <v>511.04</v>
      </c>
      <c r="O764" s="9">
        <v>9.9</v>
      </c>
    </row>
    <row r="765" spans="1:15">
      <c r="A765" s="9" t="s">
        <v>797</v>
      </c>
      <c r="B765" s="9" t="s">
        <v>16</v>
      </c>
      <c r="C765" s="9" t="s">
        <v>17</v>
      </c>
      <c r="D765" s="9" t="s">
        <v>18</v>
      </c>
      <c r="E765" s="9" t="s">
        <v>19</v>
      </c>
      <c r="F765" s="9" t="s">
        <v>20</v>
      </c>
      <c r="G765" s="9">
        <v>10.69</v>
      </c>
      <c r="H765" s="9">
        <v>5</v>
      </c>
      <c r="I765" s="9">
        <v>2.6724999999999999</v>
      </c>
      <c r="J765" s="9">
        <v>56.122500000000002</v>
      </c>
      <c r="K765" s="10">
        <v>43550</v>
      </c>
      <c r="L765" s="11">
        <v>0.46319444444444446</v>
      </c>
      <c r="M765" s="9" t="s">
        <v>21</v>
      </c>
      <c r="N765" s="9">
        <v>53.45</v>
      </c>
      <c r="O765" s="9">
        <v>7.6</v>
      </c>
    </row>
    <row r="766" spans="1:15">
      <c r="A766" s="9" t="s">
        <v>798</v>
      </c>
      <c r="B766" s="9" t="s">
        <v>16</v>
      </c>
      <c r="C766" s="9" t="s">
        <v>17</v>
      </c>
      <c r="D766" s="9" t="s">
        <v>18</v>
      </c>
      <c r="E766" s="9" t="s">
        <v>29</v>
      </c>
      <c r="F766" s="9" t="s">
        <v>20</v>
      </c>
      <c r="G766" s="9">
        <v>55.5</v>
      </c>
      <c r="H766" s="9">
        <v>4</v>
      </c>
      <c r="I766" s="9">
        <v>11.1</v>
      </c>
      <c r="J766" s="9">
        <v>233.1</v>
      </c>
      <c r="K766" s="10">
        <v>43485</v>
      </c>
      <c r="L766" s="11">
        <v>0.65833333333333333</v>
      </c>
      <c r="M766" s="9" t="s">
        <v>31</v>
      </c>
      <c r="N766" s="9">
        <v>222</v>
      </c>
      <c r="O766" s="9">
        <v>6.6</v>
      </c>
    </row>
    <row r="767" spans="1:15">
      <c r="A767" s="9" t="s">
        <v>799</v>
      </c>
      <c r="B767" s="9" t="s">
        <v>40</v>
      </c>
      <c r="C767" s="9" t="s">
        <v>41</v>
      </c>
      <c r="D767" s="9" t="s">
        <v>25</v>
      </c>
      <c r="E767" s="9" t="s">
        <v>19</v>
      </c>
      <c r="F767" s="9" t="s">
        <v>30</v>
      </c>
      <c r="G767" s="9">
        <v>95.46</v>
      </c>
      <c r="H767" s="9">
        <v>8</v>
      </c>
      <c r="I767" s="9">
        <v>38.183999999999997</v>
      </c>
      <c r="J767" s="9">
        <v>801.86400000000003</v>
      </c>
      <c r="K767" s="10">
        <v>43529</v>
      </c>
      <c r="L767" s="11">
        <v>0.81944444444444442</v>
      </c>
      <c r="M767" s="9" t="s">
        <v>21</v>
      </c>
      <c r="N767" s="9">
        <v>763.68</v>
      </c>
      <c r="O767" s="9">
        <v>4.7</v>
      </c>
    </row>
    <row r="768" spans="1:15">
      <c r="A768" s="9" t="s">
        <v>800</v>
      </c>
      <c r="B768" s="9" t="s">
        <v>23</v>
      </c>
      <c r="C768" s="9" t="s">
        <v>24</v>
      </c>
      <c r="D768" s="9" t="s">
        <v>25</v>
      </c>
      <c r="E768" s="9" t="s">
        <v>19</v>
      </c>
      <c r="F768" s="9" t="s">
        <v>44</v>
      </c>
      <c r="G768" s="9">
        <v>76.06</v>
      </c>
      <c r="H768" s="9">
        <v>3</v>
      </c>
      <c r="I768" s="9">
        <v>11.409000000000001</v>
      </c>
      <c r="J768" s="9">
        <v>239.589</v>
      </c>
      <c r="K768" s="10">
        <v>43470</v>
      </c>
      <c r="L768" s="11">
        <v>0.85416666666666663</v>
      </c>
      <c r="M768" s="9" t="s">
        <v>31</v>
      </c>
      <c r="N768" s="9">
        <v>228.18</v>
      </c>
      <c r="O768" s="9">
        <v>9.8000000000000007</v>
      </c>
    </row>
    <row r="769" spans="1:15">
      <c r="A769" s="9" t="s">
        <v>801</v>
      </c>
      <c r="B769" s="9" t="s">
        <v>40</v>
      </c>
      <c r="C769" s="9" t="s">
        <v>41</v>
      </c>
      <c r="D769" s="9" t="s">
        <v>25</v>
      </c>
      <c r="E769" s="9" t="s">
        <v>29</v>
      </c>
      <c r="F769" s="9" t="s">
        <v>34</v>
      </c>
      <c r="G769" s="9">
        <v>13.69</v>
      </c>
      <c r="H769" s="9">
        <v>6</v>
      </c>
      <c r="I769" s="9">
        <v>4.1070000000000002</v>
      </c>
      <c r="J769" s="9">
        <v>86.247</v>
      </c>
      <c r="K769" s="10">
        <v>43509</v>
      </c>
      <c r="L769" s="11">
        <v>0.58263888888888893</v>
      </c>
      <c r="M769" s="9" t="s">
        <v>27</v>
      </c>
      <c r="N769" s="9">
        <v>82.14</v>
      </c>
      <c r="O769" s="9">
        <v>6.3</v>
      </c>
    </row>
    <row r="770" spans="1:15">
      <c r="A770" s="9" t="s">
        <v>802</v>
      </c>
      <c r="B770" s="9" t="s">
        <v>40</v>
      </c>
      <c r="C770" s="9" t="s">
        <v>41</v>
      </c>
      <c r="D770" s="9" t="s">
        <v>25</v>
      </c>
      <c r="E770" s="9" t="s">
        <v>19</v>
      </c>
      <c r="F770" s="9" t="s">
        <v>26</v>
      </c>
      <c r="G770" s="9">
        <v>95.64</v>
      </c>
      <c r="H770" s="9">
        <v>4</v>
      </c>
      <c r="I770" s="9">
        <v>19.128</v>
      </c>
      <c r="J770" s="9">
        <v>401.68799999999999</v>
      </c>
      <c r="K770" s="10">
        <v>43540</v>
      </c>
      <c r="L770" s="11">
        <v>0.78541666666666665</v>
      </c>
      <c r="M770" s="9" t="s">
        <v>27</v>
      </c>
      <c r="N770" s="9">
        <v>382.56</v>
      </c>
      <c r="O770" s="9">
        <v>7.9</v>
      </c>
    </row>
    <row r="771" spans="1:15">
      <c r="A771" s="9" t="s">
        <v>803</v>
      </c>
      <c r="B771" s="9" t="s">
        <v>16</v>
      </c>
      <c r="C771" s="9" t="s">
        <v>17</v>
      </c>
      <c r="D771" s="9" t="s">
        <v>25</v>
      </c>
      <c r="E771" s="9" t="s">
        <v>19</v>
      </c>
      <c r="F771" s="9" t="s">
        <v>30</v>
      </c>
      <c r="G771" s="9">
        <v>11.43</v>
      </c>
      <c r="H771" s="9">
        <v>6</v>
      </c>
      <c r="I771" s="9">
        <v>3.4289999999999998</v>
      </c>
      <c r="J771" s="9">
        <v>72.009</v>
      </c>
      <c r="K771" s="10">
        <v>43480</v>
      </c>
      <c r="L771" s="11">
        <v>0.72499999999999998</v>
      </c>
      <c r="M771" s="9" t="s">
        <v>27</v>
      </c>
      <c r="N771" s="9">
        <v>68.58</v>
      </c>
      <c r="O771" s="9">
        <v>7.7</v>
      </c>
    </row>
    <row r="772" spans="1:15">
      <c r="A772" s="9" t="s">
        <v>804</v>
      </c>
      <c r="B772" s="9" t="s">
        <v>40</v>
      </c>
      <c r="C772" s="9" t="s">
        <v>41</v>
      </c>
      <c r="D772" s="9" t="s">
        <v>18</v>
      </c>
      <c r="E772" s="9" t="s">
        <v>19</v>
      </c>
      <c r="F772" s="9" t="s">
        <v>34</v>
      </c>
      <c r="G772" s="9">
        <v>95.54</v>
      </c>
      <c r="H772" s="9">
        <v>4</v>
      </c>
      <c r="I772" s="9">
        <v>19.108000000000001</v>
      </c>
      <c r="J772" s="9">
        <v>401.26799999999997</v>
      </c>
      <c r="K772" s="10">
        <v>43522</v>
      </c>
      <c r="L772" s="11">
        <v>0.49861111111111112</v>
      </c>
      <c r="M772" s="9" t="s">
        <v>21</v>
      </c>
      <c r="N772" s="9">
        <v>382.16</v>
      </c>
      <c r="O772" s="9">
        <v>4.5</v>
      </c>
    </row>
    <row r="773" spans="1:15">
      <c r="A773" s="9" t="s">
        <v>805</v>
      </c>
      <c r="B773" s="9" t="s">
        <v>23</v>
      </c>
      <c r="C773" s="9" t="s">
        <v>24</v>
      </c>
      <c r="D773" s="9" t="s">
        <v>18</v>
      </c>
      <c r="E773" s="9" t="s">
        <v>19</v>
      </c>
      <c r="F773" s="9" t="s">
        <v>20</v>
      </c>
      <c r="G773" s="9">
        <v>85.87</v>
      </c>
      <c r="H773" s="9">
        <v>7</v>
      </c>
      <c r="I773" s="9">
        <v>30.054500000000001</v>
      </c>
      <c r="J773" s="9">
        <v>631.14449999999999</v>
      </c>
      <c r="K773" s="10">
        <v>43523</v>
      </c>
      <c r="L773" s="11">
        <v>0.79236111111111107</v>
      </c>
      <c r="M773" s="9" t="s">
        <v>31</v>
      </c>
      <c r="N773" s="9">
        <v>601.09</v>
      </c>
      <c r="O773" s="9">
        <v>8</v>
      </c>
    </row>
    <row r="774" spans="1:15">
      <c r="A774" s="9" t="s">
        <v>806</v>
      </c>
      <c r="B774" s="9" t="s">
        <v>23</v>
      </c>
      <c r="C774" s="9" t="s">
        <v>24</v>
      </c>
      <c r="D774" s="9" t="s">
        <v>18</v>
      </c>
      <c r="E774" s="9" t="s">
        <v>19</v>
      </c>
      <c r="F774" s="9" t="s">
        <v>34</v>
      </c>
      <c r="G774" s="9">
        <v>67.989999999999995</v>
      </c>
      <c r="H774" s="9">
        <v>7</v>
      </c>
      <c r="I774" s="9">
        <v>23.796500000000002</v>
      </c>
      <c r="J774" s="9">
        <v>499.72649999999999</v>
      </c>
      <c r="K774" s="10">
        <v>43513</v>
      </c>
      <c r="L774" s="11">
        <v>0.70138888888888884</v>
      </c>
      <c r="M774" s="9" t="s">
        <v>21</v>
      </c>
      <c r="N774" s="9">
        <v>475.93</v>
      </c>
      <c r="O774" s="9">
        <v>5.7</v>
      </c>
    </row>
    <row r="775" spans="1:15">
      <c r="A775" s="9" t="s">
        <v>807</v>
      </c>
      <c r="B775" s="9" t="s">
        <v>23</v>
      </c>
      <c r="C775" s="9" t="s">
        <v>24</v>
      </c>
      <c r="D775" s="9" t="s">
        <v>25</v>
      </c>
      <c r="E775" s="9" t="s">
        <v>19</v>
      </c>
      <c r="F775" s="9" t="s">
        <v>42</v>
      </c>
      <c r="G775" s="9">
        <v>52.42</v>
      </c>
      <c r="H775" s="9">
        <v>1</v>
      </c>
      <c r="I775" s="9">
        <v>2.621</v>
      </c>
      <c r="J775" s="9">
        <v>55.040999999999997</v>
      </c>
      <c r="K775" s="10">
        <v>43502</v>
      </c>
      <c r="L775" s="11">
        <v>0.43194444444444446</v>
      </c>
      <c r="M775" s="9" t="s">
        <v>31</v>
      </c>
      <c r="N775" s="9">
        <v>52.42</v>
      </c>
      <c r="O775" s="9">
        <v>6.3</v>
      </c>
    </row>
    <row r="776" spans="1:15">
      <c r="A776" s="9" t="s">
        <v>808</v>
      </c>
      <c r="B776" s="9" t="s">
        <v>23</v>
      </c>
      <c r="C776" s="9" t="s">
        <v>24</v>
      </c>
      <c r="D776" s="9" t="s">
        <v>18</v>
      </c>
      <c r="E776" s="9" t="s">
        <v>29</v>
      </c>
      <c r="F776" s="9" t="s">
        <v>42</v>
      </c>
      <c r="G776" s="9">
        <v>65.650000000000006</v>
      </c>
      <c r="H776" s="9">
        <v>2</v>
      </c>
      <c r="I776" s="9">
        <v>6.5650000000000004</v>
      </c>
      <c r="J776" s="9">
        <v>137.86500000000001</v>
      </c>
      <c r="K776" s="10">
        <v>43482</v>
      </c>
      <c r="L776" s="11">
        <v>0.69861111111111107</v>
      </c>
      <c r="M776" s="9" t="s">
        <v>27</v>
      </c>
      <c r="N776" s="9">
        <v>131.30000000000001</v>
      </c>
      <c r="O776" s="9">
        <v>6</v>
      </c>
    </row>
    <row r="777" spans="1:15">
      <c r="A777" s="9" t="s">
        <v>809</v>
      </c>
      <c r="B777" s="9" t="s">
        <v>40</v>
      </c>
      <c r="C777" s="9" t="s">
        <v>41</v>
      </c>
      <c r="D777" s="9" t="s">
        <v>25</v>
      </c>
      <c r="E777" s="9" t="s">
        <v>19</v>
      </c>
      <c r="F777" s="9" t="s">
        <v>42</v>
      </c>
      <c r="G777" s="9">
        <v>28.86</v>
      </c>
      <c r="H777" s="9">
        <v>5</v>
      </c>
      <c r="I777" s="9">
        <v>7.2149999999999999</v>
      </c>
      <c r="J777" s="9">
        <v>151.51499999999999</v>
      </c>
      <c r="K777" s="10">
        <v>43487</v>
      </c>
      <c r="L777" s="11">
        <v>0.75555555555555554</v>
      </c>
      <c r="M777" s="9" t="s">
        <v>31</v>
      </c>
      <c r="N777" s="9">
        <v>144.30000000000001</v>
      </c>
      <c r="O777" s="9">
        <v>8</v>
      </c>
    </row>
    <row r="778" spans="1:15">
      <c r="A778" s="9" t="s">
        <v>810</v>
      </c>
      <c r="B778" s="9" t="s">
        <v>23</v>
      </c>
      <c r="C778" s="9" t="s">
        <v>24</v>
      </c>
      <c r="D778" s="9" t="s">
        <v>18</v>
      </c>
      <c r="E778" s="9" t="s">
        <v>29</v>
      </c>
      <c r="F778" s="9" t="s">
        <v>20</v>
      </c>
      <c r="G778" s="9">
        <v>65.31</v>
      </c>
      <c r="H778" s="9">
        <v>7</v>
      </c>
      <c r="I778" s="9">
        <v>22.858499999999999</v>
      </c>
      <c r="J778" s="9">
        <v>480.02850000000001</v>
      </c>
      <c r="K778" s="10">
        <v>43529</v>
      </c>
      <c r="L778" s="11">
        <v>0.75138888888888888</v>
      </c>
      <c r="M778" s="9" t="s">
        <v>31</v>
      </c>
      <c r="N778" s="9">
        <v>457.17</v>
      </c>
      <c r="O778" s="9">
        <v>4.2</v>
      </c>
    </row>
    <row r="779" spans="1:15">
      <c r="A779" s="9" t="s">
        <v>811</v>
      </c>
      <c r="B779" s="9" t="s">
        <v>40</v>
      </c>
      <c r="C779" s="9" t="s">
        <v>41</v>
      </c>
      <c r="D779" s="9" t="s">
        <v>25</v>
      </c>
      <c r="E779" s="9" t="s">
        <v>29</v>
      </c>
      <c r="F779" s="9" t="s">
        <v>34</v>
      </c>
      <c r="G779" s="9">
        <v>93.38</v>
      </c>
      <c r="H779" s="9">
        <v>1</v>
      </c>
      <c r="I779" s="9">
        <v>4.6689999999999996</v>
      </c>
      <c r="J779" s="9">
        <v>98.049000000000007</v>
      </c>
      <c r="K779" s="10">
        <v>43468</v>
      </c>
      <c r="L779" s="11">
        <v>0.54652777777777772</v>
      </c>
      <c r="M779" s="9" t="s">
        <v>27</v>
      </c>
      <c r="N779" s="9">
        <v>93.38</v>
      </c>
      <c r="O779" s="9">
        <v>9.6</v>
      </c>
    </row>
    <row r="780" spans="1:15">
      <c r="A780" s="9" t="s">
        <v>812</v>
      </c>
      <c r="B780" s="9" t="s">
        <v>23</v>
      </c>
      <c r="C780" s="9" t="s">
        <v>24</v>
      </c>
      <c r="D780" s="9" t="s">
        <v>18</v>
      </c>
      <c r="E780" s="9" t="s">
        <v>29</v>
      </c>
      <c r="F780" s="9" t="s">
        <v>34</v>
      </c>
      <c r="G780" s="9">
        <v>25.25</v>
      </c>
      <c r="H780" s="9">
        <v>5</v>
      </c>
      <c r="I780" s="9">
        <v>6.3125</v>
      </c>
      <c r="J780" s="9">
        <v>132.5625</v>
      </c>
      <c r="K780" s="10">
        <v>43544</v>
      </c>
      <c r="L780" s="11">
        <v>0.74444444444444446</v>
      </c>
      <c r="M780" s="9" t="s">
        <v>27</v>
      </c>
      <c r="N780" s="9">
        <v>126.25</v>
      </c>
      <c r="O780" s="9">
        <v>6.1</v>
      </c>
    </row>
    <row r="781" spans="1:15">
      <c r="A781" s="9" t="s">
        <v>813</v>
      </c>
      <c r="B781" s="9" t="s">
        <v>40</v>
      </c>
      <c r="C781" s="9" t="s">
        <v>41</v>
      </c>
      <c r="D781" s="9" t="s">
        <v>18</v>
      </c>
      <c r="E781" s="9" t="s">
        <v>29</v>
      </c>
      <c r="F781" s="9" t="s">
        <v>26</v>
      </c>
      <c r="G781" s="9">
        <v>87.87</v>
      </c>
      <c r="H781" s="9">
        <v>9</v>
      </c>
      <c r="I781" s="9">
        <v>39.541499999999999</v>
      </c>
      <c r="J781" s="9">
        <v>830.37149999999997</v>
      </c>
      <c r="K781" s="10">
        <v>43496</v>
      </c>
      <c r="L781" s="11">
        <v>0.85555555555555551</v>
      </c>
      <c r="M781" s="9" t="s">
        <v>21</v>
      </c>
      <c r="N781" s="9">
        <v>790.83</v>
      </c>
      <c r="O781" s="9">
        <v>5.6</v>
      </c>
    </row>
    <row r="782" spans="1:15">
      <c r="A782" s="9" t="s">
        <v>814</v>
      </c>
      <c r="B782" s="9" t="s">
        <v>23</v>
      </c>
      <c r="C782" s="9" t="s">
        <v>24</v>
      </c>
      <c r="D782" s="9" t="s">
        <v>25</v>
      </c>
      <c r="E782" s="9" t="s">
        <v>29</v>
      </c>
      <c r="F782" s="9" t="s">
        <v>20</v>
      </c>
      <c r="G782" s="9">
        <v>21.8</v>
      </c>
      <c r="H782" s="9">
        <v>8</v>
      </c>
      <c r="I782" s="9">
        <v>8.7200000000000006</v>
      </c>
      <c r="J782" s="9">
        <v>183.12</v>
      </c>
      <c r="K782" s="10">
        <v>43515</v>
      </c>
      <c r="L782" s="11">
        <v>0.80833333333333335</v>
      </c>
      <c r="M782" s="9" t="s">
        <v>27</v>
      </c>
      <c r="N782" s="9">
        <v>174.4</v>
      </c>
      <c r="O782" s="9">
        <v>8.3000000000000007</v>
      </c>
    </row>
    <row r="783" spans="1:15">
      <c r="A783" s="9" t="s">
        <v>815</v>
      </c>
      <c r="B783" s="9" t="s">
        <v>16</v>
      </c>
      <c r="C783" s="9" t="s">
        <v>17</v>
      </c>
      <c r="D783" s="9" t="s">
        <v>25</v>
      </c>
      <c r="E783" s="9" t="s">
        <v>19</v>
      </c>
      <c r="F783" s="9" t="s">
        <v>34</v>
      </c>
      <c r="G783" s="9">
        <v>94.76</v>
      </c>
      <c r="H783" s="9">
        <v>4</v>
      </c>
      <c r="I783" s="9">
        <v>18.952000000000002</v>
      </c>
      <c r="J783" s="9">
        <v>397.99200000000002</v>
      </c>
      <c r="K783" s="10">
        <v>43507</v>
      </c>
      <c r="L783" s="11">
        <v>0.67083333333333328</v>
      </c>
      <c r="M783" s="9" t="s">
        <v>21</v>
      </c>
      <c r="N783" s="9">
        <v>379.04</v>
      </c>
      <c r="O783" s="9">
        <v>7.8</v>
      </c>
    </row>
    <row r="784" spans="1:15">
      <c r="A784" s="9" t="s">
        <v>816</v>
      </c>
      <c r="B784" s="9" t="s">
        <v>16</v>
      </c>
      <c r="C784" s="9" t="s">
        <v>17</v>
      </c>
      <c r="D784" s="9" t="s">
        <v>18</v>
      </c>
      <c r="E784" s="9" t="s">
        <v>19</v>
      </c>
      <c r="F784" s="9" t="s">
        <v>44</v>
      </c>
      <c r="G784" s="9">
        <v>30.62</v>
      </c>
      <c r="H784" s="9">
        <v>1</v>
      </c>
      <c r="I784" s="9">
        <v>1.5309999999999999</v>
      </c>
      <c r="J784" s="9">
        <v>32.151000000000003</v>
      </c>
      <c r="K784" s="10">
        <v>43501</v>
      </c>
      <c r="L784" s="11">
        <v>0.59305555555555556</v>
      </c>
      <c r="M784" s="9" t="s">
        <v>31</v>
      </c>
      <c r="N784" s="9">
        <v>30.62</v>
      </c>
      <c r="O784" s="9">
        <v>4.0999999999999996</v>
      </c>
    </row>
    <row r="785" spans="1:15">
      <c r="A785" s="9" t="s">
        <v>817</v>
      </c>
      <c r="B785" s="9" t="s">
        <v>23</v>
      </c>
      <c r="C785" s="9" t="s">
        <v>24</v>
      </c>
      <c r="D785" s="9" t="s">
        <v>25</v>
      </c>
      <c r="E785" s="9" t="s">
        <v>19</v>
      </c>
      <c r="F785" s="9" t="s">
        <v>30</v>
      </c>
      <c r="G785" s="9">
        <v>44.01</v>
      </c>
      <c r="H785" s="9">
        <v>8</v>
      </c>
      <c r="I785" s="9">
        <v>17.603999999999999</v>
      </c>
      <c r="J785" s="9">
        <v>369.68400000000003</v>
      </c>
      <c r="K785" s="10">
        <v>43527</v>
      </c>
      <c r="L785" s="11">
        <v>0.73333333333333328</v>
      </c>
      <c r="M785" s="9" t="s">
        <v>27</v>
      </c>
      <c r="N785" s="9">
        <v>352.08</v>
      </c>
      <c r="O785" s="9">
        <v>8.8000000000000007</v>
      </c>
    </row>
    <row r="786" spans="1:15">
      <c r="A786" s="9" t="s">
        <v>818</v>
      </c>
      <c r="B786" s="9" t="s">
        <v>23</v>
      </c>
      <c r="C786" s="9" t="s">
        <v>24</v>
      </c>
      <c r="D786" s="9" t="s">
        <v>18</v>
      </c>
      <c r="E786" s="9" t="s">
        <v>19</v>
      </c>
      <c r="F786" s="9" t="s">
        <v>20</v>
      </c>
      <c r="G786" s="9">
        <v>10.16</v>
      </c>
      <c r="H786" s="9">
        <v>5</v>
      </c>
      <c r="I786" s="9">
        <v>2.54</v>
      </c>
      <c r="J786" s="9">
        <v>53.34</v>
      </c>
      <c r="K786" s="10">
        <v>43520</v>
      </c>
      <c r="L786" s="11">
        <v>0.54722222222222228</v>
      </c>
      <c r="M786" s="9" t="s">
        <v>21</v>
      </c>
      <c r="N786" s="9">
        <v>50.8</v>
      </c>
      <c r="O786" s="9">
        <v>4.0999999999999996</v>
      </c>
    </row>
    <row r="787" spans="1:15">
      <c r="A787" s="9" t="s">
        <v>819</v>
      </c>
      <c r="B787" s="9" t="s">
        <v>16</v>
      </c>
      <c r="C787" s="9" t="s">
        <v>17</v>
      </c>
      <c r="D787" s="9" t="s">
        <v>25</v>
      </c>
      <c r="E787" s="9" t="s">
        <v>29</v>
      </c>
      <c r="F787" s="9" t="s">
        <v>26</v>
      </c>
      <c r="G787" s="9">
        <v>74.58</v>
      </c>
      <c r="H787" s="9">
        <v>7</v>
      </c>
      <c r="I787" s="9">
        <v>26.103000000000002</v>
      </c>
      <c r="J787" s="9">
        <v>548.16300000000001</v>
      </c>
      <c r="K787" s="10">
        <v>43500</v>
      </c>
      <c r="L787" s="11">
        <v>0.67291666666666672</v>
      </c>
      <c r="M787" s="9" t="s">
        <v>31</v>
      </c>
      <c r="N787" s="9">
        <v>522.05999999999995</v>
      </c>
      <c r="O787" s="9">
        <v>9</v>
      </c>
    </row>
    <row r="788" spans="1:15">
      <c r="A788" s="9" t="s">
        <v>820</v>
      </c>
      <c r="B788" s="9" t="s">
        <v>23</v>
      </c>
      <c r="C788" s="9" t="s">
        <v>24</v>
      </c>
      <c r="D788" s="9" t="s">
        <v>25</v>
      </c>
      <c r="E788" s="9" t="s">
        <v>29</v>
      </c>
      <c r="F788" s="9" t="s">
        <v>26</v>
      </c>
      <c r="G788" s="9">
        <v>71.89</v>
      </c>
      <c r="H788" s="9">
        <v>8</v>
      </c>
      <c r="I788" s="9">
        <v>28.756</v>
      </c>
      <c r="J788" s="9">
        <v>603.87599999999998</v>
      </c>
      <c r="K788" s="10">
        <v>43515</v>
      </c>
      <c r="L788" s="11">
        <v>0.48125000000000001</v>
      </c>
      <c r="M788" s="9" t="s">
        <v>21</v>
      </c>
      <c r="N788" s="9">
        <v>575.12</v>
      </c>
      <c r="O788" s="9">
        <v>5.5</v>
      </c>
    </row>
    <row r="789" spans="1:15">
      <c r="A789" s="9" t="s">
        <v>821</v>
      </c>
      <c r="B789" s="9" t="s">
        <v>23</v>
      </c>
      <c r="C789" s="9" t="s">
        <v>24</v>
      </c>
      <c r="D789" s="9" t="s">
        <v>25</v>
      </c>
      <c r="E789" s="9" t="s">
        <v>19</v>
      </c>
      <c r="F789" s="9" t="s">
        <v>20</v>
      </c>
      <c r="G789" s="9">
        <v>10.99</v>
      </c>
      <c r="H789" s="9">
        <v>5</v>
      </c>
      <c r="I789" s="9">
        <v>2.7475000000000001</v>
      </c>
      <c r="J789" s="9">
        <v>57.697499999999998</v>
      </c>
      <c r="K789" s="10">
        <v>43488</v>
      </c>
      <c r="L789" s="11">
        <v>0.42916666666666664</v>
      </c>
      <c r="M789" s="9" t="s">
        <v>31</v>
      </c>
      <c r="N789" s="9">
        <v>54.95</v>
      </c>
      <c r="O789" s="9">
        <v>9.3000000000000007</v>
      </c>
    </row>
    <row r="790" spans="1:15">
      <c r="A790" s="9" t="s">
        <v>822</v>
      </c>
      <c r="B790" s="9" t="s">
        <v>23</v>
      </c>
      <c r="C790" s="9" t="s">
        <v>24</v>
      </c>
      <c r="D790" s="9" t="s">
        <v>18</v>
      </c>
      <c r="E790" s="9" t="s">
        <v>29</v>
      </c>
      <c r="F790" s="9" t="s">
        <v>20</v>
      </c>
      <c r="G790" s="9">
        <v>60.47</v>
      </c>
      <c r="H790" s="9">
        <v>3</v>
      </c>
      <c r="I790" s="9">
        <v>9.0704999999999991</v>
      </c>
      <c r="J790" s="9">
        <v>190.48050000000001</v>
      </c>
      <c r="K790" s="10">
        <v>43479</v>
      </c>
      <c r="L790" s="11">
        <v>0.4548611111111111</v>
      </c>
      <c r="M790" s="9" t="s">
        <v>31</v>
      </c>
      <c r="N790" s="9">
        <v>181.41</v>
      </c>
      <c r="O790" s="9">
        <v>5.6</v>
      </c>
    </row>
    <row r="791" spans="1:15">
      <c r="A791" s="9" t="s">
        <v>823</v>
      </c>
      <c r="B791" s="9" t="s">
        <v>16</v>
      </c>
      <c r="C791" s="9" t="s">
        <v>17</v>
      </c>
      <c r="D791" s="9" t="s">
        <v>25</v>
      </c>
      <c r="E791" s="9" t="s">
        <v>29</v>
      </c>
      <c r="F791" s="9" t="s">
        <v>34</v>
      </c>
      <c r="G791" s="9">
        <v>58.91</v>
      </c>
      <c r="H791" s="9">
        <v>7</v>
      </c>
      <c r="I791" s="9">
        <v>20.618500000000001</v>
      </c>
      <c r="J791" s="9">
        <v>432.98849999999999</v>
      </c>
      <c r="K791" s="10">
        <v>43482</v>
      </c>
      <c r="L791" s="11">
        <v>0.63541666666666663</v>
      </c>
      <c r="M791" s="9" t="s">
        <v>21</v>
      </c>
      <c r="N791" s="9">
        <v>412.37</v>
      </c>
      <c r="O791" s="9">
        <v>9.6999999999999993</v>
      </c>
    </row>
    <row r="792" spans="1:15">
      <c r="A792" s="9" t="s">
        <v>824</v>
      </c>
      <c r="B792" s="9" t="s">
        <v>16</v>
      </c>
      <c r="C792" s="9" t="s">
        <v>17</v>
      </c>
      <c r="D792" s="9" t="s">
        <v>25</v>
      </c>
      <c r="E792" s="9" t="s">
        <v>29</v>
      </c>
      <c r="F792" s="9" t="s">
        <v>44</v>
      </c>
      <c r="G792" s="9">
        <v>46.41</v>
      </c>
      <c r="H792" s="9">
        <v>1</v>
      </c>
      <c r="I792" s="9">
        <v>2.3205</v>
      </c>
      <c r="J792" s="9">
        <v>48.730499999999999</v>
      </c>
      <c r="K792" s="10">
        <v>43527</v>
      </c>
      <c r="L792" s="11">
        <v>0.83750000000000002</v>
      </c>
      <c r="M792" s="9" t="s">
        <v>31</v>
      </c>
      <c r="N792" s="9">
        <v>46.41</v>
      </c>
      <c r="O792" s="9">
        <v>4</v>
      </c>
    </row>
    <row r="793" spans="1:15">
      <c r="A793" s="9" t="s">
        <v>825</v>
      </c>
      <c r="B793" s="9" t="s">
        <v>23</v>
      </c>
      <c r="C793" s="9" t="s">
        <v>24</v>
      </c>
      <c r="D793" s="9" t="s">
        <v>18</v>
      </c>
      <c r="E793" s="9" t="s">
        <v>29</v>
      </c>
      <c r="F793" s="9" t="s">
        <v>20</v>
      </c>
      <c r="G793" s="9">
        <v>68.55</v>
      </c>
      <c r="H793" s="9">
        <v>4</v>
      </c>
      <c r="I793" s="9">
        <v>13.71</v>
      </c>
      <c r="J793" s="9">
        <v>287.91000000000003</v>
      </c>
      <c r="K793" s="10">
        <v>43511</v>
      </c>
      <c r="L793" s="11">
        <v>0.84791666666666665</v>
      </c>
      <c r="M793" s="9" t="s">
        <v>31</v>
      </c>
      <c r="N793" s="9">
        <v>274.2</v>
      </c>
      <c r="O793" s="9">
        <v>9.1999999999999993</v>
      </c>
    </row>
    <row r="794" spans="1:15">
      <c r="A794" s="9" t="s">
        <v>826</v>
      </c>
      <c r="B794" s="9" t="s">
        <v>40</v>
      </c>
      <c r="C794" s="9" t="s">
        <v>41</v>
      </c>
      <c r="D794" s="9" t="s">
        <v>25</v>
      </c>
      <c r="E794" s="9" t="s">
        <v>19</v>
      </c>
      <c r="F794" s="9" t="s">
        <v>30</v>
      </c>
      <c r="G794" s="9">
        <v>97.37</v>
      </c>
      <c r="H794" s="9">
        <v>10</v>
      </c>
      <c r="I794" s="9">
        <v>48.685000000000002</v>
      </c>
      <c r="J794" s="9">
        <v>1022.385</v>
      </c>
      <c r="K794" s="10">
        <v>43480</v>
      </c>
      <c r="L794" s="11">
        <v>0.57499999999999996</v>
      </c>
      <c r="M794" s="9" t="s">
        <v>31</v>
      </c>
      <c r="N794" s="9">
        <v>973.7</v>
      </c>
      <c r="O794" s="9">
        <v>4.9000000000000004</v>
      </c>
    </row>
    <row r="795" spans="1:15">
      <c r="A795" s="9" t="s">
        <v>827</v>
      </c>
      <c r="B795" s="9" t="s">
        <v>16</v>
      </c>
      <c r="C795" s="9" t="s">
        <v>17</v>
      </c>
      <c r="D795" s="9" t="s">
        <v>18</v>
      </c>
      <c r="E795" s="9" t="s">
        <v>29</v>
      </c>
      <c r="F795" s="9" t="s">
        <v>26</v>
      </c>
      <c r="G795" s="9">
        <v>92.6</v>
      </c>
      <c r="H795" s="9">
        <v>7</v>
      </c>
      <c r="I795" s="9">
        <v>32.409999999999997</v>
      </c>
      <c r="J795" s="9">
        <v>680.61</v>
      </c>
      <c r="K795" s="10">
        <v>43523</v>
      </c>
      <c r="L795" s="11">
        <v>0.53611111111111109</v>
      </c>
      <c r="M795" s="9" t="s">
        <v>31</v>
      </c>
      <c r="N795" s="9">
        <v>648.20000000000005</v>
      </c>
      <c r="O795" s="9">
        <v>9.3000000000000007</v>
      </c>
    </row>
    <row r="796" spans="1:15">
      <c r="A796" s="9" t="s">
        <v>828</v>
      </c>
      <c r="B796" s="9" t="s">
        <v>16</v>
      </c>
      <c r="C796" s="9" t="s">
        <v>17</v>
      </c>
      <c r="D796" s="9" t="s">
        <v>25</v>
      </c>
      <c r="E796" s="9" t="s">
        <v>19</v>
      </c>
      <c r="F796" s="9" t="s">
        <v>26</v>
      </c>
      <c r="G796" s="9">
        <v>46.61</v>
      </c>
      <c r="H796" s="9">
        <v>2</v>
      </c>
      <c r="I796" s="9">
        <v>4.6609999999999996</v>
      </c>
      <c r="J796" s="9">
        <v>97.881</v>
      </c>
      <c r="K796" s="10">
        <v>43522</v>
      </c>
      <c r="L796" s="11">
        <v>0.51944444444444449</v>
      </c>
      <c r="M796" s="9" t="s">
        <v>31</v>
      </c>
      <c r="N796" s="9">
        <v>93.22</v>
      </c>
      <c r="O796" s="9">
        <v>6.6</v>
      </c>
    </row>
    <row r="797" spans="1:15">
      <c r="A797" s="9" t="s">
        <v>829</v>
      </c>
      <c r="B797" s="9" t="s">
        <v>40</v>
      </c>
      <c r="C797" s="9" t="s">
        <v>41</v>
      </c>
      <c r="D797" s="9" t="s">
        <v>25</v>
      </c>
      <c r="E797" s="9" t="s">
        <v>29</v>
      </c>
      <c r="F797" s="9" t="s">
        <v>44</v>
      </c>
      <c r="G797" s="9">
        <v>27.18</v>
      </c>
      <c r="H797" s="9">
        <v>2</v>
      </c>
      <c r="I797" s="9">
        <v>2.718</v>
      </c>
      <c r="J797" s="9">
        <v>57.078000000000003</v>
      </c>
      <c r="K797" s="10">
        <v>43539</v>
      </c>
      <c r="L797" s="11">
        <v>0.68472222222222223</v>
      </c>
      <c r="M797" s="9" t="s">
        <v>21</v>
      </c>
      <c r="N797" s="9">
        <v>54.36</v>
      </c>
      <c r="O797" s="9">
        <v>4.3</v>
      </c>
    </row>
    <row r="798" spans="1:15">
      <c r="A798" s="9" t="s">
        <v>830</v>
      </c>
      <c r="B798" s="9" t="s">
        <v>23</v>
      </c>
      <c r="C798" s="9" t="s">
        <v>24</v>
      </c>
      <c r="D798" s="9" t="s">
        <v>18</v>
      </c>
      <c r="E798" s="9" t="s">
        <v>19</v>
      </c>
      <c r="F798" s="9" t="s">
        <v>30</v>
      </c>
      <c r="G798" s="9">
        <v>60.87</v>
      </c>
      <c r="H798" s="9">
        <v>1</v>
      </c>
      <c r="I798" s="9">
        <v>3.0434999999999999</v>
      </c>
      <c r="J798" s="9">
        <v>63.913499999999999</v>
      </c>
      <c r="K798" s="10">
        <v>43489</v>
      </c>
      <c r="L798" s="11">
        <v>0.55833333333333335</v>
      </c>
      <c r="M798" s="9" t="s">
        <v>27</v>
      </c>
      <c r="N798" s="9">
        <v>60.87</v>
      </c>
      <c r="O798" s="9">
        <v>5.5</v>
      </c>
    </row>
    <row r="799" spans="1:15">
      <c r="A799" s="9" t="s">
        <v>831</v>
      </c>
      <c r="B799" s="9" t="s">
        <v>16</v>
      </c>
      <c r="C799" s="9" t="s">
        <v>17</v>
      </c>
      <c r="D799" s="9" t="s">
        <v>18</v>
      </c>
      <c r="E799" s="9" t="s">
        <v>19</v>
      </c>
      <c r="F799" s="9" t="s">
        <v>34</v>
      </c>
      <c r="G799" s="9">
        <v>24.49</v>
      </c>
      <c r="H799" s="9">
        <v>10</v>
      </c>
      <c r="I799" s="9">
        <v>12.244999999999999</v>
      </c>
      <c r="J799" s="9">
        <v>257.14499999999998</v>
      </c>
      <c r="K799" s="10">
        <v>43518</v>
      </c>
      <c r="L799" s="11">
        <v>0.63541666666666663</v>
      </c>
      <c r="M799" s="9" t="s">
        <v>27</v>
      </c>
      <c r="N799" s="9">
        <v>244.9</v>
      </c>
      <c r="O799" s="9">
        <v>8.1</v>
      </c>
    </row>
    <row r="800" spans="1:15">
      <c r="A800" s="9" t="s">
        <v>832</v>
      </c>
      <c r="B800" s="9" t="s">
        <v>40</v>
      </c>
      <c r="C800" s="9" t="s">
        <v>41</v>
      </c>
      <c r="D800" s="9" t="s">
        <v>25</v>
      </c>
      <c r="E800" s="9" t="s">
        <v>29</v>
      </c>
      <c r="F800" s="9" t="s">
        <v>20</v>
      </c>
      <c r="G800" s="9">
        <v>92.78</v>
      </c>
      <c r="H800" s="9">
        <v>1</v>
      </c>
      <c r="I800" s="9">
        <v>4.6390000000000002</v>
      </c>
      <c r="J800" s="9">
        <v>97.418999999999997</v>
      </c>
      <c r="K800" s="10">
        <v>43539</v>
      </c>
      <c r="L800" s="11">
        <v>0.4513888888888889</v>
      </c>
      <c r="M800" s="9" t="s">
        <v>31</v>
      </c>
      <c r="N800" s="9">
        <v>92.78</v>
      </c>
      <c r="O800" s="9">
        <v>9.8000000000000007</v>
      </c>
    </row>
    <row r="801" spans="1:15">
      <c r="A801" s="9" t="s">
        <v>833</v>
      </c>
      <c r="B801" s="9" t="s">
        <v>23</v>
      </c>
      <c r="C801" s="9" t="s">
        <v>24</v>
      </c>
      <c r="D801" s="9" t="s">
        <v>18</v>
      </c>
      <c r="E801" s="9" t="s">
        <v>29</v>
      </c>
      <c r="F801" s="9" t="s">
        <v>30</v>
      </c>
      <c r="G801" s="9">
        <v>86.69</v>
      </c>
      <c r="H801" s="9">
        <v>5</v>
      </c>
      <c r="I801" s="9">
        <v>21.672499999999999</v>
      </c>
      <c r="J801" s="9">
        <v>455.1225</v>
      </c>
      <c r="K801" s="10">
        <v>43507</v>
      </c>
      <c r="L801" s="11">
        <v>0.77638888888888891</v>
      </c>
      <c r="M801" s="9" t="s">
        <v>21</v>
      </c>
      <c r="N801" s="9">
        <v>433.45</v>
      </c>
      <c r="O801" s="9">
        <v>9.4</v>
      </c>
    </row>
    <row r="802" spans="1:15">
      <c r="A802" s="9" t="s">
        <v>834</v>
      </c>
      <c r="B802" s="9" t="s">
        <v>40</v>
      </c>
      <c r="C802" s="9" t="s">
        <v>41</v>
      </c>
      <c r="D802" s="9" t="s">
        <v>25</v>
      </c>
      <c r="E802" s="9" t="s">
        <v>29</v>
      </c>
      <c r="F802" s="9" t="s">
        <v>34</v>
      </c>
      <c r="G802" s="9">
        <v>23.01</v>
      </c>
      <c r="H802" s="9">
        <v>6</v>
      </c>
      <c r="I802" s="9">
        <v>6.9029999999999996</v>
      </c>
      <c r="J802" s="9">
        <v>144.96299999999999</v>
      </c>
      <c r="K802" s="10">
        <v>43477</v>
      </c>
      <c r="L802" s="11">
        <v>0.69791666666666663</v>
      </c>
      <c r="M802" s="9" t="s">
        <v>21</v>
      </c>
      <c r="N802" s="9">
        <v>138.06</v>
      </c>
      <c r="O802" s="9">
        <v>7.9</v>
      </c>
    </row>
    <row r="803" spans="1:15">
      <c r="A803" s="9" t="s">
        <v>835</v>
      </c>
      <c r="B803" s="9" t="s">
        <v>23</v>
      </c>
      <c r="C803" s="9" t="s">
        <v>24</v>
      </c>
      <c r="D803" s="9" t="s">
        <v>18</v>
      </c>
      <c r="E803" s="9" t="s">
        <v>19</v>
      </c>
      <c r="F803" s="9" t="s">
        <v>26</v>
      </c>
      <c r="G803" s="9">
        <v>30.2</v>
      </c>
      <c r="H803" s="9">
        <v>8</v>
      </c>
      <c r="I803" s="9">
        <v>12.08</v>
      </c>
      <c r="J803" s="9">
        <v>253.68</v>
      </c>
      <c r="K803" s="10">
        <v>43527</v>
      </c>
      <c r="L803" s="11">
        <v>0.8125</v>
      </c>
      <c r="M803" s="9" t="s">
        <v>21</v>
      </c>
      <c r="N803" s="9">
        <v>241.6</v>
      </c>
      <c r="O803" s="9">
        <v>5.0999999999999996</v>
      </c>
    </row>
    <row r="804" spans="1:15">
      <c r="A804" s="9" t="s">
        <v>836</v>
      </c>
      <c r="B804" s="9" t="s">
        <v>23</v>
      </c>
      <c r="C804" s="9" t="s">
        <v>24</v>
      </c>
      <c r="D804" s="9" t="s">
        <v>18</v>
      </c>
      <c r="E804" s="9" t="s">
        <v>29</v>
      </c>
      <c r="F804" s="9" t="s">
        <v>44</v>
      </c>
      <c r="G804" s="9">
        <v>67.39</v>
      </c>
      <c r="H804" s="9">
        <v>7</v>
      </c>
      <c r="I804" s="9">
        <v>23.586500000000001</v>
      </c>
      <c r="J804" s="9">
        <v>495.31650000000002</v>
      </c>
      <c r="K804" s="10">
        <v>43547</v>
      </c>
      <c r="L804" s="11">
        <v>0.55763888888888891</v>
      </c>
      <c r="M804" s="9" t="s">
        <v>21</v>
      </c>
      <c r="N804" s="9">
        <v>471.73</v>
      </c>
      <c r="O804" s="9">
        <v>6.9</v>
      </c>
    </row>
    <row r="805" spans="1:15">
      <c r="A805" s="9" t="s">
        <v>837</v>
      </c>
      <c r="B805" s="9" t="s">
        <v>16</v>
      </c>
      <c r="C805" s="9" t="s">
        <v>17</v>
      </c>
      <c r="D805" s="9" t="s">
        <v>18</v>
      </c>
      <c r="E805" s="9" t="s">
        <v>19</v>
      </c>
      <c r="F805" s="9" t="s">
        <v>44</v>
      </c>
      <c r="G805" s="9">
        <v>48.96</v>
      </c>
      <c r="H805" s="9">
        <v>9</v>
      </c>
      <c r="I805" s="9">
        <v>22.032</v>
      </c>
      <c r="J805" s="9">
        <v>462.67200000000003</v>
      </c>
      <c r="K805" s="10">
        <v>43528</v>
      </c>
      <c r="L805" s="11">
        <v>0.47708333333333336</v>
      </c>
      <c r="M805" s="9" t="s">
        <v>27</v>
      </c>
      <c r="N805" s="9">
        <v>440.64</v>
      </c>
      <c r="O805" s="9">
        <v>8</v>
      </c>
    </row>
    <row r="806" spans="1:15">
      <c r="A806" s="9" t="s">
        <v>838</v>
      </c>
      <c r="B806" s="9" t="s">
        <v>40</v>
      </c>
      <c r="C806" s="9" t="s">
        <v>41</v>
      </c>
      <c r="D806" s="9" t="s">
        <v>18</v>
      </c>
      <c r="E806" s="9" t="s">
        <v>19</v>
      </c>
      <c r="F806" s="9" t="s">
        <v>26</v>
      </c>
      <c r="G806" s="9">
        <v>75.59</v>
      </c>
      <c r="H806" s="9">
        <v>9</v>
      </c>
      <c r="I806" s="9">
        <v>34.015500000000003</v>
      </c>
      <c r="J806" s="9">
        <v>714.32550000000003</v>
      </c>
      <c r="K806" s="10">
        <v>43519</v>
      </c>
      <c r="L806" s="11">
        <v>0.46666666666666667</v>
      </c>
      <c r="M806" s="9" t="s">
        <v>27</v>
      </c>
      <c r="N806" s="9">
        <v>680.31</v>
      </c>
      <c r="O806" s="9">
        <v>8</v>
      </c>
    </row>
    <row r="807" spans="1:15">
      <c r="A807" s="9" t="s">
        <v>839</v>
      </c>
      <c r="B807" s="9" t="s">
        <v>16</v>
      </c>
      <c r="C807" s="9" t="s">
        <v>17</v>
      </c>
      <c r="D807" s="9" t="s">
        <v>25</v>
      </c>
      <c r="E807" s="9" t="s">
        <v>19</v>
      </c>
      <c r="F807" s="9" t="s">
        <v>30</v>
      </c>
      <c r="G807" s="9">
        <v>77.47</v>
      </c>
      <c r="H807" s="9">
        <v>4</v>
      </c>
      <c r="I807" s="9">
        <v>15.494</v>
      </c>
      <c r="J807" s="9">
        <v>325.37400000000002</v>
      </c>
      <c r="K807" s="10">
        <v>43541</v>
      </c>
      <c r="L807" s="11">
        <v>0.69166666666666665</v>
      </c>
      <c r="M807" s="9" t="s">
        <v>27</v>
      </c>
      <c r="N807" s="9">
        <v>309.88</v>
      </c>
      <c r="O807" s="9">
        <v>4.2</v>
      </c>
    </row>
    <row r="808" spans="1:15">
      <c r="A808" s="9" t="s">
        <v>840</v>
      </c>
      <c r="B808" s="9" t="s">
        <v>16</v>
      </c>
      <c r="C808" s="9" t="s">
        <v>17</v>
      </c>
      <c r="D808" s="9" t="s">
        <v>25</v>
      </c>
      <c r="E808" s="9" t="s">
        <v>19</v>
      </c>
      <c r="F808" s="9" t="s">
        <v>34</v>
      </c>
      <c r="G808" s="9">
        <v>93.18</v>
      </c>
      <c r="H808" s="9">
        <v>2</v>
      </c>
      <c r="I808" s="9">
        <v>9.3179999999999996</v>
      </c>
      <c r="J808" s="9">
        <v>195.678</v>
      </c>
      <c r="K808" s="10">
        <v>43481</v>
      </c>
      <c r="L808" s="11">
        <v>0.77847222222222223</v>
      </c>
      <c r="M808" s="9" t="s">
        <v>31</v>
      </c>
      <c r="N808" s="9">
        <v>186.36</v>
      </c>
      <c r="O808" s="9">
        <v>8.5</v>
      </c>
    </row>
    <row r="809" spans="1:15">
      <c r="A809" s="9" t="s">
        <v>841</v>
      </c>
      <c r="B809" s="9" t="s">
        <v>16</v>
      </c>
      <c r="C809" s="9" t="s">
        <v>17</v>
      </c>
      <c r="D809" s="9" t="s">
        <v>25</v>
      </c>
      <c r="E809" s="9" t="s">
        <v>19</v>
      </c>
      <c r="F809" s="9" t="s">
        <v>26</v>
      </c>
      <c r="G809" s="9">
        <v>50.23</v>
      </c>
      <c r="H809" s="9">
        <v>4</v>
      </c>
      <c r="I809" s="9">
        <v>10.045999999999999</v>
      </c>
      <c r="J809" s="9">
        <v>210.96600000000001</v>
      </c>
      <c r="K809" s="10">
        <v>43473</v>
      </c>
      <c r="L809" s="11">
        <v>0.71666666666666667</v>
      </c>
      <c r="M809" s="9" t="s">
        <v>27</v>
      </c>
      <c r="N809" s="9">
        <v>200.92</v>
      </c>
      <c r="O809" s="9">
        <v>9</v>
      </c>
    </row>
    <row r="810" spans="1:15">
      <c r="A810" s="9" t="s">
        <v>842</v>
      </c>
      <c r="B810" s="9" t="s">
        <v>40</v>
      </c>
      <c r="C810" s="9" t="s">
        <v>41</v>
      </c>
      <c r="D810" s="9" t="s">
        <v>25</v>
      </c>
      <c r="E810" s="9" t="s">
        <v>19</v>
      </c>
      <c r="F810" s="9" t="s">
        <v>20</v>
      </c>
      <c r="G810" s="9">
        <v>17.75</v>
      </c>
      <c r="H810" s="9">
        <v>1</v>
      </c>
      <c r="I810" s="9">
        <v>0.88749999999999996</v>
      </c>
      <c r="J810" s="9">
        <v>18.637499999999999</v>
      </c>
      <c r="K810" s="10">
        <v>43479</v>
      </c>
      <c r="L810" s="11">
        <v>0.44305555555555554</v>
      </c>
      <c r="M810" s="9" t="s">
        <v>27</v>
      </c>
      <c r="N810" s="9">
        <v>17.75</v>
      </c>
      <c r="O810" s="9">
        <v>8.6</v>
      </c>
    </row>
    <row r="811" spans="1:15">
      <c r="A811" s="9" t="s">
        <v>843</v>
      </c>
      <c r="B811" s="9" t="s">
        <v>23</v>
      </c>
      <c r="C811" s="9" t="s">
        <v>24</v>
      </c>
      <c r="D811" s="9" t="s">
        <v>25</v>
      </c>
      <c r="E811" s="9" t="s">
        <v>19</v>
      </c>
      <c r="F811" s="9" t="s">
        <v>44</v>
      </c>
      <c r="G811" s="9">
        <v>62.18</v>
      </c>
      <c r="H811" s="9">
        <v>10</v>
      </c>
      <c r="I811" s="9">
        <v>31.09</v>
      </c>
      <c r="J811" s="9">
        <v>652.89</v>
      </c>
      <c r="K811" s="10">
        <v>43496</v>
      </c>
      <c r="L811" s="11">
        <v>0.43958333333333333</v>
      </c>
      <c r="M811" s="9" t="s">
        <v>21</v>
      </c>
      <c r="N811" s="9">
        <v>621.79999999999995</v>
      </c>
      <c r="O811" s="9">
        <v>6</v>
      </c>
    </row>
    <row r="812" spans="1:15">
      <c r="A812" s="9" t="s">
        <v>844</v>
      </c>
      <c r="B812" s="9" t="s">
        <v>40</v>
      </c>
      <c r="C812" s="9" t="s">
        <v>41</v>
      </c>
      <c r="D812" s="9" t="s">
        <v>25</v>
      </c>
      <c r="E812" s="9" t="s">
        <v>29</v>
      </c>
      <c r="F812" s="9" t="s">
        <v>20</v>
      </c>
      <c r="G812" s="9">
        <v>10.75</v>
      </c>
      <c r="H812" s="9">
        <v>8</v>
      </c>
      <c r="I812" s="9">
        <v>4.3</v>
      </c>
      <c r="J812" s="9">
        <v>90.3</v>
      </c>
      <c r="K812" s="10">
        <v>43539</v>
      </c>
      <c r="L812" s="11">
        <v>0.60972222222222228</v>
      </c>
      <c r="M812" s="9" t="s">
        <v>21</v>
      </c>
      <c r="N812" s="9">
        <v>86</v>
      </c>
      <c r="O812" s="9">
        <v>6.2</v>
      </c>
    </row>
    <row r="813" spans="1:15">
      <c r="A813" s="9" t="s">
        <v>845</v>
      </c>
      <c r="B813" s="9" t="s">
        <v>16</v>
      </c>
      <c r="C813" s="9" t="s">
        <v>17</v>
      </c>
      <c r="D813" s="9" t="s">
        <v>25</v>
      </c>
      <c r="E813" s="9" t="s">
        <v>19</v>
      </c>
      <c r="F813" s="9" t="s">
        <v>26</v>
      </c>
      <c r="G813" s="9">
        <v>40.26</v>
      </c>
      <c r="H813" s="9">
        <v>10</v>
      </c>
      <c r="I813" s="9">
        <v>20.13</v>
      </c>
      <c r="J813" s="9">
        <v>422.73</v>
      </c>
      <c r="K813" s="10">
        <v>43520</v>
      </c>
      <c r="L813" s="11">
        <v>0.75416666666666665</v>
      </c>
      <c r="M813" s="9" t="s">
        <v>31</v>
      </c>
      <c r="N813" s="9">
        <v>402.6</v>
      </c>
      <c r="O813" s="9">
        <v>5</v>
      </c>
    </row>
    <row r="814" spans="1:15">
      <c r="A814" s="9" t="s">
        <v>846</v>
      </c>
      <c r="B814" s="9" t="s">
        <v>23</v>
      </c>
      <c r="C814" s="9" t="s">
        <v>24</v>
      </c>
      <c r="D814" s="9" t="s">
        <v>18</v>
      </c>
      <c r="E814" s="9" t="s">
        <v>19</v>
      </c>
      <c r="F814" s="9" t="s">
        <v>34</v>
      </c>
      <c r="G814" s="9">
        <v>64.97</v>
      </c>
      <c r="H814" s="9">
        <v>5</v>
      </c>
      <c r="I814" s="9">
        <v>16.2425</v>
      </c>
      <c r="J814" s="9">
        <v>341.09249999999997</v>
      </c>
      <c r="K814" s="10">
        <v>43504</v>
      </c>
      <c r="L814" s="11">
        <v>0.53611111111111109</v>
      </c>
      <c r="M814" s="9" t="s">
        <v>31</v>
      </c>
      <c r="N814" s="9">
        <v>324.85000000000002</v>
      </c>
      <c r="O814" s="9">
        <v>6.5</v>
      </c>
    </row>
    <row r="815" spans="1:15">
      <c r="A815" s="9" t="s">
        <v>847</v>
      </c>
      <c r="B815" s="9" t="s">
        <v>16</v>
      </c>
      <c r="C815" s="9" t="s">
        <v>17</v>
      </c>
      <c r="D815" s="9" t="s">
        <v>25</v>
      </c>
      <c r="E815" s="9" t="s">
        <v>29</v>
      </c>
      <c r="F815" s="9" t="s">
        <v>26</v>
      </c>
      <c r="G815" s="9">
        <v>95.15</v>
      </c>
      <c r="H815" s="9">
        <v>1</v>
      </c>
      <c r="I815" s="9">
        <v>4.7575000000000003</v>
      </c>
      <c r="J815" s="9">
        <v>99.907499999999999</v>
      </c>
      <c r="K815" s="10">
        <v>43546</v>
      </c>
      <c r="L815" s="11">
        <v>0.58333333333333337</v>
      </c>
      <c r="M815" s="9" t="s">
        <v>27</v>
      </c>
      <c r="N815" s="9">
        <v>95.15</v>
      </c>
      <c r="O815" s="9">
        <v>6</v>
      </c>
    </row>
    <row r="816" spans="1:15">
      <c r="A816" s="9" t="s">
        <v>848</v>
      </c>
      <c r="B816" s="9" t="s">
        <v>16</v>
      </c>
      <c r="C816" s="9" t="s">
        <v>17</v>
      </c>
      <c r="D816" s="9" t="s">
        <v>18</v>
      </c>
      <c r="E816" s="9" t="s">
        <v>19</v>
      </c>
      <c r="F816" s="9" t="s">
        <v>26</v>
      </c>
      <c r="G816" s="9">
        <v>48.62</v>
      </c>
      <c r="H816" s="9">
        <v>8</v>
      </c>
      <c r="I816" s="9">
        <v>19.448</v>
      </c>
      <c r="J816" s="9">
        <v>408.40800000000002</v>
      </c>
      <c r="K816" s="10">
        <v>43489</v>
      </c>
      <c r="L816" s="11">
        <v>0.45624999999999999</v>
      </c>
      <c r="M816" s="9" t="s">
        <v>27</v>
      </c>
      <c r="N816" s="9">
        <v>388.96</v>
      </c>
      <c r="O816" s="9">
        <v>5</v>
      </c>
    </row>
    <row r="817" spans="1:15">
      <c r="A817" s="9" t="s">
        <v>849</v>
      </c>
      <c r="B817" s="9" t="s">
        <v>40</v>
      </c>
      <c r="C817" s="9" t="s">
        <v>41</v>
      </c>
      <c r="D817" s="9" t="s">
        <v>25</v>
      </c>
      <c r="E817" s="9" t="s">
        <v>19</v>
      </c>
      <c r="F817" s="9" t="s">
        <v>42</v>
      </c>
      <c r="G817" s="9">
        <v>53.21</v>
      </c>
      <c r="H817" s="9">
        <v>8</v>
      </c>
      <c r="I817" s="9">
        <v>21.283999999999999</v>
      </c>
      <c r="J817" s="9">
        <v>446.964</v>
      </c>
      <c r="K817" s="10">
        <v>43538</v>
      </c>
      <c r="L817" s="11">
        <v>0.69791666666666663</v>
      </c>
      <c r="M817" s="9" t="s">
        <v>21</v>
      </c>
      <c r="N817" s="9">
        <v>425.68</v>
      </c>
      <c r="O817" s="9">
        <v>5</v>
      </c>
    </row>
    <row r="818" spans="1:15">
      <c r="A818" s="9" t="s">
        <v>850</v>
      </c>
      <c r="B818" s="9" t="s">
        <v>23</v>
      </c>
      <c r="C818" s="9" t="s">
        <v>24</v>
      </c>
      <c r="D818" s="9" t="s">
        <v>25</v>
      </c>
      <c r="E818" s="9" t="s">
        <v>19</v>
      </c>
      <c r="F818" s="9" t="s">
        <v>44</v>
      </c>
      <c r="G818" s="9">
        <v>45.44</v>
      </c>
      <c r="H818" s="9">
        <v>7</v>
      </c>
      <c r="I818" s="9">
        <v>15.904</v>
      </c>
      <c r="J818" s="9">
        <v>333.98399999999998</v>
      </c>
      <c r="K818" s="10">
        <v>43488</v>
      </c>
      <c r="L818" s="11">
        <v>0.46875</v>
      </c>
      <c r="M818" s="9" t="s">
        <v>27</v>
      </c>
      <c r="N818" s="9">
        <v>318.08</v>
      </c>
      <c r="O818" s="9">
        <v>9.1999999999999993</v>
      </c>
    </row>
    <row r="819" spans="1:15">
      <c r="A819" s="9" t="s">
        <v>851</v>
      </c>
      <c r="B819" s="9" t="s">
        <v>16</v>
      </c>
      <c r="C819" s="9" t="s">
        <v>17</v>
      </c>
      <c r="D819" s="9" t="s">
        <v>25</v>
      </c>
      <c r="E819" s="9" t="s">
        <v>29</v>
      </c>
      <c r="F819" s="9" t="s">
        <v>42</v>
      </c>
      <c r="G819" s="9">
        <v>33.880000000000003</v>
      </c>
      <c r="H819" s="9">
        <v>8</v>
      </c>
      <c r="I819" s="9">
        <v>13.552</v>
      </c>
      <c r="J819" s="9">
        <v>284.59199999999998</v>
      </c>
      <c r="K819" s="10">
        <v>43484</v>
      </c>
      <c r="L819" s="11">
        <v>0.85347222222222219</v>
      </c>
      <c r="M819" s="9" t="s">
        <v>21</v>
      </c>
      <c r="N819" s="9">
        <v>271.04000000000002</v>
      </c>
      <c r="O819" s="9">
        <v>9.6</v>
      </c>
    </row>
    <row r="820" spans="1:15">
      <c r="A820" s="9" t="s">
        <v>852</v>
      </c>
      <c r="B820" s="9" t="s">
        <v>40</v>
      </c>
      <c r="C820" s="9" t="s">
        <v>41</v>
      </c>
      <c r="D820" s="9" t="s">
        <v>18</v>
      </c>
      <c r="E820" s="9" t="s">
        <v>29</v>
      </c>
      <c r="F820" s="9" t="s">
        <v>20</v>
      </c>
      <c r="G820" s="9">
        <v>96.16</v>
      </c>
      <c r="H820" s="9">
        <v>4</v>
      </c>
      <c r="I820" s="9">
        <v>19.231999999999999</v>
      </c>
      <c r="J820" s="9">
        <v>403.87200000000001</v>
      </c>
      <c r="K820" s="10">
        <v>43492</v>
      </c>
      <c r="L820" s="11">
        <v>0.8354166666666667</v>
      </c>
      <c r="M820" s="9" t="s">
        <v>31</v>
      </c>
      <c r="N820" s="9">
        <v>384.64</v>
      </c>
      <c r="O820" s="9">
        <v>8.4</v>
      </c>
    </row>
    <row r="821" spans="1:15">
      <c r="A821" s="9" t="s">
        <v>853</v>
      </c>
      <c r="B821" s="9" t="s">
        <v>40</v>
      </c>
      <c r="C821" s="9" t="s">
        <v>41</v>
      </c>
      <c r="D821" s="9" t="s">
        <v>18</v>
      </c>
      <c r="E821" s="9" t="s">
        <v>29</v>
      </c>
      <c r="F821" s="9" t="s">
        <v>42</v>
      </c>
      <c r="G821" s="9">
        <v>47.16</v>
      </c>
      <c r="H821" s="9">
        <v>5</v>
      </c>
      <c r="I821" s="9">
        <v>11.79</v>
      </c>
      <c r="J821" s="9">
        <v>247.59</v>
      </c>
      <c r="K821" s="10">
        <v>43499</v>
      </c>
      <c r="L821" s="11">
        <v>0.60763888888888884</v>
      </c>
      <c r="M821" s="9" t="s">
        <v>31</v>
      </c>
      <c r="N821" s="9">
        <v>235.8</v>
      </c>
      <c r="O821" s="9">
        <v>6</v>
      </c>
    </row>
    <row r="822" spans="1:15">
      <c r="A822" s="9" t="s">
        <v>854</v>
      </c>
      <c r="B822" s="9" t="s">
        <v>40</v>
      </c>
      <c r="C822" s="9" t="s">
        <v>41</v>
      </c>
      <c r="D822" s="9" t="s">
        <v>25</v>
      </c>
      <c r="E822" s="9" t="s">
        <v>29</v>
      </c>
      <c r="F822" s="9" t="s">
        <v>26</v>
      </c>
      <c r="G822" s="9">
        <v>52.89</v>
      </c>
      <c r="H822" s="9">
        <v>4</v>
      </c>
      <c r="I822" s="9">
        <v>10.577999999999999</v>
      </c>
      <c r="J822" s="9">
        <v>222.13800000000001</v>
      </c>
      <c r="K822" s="10">
        <v>43549</v>
      </c>
      <c r="L822" s="11">
        <v>0.68888888888888888</v>
      </c>
      <c r="M822" s="9" t="s">
        <v>21</v>
      </c>
      <c r="N822" s="9">
        <v>211.56</v>
      </c>
      <c r="O822" s="9">
        <v>6.7</v>
      </c>
    </row>
    <row r="823" spans="1:15">
      <c r="A823" s="9" t="s">
        <v>855</v>
      </c>
      <c r="B823" s="9" t="s">
        <v>16</v>
      </c>
      <c r="C823" s="9" t="s">
        <v>17</v>
      </c>
      <c r="D823" s="9" t="s">
        <v>18</v>
      </c>
      <c r="E823" s="9" t="s">
        <v>19</v>
      </c>
      <c r="F823" s="9" t="s">
        <v>30</v>
      </c>
      <c r="G823" s="9">
        <v>47.68</v>
      </c>
      <c r="H823" s="9">
        <v>2</v>
      </c>
      <c r="I823" s="9">
        <v>4.7679999999999998</v>
      </c>
      <c r="J823" s="9">
        <v>100.128</v>
      </c>
      <c r="K823" s="10">
        <v>43520</v>
      </c>
      <c r="L823" s="11">
        <v>0.4236111111111111</v>
      </c>
      <c r="M823" s="9" t="s">
        <v>31</v>
      </c>
      <c r="N823" s="9">
        <v>95.36</v>
      </c>
      <c r="O823" s="9">
        <v>4.0999999999999996</v>
      </c>
    </row>
    <row r="824" spans="1:15">
      <c r="A824" s="9" t="s">
        <v>856</v>
      </c>
      <c r="B824" s="9" t="s">
        <v>23</v>
      </c>
      <c r="C824" s="9" t="s">
        <v>24</v>
      </c>
      <c r="D824" s="9" t="s">
        <v>18</v>
      </c>
      <c r="E824" s="9" t="s">
        <v>29</v>
      </c>
      <c r="F824" s="9" t="s">
        <v>34</v>
      </c>
      <c r="G824" s="9">
        <v>10.17</v>
      </c>
      <c r="H824" s="9">
        <v>1</v>
      </c>
      <c r="I824" s="9">
        <v>0.50849999999999995</v>
      </c>
      <c r="J824" s="9">
        <v>10.6785</v>
      </c>
      <c r="K824" s="10">
        <v>43503</v>
      </c>
      <c r="L824" s="11">
        <v>0.59375</v>
      </c>
      <c r="M824" s="9" t="s">
        <v>27</v>
      </c>
      <c r="N824" s="9">
        <v>10.17</v>
      </c>
      <c r="O824" s="9">
        <v>5.9</v>
      </c>
    </row>
    <row r="825" spans="1:15">
      <c r="A825" s="9" t="s">
        <v>857</v>
      </c>
      <c r="B825" s="9" t="s">
        <v>16</v>
      </c>
      <c r="C825" s="9" t="s">
        <v>17</v>
      </c>
      <c r="D825" s="9" t="s">
        <v>25</v>
      </c>
      <c r="E825" s="9" t="s">
        <v>19</v>
      </c>
      <c r="F825" s="9" t="s">
        <v>20</v>
      </c>
      <c r="G825" s="9">
        <v>68.709999999999994</v>
      </c>
      <c r="H825" s="9">
        <v>3</v>
      </c>
      <c r="I825" s="9">
        <v>10.3065</v>
      </c>
      <c r="J825" s="9">
        <v>216.4365</v>
      </c>
      <c r="K825" s="10">
        <v>43528</v>
      </c>
      <c r="L825" s="11">
        <v>0.4201388888888889</v>
      </c>
      <c r="M825" s="9" t="s">
        <v>27</v>
      </c>
      <c r="N825" s="9">
        <v>206.13</v>
      </c>
      <c r="O825" s="9">
        <v>8.6999999999999993</v>
      </c>
    </row>
    <row r="826" spans="1:15">
      <c r="A826" s="9" t="s">
        <v>858</v>
      </c>
      <c r="B826" s="9" t="s">
        <v>40</v>
      </c>
      <c r="C826" s="9" t="s">
        <v>41</v>
      </c>
      <c r="D826" s="9" t="s">
        <v>18</v>
      </c>
      <c r="E826" s="9" t="s">
        <v>19</v>
      </c>
      <c r="F826" s="9" t="s">
        <v>34</v>
      </c>
      <c r="G826" s="9">
        <v>60.08</v>
      </c>
      <c r="H826" s="9">
        <v>7</v>
      </c>
      <c r="I826" s="9">
        <v>21.027999999999999</v>
      </c>
      <c r="J826" s="9">
        <v>441.58800000000002</v>
      </c>
      <c r="K826" s="10">
        <v>43510</v>
      </c>
      <c r="L826" s="11">
        <v>0.48333333333333334</v>
      </c>
      <c r="M826" s="9" t="s">
        <v>31</v>
      </c>
      <c r="N826" s="9">
        <v>420.56</v>
      </c>
      <c r="O826" s="9">
        <v>4.5</v>
      </c>
    </row>
    <row r="827" spans="1:15">
      <c r="A827" s="9" t="s">
        <v>859</v>
      </c>
      <c r="B827" s="9" t="s">
        <v>16</v>
      </c>
      <c r="C827" s="9" t="s">
        <v>17</v>
      </c>
      <c r="D827" s="9" t="s">
        <v>18</v>
      </c>
      <c r="E827" s="9" t="s">
        <v>19</v>
      </c>
      <c r="F827" s="9" t="s">
        <v>34</v>
      </c>
      <c r="G827" s="9">
        <v>22.01</v>
      </c>
      <c r="H827" s="9">
        <v>4</v>
      </c>
      <c r="I827" s="9">
        <v>4.4020000000000001</v>
      </c>
      <c r="J827" s="9">
        <v>92.441999999999993</v>
      </c>
      <c r="K827" s="10">
        <v>43494</v>
      </c>
      <c r="L827" s="11">
        <v>0.76041666666666663</v>
      </c>
      <c r="M827" s="9" t="s">
        <v>31</v>
      </c>
      <c r="N827" s="9">
        <v>88.04</v>
      </c>
      <c r="O827" s="9">
        <v>6.6</v>
      </c>
    </row>
    <row r="828" spans="1:15">
      <c r="A828" s="9" t="s">
        <v>860</v>
      </c>
      <c r="B828" s="9" t="s">
        <v>40</v>
      </c>
      <c r="C828" s="9" t="s">
        <v>41</v>
      </c>
      <c r="D828" s="9" t="s">
        <v>18</v>
      </c>
      <c r="E828" s="9" t="s">
        <v>19</v>
      </c>
      <c r="F828" s="9" t="s">
        <v>20</v>
      </c>
      <c r="G828" s="9">
        <v>72.11</v>
      </c>
      <c r="H828" s="9">
        <v>9</v>
      </c>
      <c r="I828" s="9">
        <v>32.4495</v>
      </c>
      <c r="J828" s="9">
        <v>681.43949999999995</v>
      </c>
      <c r="K828" s="10">
        <v>43493</v>
      </c>
      <c r="L828" s="11">
        <v>0.57847222222222228</v>
      </c>
      <c r="M828" s="9" t="s">
        <v>31</v>
      </c>
      <c r="N828" s="9">
        <v>648.99</v>
      </c>
      <c r="O828" s="9">
        <v>7.7</v>
      </c>
    </row>
    <row r="829" spans="1:15">
      <c r="A829" s="9" t="s">
        <v>861</v>
      </c>
      <c r="B829" s="9" t="s">
        <v>16</v>
      </c>
      <c r="C829" s="9" t="s">
        <v>17</v>
      </c>
      <c r="D829" s="9" t="s">
        <v>18</v>
      </c>
      <c r="E829" s="9" t="s">
        <v>29</v>
      </c>
      <c r="F829" s="9" t="s">
        <v>44</v>
      </c>
      <c r="G829" s="9">
        <v>41.28</v>
      </c>
      <c r="H829" s="9">
        <v>3</v>
      </c>
      <c r="I829" s="9">
        <v>6.1920000000000002</v>
      </c>
      <c r="J829" s="9">
        <v>130.03200000000001</v>
      </c>
      <c r="K829" s="10">
        <v>43550</v>
      </c>
      <c r="L829" s="11">
        <v>0.77569444444444446</v>
      </c>
      <c r="M829" s="9" t="s">
        <v>31</v>
      </c>
      <c r="N829" s="9">
        <v>123.84</v>
      </c>
      <c r="O829" s="9">
        <v>8.5</v>
      </c>
    </row>
    <row r="830" spans="1:15">
      <c r="A830" s="9" t="s">
        <v>862</v>
      </c>
      <c r="B830" s="9" t="s">
        <v>23</v>
      </c>
      <c r="C830" s="9" t="s">
        <v>24</v>
      </c>
      <c r="D830" s="9" t="s">
        <v>25</v>
      </c>
      <c r="E830" s="9" t="s">
        <v>29</v>
      </c>
      <c r="F830" s="9" t="s">
        <v>26</v>
      </c>
      <c r="G830" s="9">
        <v>64.95</v>
      </c>
      <c r="H830" s="9">
        <v>10</v>
      </c>
      <c r="I830" s="9">
        <v>32.475000000000001</v>
      </c>
      <c r="J830" s="9">
        <v>681.97500000000002</v>
      </c>
      <c r="K830" s="10">
        <v>43548</v>
      </c>
      <c r="L830" s="11">
        <v>0.76875000000000004</v>
      </c>
      <c r="M830" s="9" t="s">
        <v>27</v>
      </c>
      <c r="N830" s="9">
        <v>649.5</v>
      </c>
      <c r="O830" s="9">
        <v>5.2</v>
      </c>
    </row>
    <row r="831" spans="1:15">
      <c r="A831" s="9" t="s">
        <v>863</v>
      </c>
      <c r="B831" s="9" t="s">
        <v>16</v>
      </c>
      <c r="C831" s="9" t="s">
        <v>17</v>
      </c>
      <c r="D831" s="9" t="s">
        <v>18</v>
      </c>
      <c r="E831" s="9" t="s">
        <v>19</v>
      </c>
      <c r="F831" s="9" t="s">
        <v>26</v>
      </c>
      <c r="G831" s="9">
        <v>74.22</v>
      </c>
      <c r="H831" s="9">
        <v>10</v>
      </c>
      <c r="I831" s="9">
        <v>37.11</v>
      </c>
      <c r="J831" s="9">
        <v>779.31</v>
      </c>
      <c r="K831" s="10">
        <v>43466</v>
      </c>
      <c r="L831" s="11">
        <v>0.61250000000000004</v>
      </c>
      <c r="M831" s="9" t="s">
        <v>31</v>
      </c>
      <c r="N831" s="9">
        <v>742.2</v>
      </c>
      <c r="O831" s="9">
        <v>4.3</v>
      </c>
    </row>
    <row r="832" spans="1:15">
      <c r="A832" s="9" t="s">
        <v>864</v>
      </c>
      <c r="B832" s="9" t="s">
        <v>16</v>
      </c>
      <c r="C832" s="9" t="s">
        <v>17</v>
      </c>
      <c r="D832" s="9" t="s">
        <v>25</v>
      </c>
      <c r="E832" s="9" t="s">
        <v>29</v>
      </c>
      <c r="F832" s="9" t="s">
        <v>26</v>
      </c>
      <c r="G832" s="9">
        <v>10.56</v>
      </c>
      <c r="H832" s="9">
        <v>8</v>
      </c>
      <c r="I832" s="9">
        <v>4.2240000000000002</v>
      </c>
      <c r="J832" s="9">
        <v>88.703999999999994</v>
      </c>
      <c r="K832" s="10">
        <v>43489</v>
      </c>
      <c r="L832" s="11">
        <v>0.73819444444444449</v>
      </c>
      <c r="M832" s="9" t="s">
        <v>27</v>
      </c>
      <c r="N832" s="9">
        <v>84.48</v>
      </c>
      <c r="O832" s="9">
        <v>7.6</v>
      </c>
    </row>
    <row r="833" spans="1:15">
      <c r="A833" s="9" t="s">
        <v>865</v>
      </c>
      <c r="B833" s="9" t="s">
        <v>40</v>
      </c>
      <c r="C833" s="9" t="s">
        <v>41</v>
      </c>
      <c r="D833" s="9" t="s">
        <v>25</v>
      </c>
      <c r="E833" s="9" t="s">
        <v>29</v>
      </c>
      <c r="F833" s="9" t="s">
        <v>20</v>
      </c>
      <c r="G833" s="9">
        <v>62.57</v>
      </c>
      <c r="H833" s="9">
        <v>4</v>
      </c>
      <c r="I833" s="9">
        <v>12.513999999999999</v>
      </c>
      <c r="J833" s="9">
        <v>262.79399999999998</v>
      </c>
      <c r="K833" s="10">
        <v>43521</v>
      </c>
      <c r="L833" s="11">
        <v>0.77569444444444446</v>
      </c>
      <c r="M833" s="9" t="s">
        <v>27</v>
      </c>
      <c r="N833" s="9">
        <v>250.28</v>
      </c>
      <c r="O833" s="9">
        <v>9.5</v>
      </c>
    </row>
    <row r="834" spans="1:15">
      <c r="A834" s="9" t="s">
        <v>866</v>
      </c>
      <c r="B834" s="9" t="s">
        <v>40</v>
      </c>
      <c r="C834" s="9" t="s">
        <v>41</v>
      </c>
      <c r="D834" s="9" t="s">
        <v>18</v>
      </c>
      <c r="E834" s="9" t="s">
        <v>19</v>
      </c>
      <c r="F834" s="9" t="s">
        <v>34</v>
      </c>
      <c r="G834" s="9">
        <v>11.85</v>
      </c>
      <c r="H834" s="9">
        <v>8</v>
      </c>
      <c r="I834" s="9">
        <v>4.74</v>
      </c>
      <c r="J834" s="9">
        <v>99.54</v>
      </c>
      <c r="K834" s="10">
        <v>43474</v>
      </c>
      <c r="L834" s="11">
        <v>0.69027777777777777</v>
      </c>
      <c r="M834" s="9" t="s">
        <v>27</v>
      </c>
      <c r="N834" s="9">
        <v>94.8</v>
      </c>
      <c r="O834" s="9">
        <v>4.0999999999999996</v>
      </c>
    </row>
    <row r="835" spans="1:15">
      <c r="A835" s="9" t="s">
        <v>867</v>
      </c>
      <c r="B835" s="9" t="s">
        <v>16</v>
      </c>
      <c r="C835" s="9" t="s">
        <v>17</v>
      </c>
      <c r="D835" s="9" t="s">
        <v>18</v>
      </c>
      <c r="E835" s="9" t="s">
        <v>29</v>
      </c>
      <c r="F835" s="9" t="s">
        <v>20</v>
      </c>
      <c r="G835" s="9">
        <v>91.3</v>
      </c>
      <c r="H835" s="9">
        <v>1</v>
      </c>
      <c r="I835" s="9">
        <v>4.5650000000000004</v>
      </c>
      <c r="J835" s="9">
        <v>95.864999999999995</v>
      </c>
      <c r="K835" s="10">
        <v>43510</v>
      </c>
      <c r="L835" s="11">
        <v>0.61250000000000004</v>
      </c>
      <c r="M835" s="9" t="s">
        <v>21</v>
      </c>
      <c r="N835" s="9">
        <v>91.3</v>
      </c>
      <c r="O835" s="9">
        <v>9.1999999999999993</v>
      </c>
    </row>
    <row r="836" spans="1:15">
      <c r="A836" s="9" t="s">
        <v>868</v>
      </c>
      <c r="B836" s="9" t="s">
        <v>40</v>
      </c>
      <c r="C836" s="9" t="s">
        <v>41</v>
      </c>
      <c r="D836" s="9" t="s">
        <v>18</v>
      </c>
      <c r="E836" s="9" t="s">
        <v>19</v>
      </c>
      <c r="F836" s="9" t="s">
        <v>30</v>
      </c>
      <c r="G836" s="9">
        <v>40.729999999999997</v>
      </c>
      <c r="H836" s="9">
        <v>7</v>
      </c>
      <c r="I836" s="9">
        <v>14.2555</v>
      </c>
      <c r="J836" s="9">
        <v>299.3655</v>
      </c>
      <c r="K836" s="10">
        <v>43536</v>
      </c>
      <c r="L836" s="11">
        <v>0.45902777777777776</v>
      </c>
      <c r="M836" s="9" t="s">
        <v>21</v>
      </c>
      <c r="N836" s="9">
        <v>285.11</v>
      </c>
      <c r="O836" s="9">
        <v>5.4</v>
      </c>
    </row>
    <row r="837" spans="1:15">
      <c r="A837" s="9" t="s">
        <v>869</v>
      </c>
      <c r="B837" s="9" t="s">
        <v>16</v>
      </c>
      <c r="C837" s="9" t="s">
        <v>17</v>
      </c>
      <c r="D837" s="9" t="s">
        <v>25</v>
      </c>
      <c r="E837" s="9" t="s">
        <v>29</v>
      </c>
      <c r="F837" s="9" t="s">
        <v>44</v>
      </c>
      <c r="G837" s="9">
        <v>52.38</v>
      </c>
      <c r="H837" s="9">
        <v>1</v>
      </c>
      <c r="I837" s="9">
        <v>2.6190000000000002</v>
      </c>
      <c r="J837" s="9">
        <v>54.999000000000002</v>
      </c>
      <c r="K837" s="10">
        <v>43550</v>
      </c>
      <c r="L837" s="11">
        <v>0.82222222222222219</v>
      </c>
      <c r="M837" s="9" t="s">
        <v>27</v>
      </c>
      <c r="N837" s="9">
        <v>52.38</v>
      </c>
      <c r="O837" s="9">
        <v>5.8</v>
      </c>
    </row>
    <row r="838" spans="1:15">
      <c r="A838" s="9" t="s">
        <v>870</v>
      </c>
      <c r="B838" s="9" t="s">
        <v>16</v>
      </c>
      <c r="C838" s="9" t="s">
        <v>17</v>
      </c>
      <c r="D838" s="9" t="s">
        <v>18</v>
      </c>
      <c r="E838" s="9" t="s">
        <v>29</v>
      </c>
      <c r="F838" s="9" t="s">
        <v>44</v>
      </c>
      <c r="G838" s="9">
        <v>38.54</v>
      </c>
      <c r="H838" s="9">
        <v>5</v>
      </c>
      <c r="I838" s="9">
        <v>9.6349999999999998</v>
      </c>
      <c r="J838" s="9">
        <v>202.33500000000001</v>
      </c>
      <c r="K838" s="10">
        <v>43474</v>
      </c>
      <c r="L838" s="11">
        <v>0.56527777777777777</v>
      </c>
      <c r="M838" s="9" t="s">
        <v>21</v>
      </c>
      <c r="N838" s="9">
        <v>192.7</v>
      </c>
      <c r="O838" s="9">
        <v>5.6</v>
      </c>
    </row>
    <row r="839" spans="1:15">
      <c r="A839" s="9" t="s">
        <v>871</v>
      </c>
      <c r="B839" s="9" t="s">
        <v>40</v>
      </c>
      <c r="C839" s="9" t="s">
        <v>41</v>
      </c>
      <c r="D839" s="9" t="s">
        <v>25</v>
      </c>
      <c r="E839" s="9" t="s">
        <v>29</v>
      </c>
      <c r="F839" s="9" t="s">
        <v>34</v>
      </c>
      <c r="G839" s="9">
        <v>44.63</v>
      </c>
      <c r="H839" s="9">
        <v>6</v>
      </c>
      <c r="I839" s="9">
        <v>13.388999999999999</v>
      </c>
      <c r="J839" s="9">
        <v>281.16899999999998</v>
      </c>
      <c r="K839" s="10">
        <v>43467</v>
      </c>
      <c r="L839" s="11">
        <v>0.83888888888888891</v>
      </c>
      <c r="M839" s="9" t="s">
        <v>31</v>
      </c>
      <c r="N839" s="9">
        <v>267.77999999999997</v>
      </c>
      <c r="O839" s="9">
        <v>5.0999999999999996</v>
      </c>
    </row>
    <row r="840" spans="1:15">
      <c r="A840" s="9" t="s">
        <v>872</v>
      </c>
      <c r="B840" s="9" t="s">
        <v>23</v>
      </c>
      <c r="C840" s="9" t="s">
        <v>24</v>
      </c>
      <c r="D840" s="9" t="s">
        <v>25</v>
      </c>
      <c r="E840" s="9" t="s">
        <v>29</v>
      </c>
      <c r="F840" s="9" t="s">
        <v>26</v>
      </c>
      <c r="G840" s="9">
        <v>55.87</v>
      </c>
      <c r="H840" s="9">
        <v>10</v>
      </c>
      <c r="I840" s="9">
        <v>27.934999999999999</v>
      </c>
      <c r="J840" s="9">
        <v>586.63499999999999</v>
      </c>
      <c r="K840" s="10">
        <v>43480</v>
      </c>
      <c r="L840" s="11">
        <v>0.62569444444444444</v>
      </c>
      <c r="M840" s="9" t="s">
        <v>27</v>
      </c>
      <c r="N840" s="9">
        <v>558.70000000000005</v>
      </c>
      <c r="O840" s="9">
        <v>5.8</v>
      </c>
    </row>
    <row r="841" spans="1:15">
      <c r="A841" s="9" t="s">
        <v>873</v>
      </c>
      <c r="B841" s="9" t="s">
        <v>23</v>
      </c>
      <c r="C841" s="9" t="s">
        <v>24</v>
      </c>
      <c r="D841" s="9" t="s">
        <v>18</v>
      </c>
      <c r="E841" s="9" t="s">
        <v>19</v>
      </c>
      <c r="F841" s="9" t="s">
        <v>34</v>
      </c>
      <c r="G841" s="9">
        <v>29.22</v>
      </c>
      <c r="H841" s="9">
        <v>6</v>
      </c>
      <c r="I841" s="9">
        <v>8.766</v>
      </c>
      <c r="J841" s="9">
        <v>184.08600000000001</v>
      </c>
      <c r="K841" s="10">
        <v>43466</v>
      </c>
      <c r="L841" s="11">
        <v>0.4861111111111111</v>
      </c>
      <c r="M841" s="9" t="s">
        <v>21</v>
      </c>
      <c r="N841" s="9">
        <v>175.32</v>
      </c>
      <c r="O841" s="9">
        <v>5</v>
      </c>
    </row>
    <row r="842" spans="1:15">
      <c r="A842" s="9" t="s">
        <v>874</v>
      </c>
      <c r="B842" s="9" t="s">
        <v>16</v>
      </c>
      <c r="C842" s="9" t="s">
        <v>17</v>
      </c>
      <c r="D842" s="9" t="s">
        <v>25</v>
      </c>
      <c r="E842" s="9" t="s">
        <v>29</v>
      </c>
      <c r="F842" s="9" t="s">
        <v>44</v>
      </c>
      <c r="G842" s="9">
        <v>51.94</v>
      </c>
      <c r="H842" s="9">
        <v>3</v>
      </c>
      <c r="I842" s="9">
        <v>7.7910000000000004</v>
      </c>
      <c r="J842" s="9">
        <v>163.61099999999999</v>
      </c>
      <c r="K842" s="10">
        <v>43511</v>
      </c>
      <c r="L842" s="11">
        <v>0.63958333333333328</v>
      </c>
      <c r="M842" s="9" t="s">
        <v>27</v>
      </c>
      <c r="N842" s="9">
        <v>155.82</v>
      </c>
      <c r="O842" s="9">
        <v>7.9</v>
      </c>
    </row>
    <row r="843" spans="1:15">
      <c r="A843" s="9" t="s">
        <v>875</v>
      </c>
      <c r="B843" s="9" t="s">
        <v>40</v>
      </c>
      <c r="C843" s="9" t="s">
        <v>41</v>
      </c>
      <c r="D843" s="9" t="s">
        <v>25</v>
      </c>
      <c r="E843" s="9" t="s">
        <v>29</v>
      </c>
      <c r="F843" s="9" t="s">
        <v>26</v>
      </c>
      <c r="G843" s="9">
        <v>60.3</v>
      </c>
      <c r="H843" s="9">
        <v>1</v>
      </c>
      <c r="I843" s="9">
        <v>3.0150000000000001</v>
      </c>
      <c r="J843" s="9">
        <v>63.314999999999998</v>
      </c>
      <c r="K843" s="10">
        <v>43524</v>
      </c>
      <c r="L843" s="11">
        <v>0.73472222222222228</v>
      </c>
      <c r="M843" s="9" t="s">
        <v>27</v>
      </c>
      <c r="N843" s="9">
        <v>60.3</v>
      </c>
      <c r="O843" s="9">
        <v>6</v>
      </c>
    </row>
    <row r="844" spans="1:15">
      <c r="A844" s="9" t="s">
        <v>876</v>
      </c>
      <c r="B844" s="9" t="s">
        <v>16</v>
      </c>
      <c r="C844" s="9" t="s">
        <v>17</v>
      </c>
      <c r="D844" s="9" t="s">
        <v>18</v>
      </c>
      <c r="E844" s="9" t="s">
        <v>19</v>
      </c>
      <c r="F844" s="9" t="s">
        <v>34</v>
      </c>
      <c r="G844" s="9">
        <v>39.47</v>
      </c>
      <c r="H844" s="9">
        <v>2</v>
      </c>
      <c r="I844" s="9">
        <v>3.9470000000000001</v>
      </c>
      <c r="J844" s="9">
        <v>82.887</v>
      </c>
      <c r="K844" s="10">
        <v>43526</v>
      </c>
      <c r="L844" s="11">
        <v>0.67777777777777781</v>
      </c>
      <c r="M844" s="9" t="s">
        <v>31</v>
      </c>
      <c r="N844" s="9">
        <v>78.94</v>
      </c>
      <c r="O844" s="9">
        <v>5</v>
      </c>
    </row>
    <row r="845" spans="1:15">
      <c r="A845" s="9" t="s">
        <v>877</v>
      </c>
      <c r="B845" s="9" t="s">
        <v>23</v>
      </c>
      <c r="C845" s="9" t="s">
        <v>24</v>
      </c>
      <c r="D845" s="9" t="s">
        <v>18</v>
      </c>
      <c r="E845" s="9" t="s">
        <v>19</v>
      </c>
      <c r="F845" s="9" t="s">
        <v>42</v>
      </c>
      <c r="G845" s="9">
        <v>14.87</v>
      </c>
      <c r="H845" s="9">
        <v>2</v>
      </c>
      <c r="I845" s="9">
        <v>1.4870000000000001</v>
      </c>
      <c r="J845" s="9">
        <v>31.227</v>
      </c>
      <c r="K845" s="10">
        <v>43509</v>
      </c>
      <c r="L845" s="11">
        <v>0.76041666666666663</v>
      </c>
      <c r="M845" s="9" t="s">
        <v>31</v>
      </c>
      <c r="N845" s="9">
        <v>29.74</v>
      </c>
      <c r="O845" s="9">
        <v>8.9</v>
      </c>
    </row>
    <row r="846" spans="1:15">
      <c r="A846" s="9" t="s">
        <v>878</v>
      </c>
      <c r="B846" s="9" t="s">
        <v>16</v>
      </c>
      <c r="C846" s="9" t="s">
        <v>17</v>
      </c>
      <c r="D846" s="9" t="s">
        <v>25</v>
      </c>
      <c r="E846" s="9" t="s">
        <v>29</v>
      </c>
      <c r="F846" s="9" t="s">
        <v>44</v>
      </c>
      <c r="G846" s="9">
        <v>21.32</v>
      </c>
      <c r="H846" s="9">
        <v>1</v>
      </c>
      <c r="I846" s="9">
        <v>1.0660000000000001</v>
      </c>
      <c r="J846" s="9">
        <v>22.385999999999999</v>
      </c>
      <c r="K846" s="10">
        <v>43491</v>
      </c>
      <c r="L846" s="11">
        <v>0.52986111111111112</v>
      </c>
      <c r="M846" s="9" t="s">
        <v>27</v>
      </c>
      <c r="N846" s="9">
        <v>21.32</v>
      </c>
      <c r="O846" s="9">
        <v>5.9</v>
      </c>
    </row>
    <row r="847" spans="1:15">
      <c r="A847" s="9" t="s">
        <v>879</v>
      </c>
      <c r="B847" s="9" t="s">
        <v>16</v>
      </c>
      <c r="C847" s="9" t="s">
        <v>17</v>
      </c>
      <c r="D847" s="9" t="s">
        <v>18</v>
      </c>
      <c r="E847" s="9" t="s">
        <v>29</v>
      </c>
      <c r="F847" s="9" t="s">
        <v>26</v>
      </c>
      <c r="G847" s="9">
        <v>93.78</v>
      </c>
      <c r="H847" s="9">
        <v>3</v>
      </c>
      <c r="I847" s="9">
        <v>14.067</v>
      </c>
      <c r="J847" s="9">
        <v>295.40699999999998</v>
      </c>
      <c r="K847" s="10">
        <v>43495</v>
      </c>
      <c r="L847" s="11">
        <v>0.48055555555555557</v>
      </c>
      <c r="M847" s="9" t="s">
        <v>31</v>
      </c>
      <c r="N847" s="9">
        <v>281.33999999999997</v>
      </c>
      <c r="O847" s="9">
        <v>5.9</v>
      </c>
    </row>
    <row r="848" spans="1:15">
      <c r="A848" s="9" t="s">
        <v>880</v>
      </c>
      <c r="B848" s="9" t="s">
        <v>16</v>
      </c>
      <c r="C848" s="9" t="s">
        <v>17</v>
      </c>
      <c r="D848" s="9" t="s">
        <v>18</v>
      </c>
      <c r="E848" s="9" t="s">
        <v>29</v>
      </c>
      <c r="F848" s="9" t="s">
        <v>26</v>
      </c>
      <c r="G848" s="9">
        <v>73.260000000000005</v>
      </c>
      <c r="H848" s="9">
        <v>1</v>
      </c>
      <c r="I848" s="9">
        <v>3.6629999999999998</v>
      </c>
      <c r="J848" s="9">
        <v>76.923000000000002</v>
      </c>
      <c r="K848" s="10">
        <v>43492</v>
      </c>
      <c r="L848" s="11">
        <v>0.75555555555555554</v>
      </c>
      <c r="M848" s="9" t="s">
        <v>21</v>
      </c>
      <c r="N848" s="9">
        <v>73.260000000000005</v>
      </c>
      <c r="O848" s="9">
        <v>9.6999999999999993</v>
      </c>
    </row>
    <row r="849" spans="1:15">
      <c r="A849" s="9" t="s">
        <v>881</v>
      </c>
      <c r="B849" s="9" t="s">
        <v>23</v>
      </c>
      <c r="C849" s="9" t="s">
        <v>24</v>
      </c>
      <c r="D849" s="9" t="s">
        <v>25</v>
      </c>
      <c r="E849" s="9" t="s">
        <v>19</v>
      </c>
      <c r="F849" s="9" t="s">
        <v>34</v>
      </c>
      <c r="G849" s="9">
        <v>22.38</v>
      </c>
      <c r="H849" s="9">
        <v>1</v>
      </c>
      <c r="I849" s="9">
        <v>1.119</v>
      </c>
      <c r="J849" s="9">
        <v>23.498999999999999</v>
      </c>
      <c r="K849" s="10">
        <v>43495</v>
      </c>
      <c r="L849" s="11">
        <v>0.71388888888888891</v>
      </c>
      <c r="M849" s="9" t="s">
        <v>31</v>
      </c>
      <c r="N849" s="9">
        <v>22.38</v>
      </c>
      <c r="O849" s="9">
        <v>8.6</v>
      </c>
    </row>
    <row r="850" spans="1:15">
      <c r="A850" s="9" t="s">
        <v>882</v>
      </c>
      <c r="B850" s="9" t="s">
        <v>23</v>
      </c>
      <c r="C850" s="9" t="s">
        <v>24</v>
      </c>
      <c r="D850" s="9" t="s">
        <v>18</v>
      </c>
      <c r="E850" s="9" t="s">
        <v>19</v>
      </c>
      <c r="F850" s="9" t="s">
        <v>42</v>
      </c>
      <c r="G850" s="9">
        <v>72.88</v>
      </c>
      <c r="H850" s="9">
        <v>9</v>
      </c>
      <c r="I850" s="9">
        <v>32.795999999999999</v>
      </c>
      <c r="J850" s="9">
        <v>688.71600000000001</v>
      </c>
      <c r="K850" s="10">
        <v>43473</v>
      </c>
      <c r="L850" s="11">
        <v>0.81805555555555554</v>
      </c>
      <c r="M850" s="9" t="s">
        <v>27</v>
      </c>
      <c r="N850" s="9">
        <v>655.92</v>
      </c>
      <c r="O850" s="9">
        <v>4</v>
      </c>
    </row>
    <row r="851" spans="1:15">
      <c r="A851" s="9" t="s">
        <v>883</v>
      </c>
      <c r="B851" s="9" t="s">
        <v>16</v>
      </c>
      <c r="C851" s="9" t="s">
        <v>17</v>
      </c>
      <c r="D851" s="9" t="s">
        <v>25</v>
      </c>
      <c r="E851" s="9" t="s">
        <v>19</v>
      </c>
      <c r="F851" s="9" t="s">
        <v>44</v>
      </c>
      <c r="G851" s="9">
        <v>99.1</v>
      </c>
      <c r="H851" s="9">
        <v>6</v>
      </c>
      <c r="I851" s="9">
        <v>29.73</v>
      </c>
      <c r="J851" s="9">
        <v>624.33000000000004</v>
      </c>
      <c r="K851" s="10">
        <v>43484</v>
      </c>
      <c r="L851" s="11">
        <v>0.5493055555555556</v>
      </c>
      <c r="M851" s="9" t="s">
        <v>27</v>
      </c>
      <c r="N851" s="9">
        <v>594.6</v>
      </c>
      <c r="O851" s="9">
        <v>4.2</v>
      </c>
    </row>
    <row r="852" spans="1:15">
      <c r="A852" s="9" t="s">
        <v>884</v>
      </c>
      <c r="B852" s="9" t="s">
        <v>16</v>
      </c>
      <c r="C852" s="9" t="s">
        <v>17</v>
      </c>
      <c r="D852" s="9" t="s">
        <v>25</v>
      </c>
      <c r="E852" s="9" t="s">
        <v>29</v>
      </c>
      <c r="F852" s="9" t="s">
        <v>44</v>
      </c>
      <c r="G852" s="9">
        <v>74.099999999999994</v>
      </c>
      <c r="H852" s="9">
        <v>1</v>
      </c>
      <c r="I852" s="9">
        <v>3.7050000000000001</v>
      </c>
      <c r="J852" s="9">
        <v>77.805000000000007</v>
      </c>
      <c r="K852" s="10">
        <v>43490</v>
      </c>
      <c r="L852" s="11">
        <v>0.46180555555555558</v>
      </c>
      <c r="M852" s="9" t="s">
        <v>27</v>
      </c>
      <c r="N852" s="9">
        <v>74.099999999999994</v>
      </c>
      <c r="O852" s="9">
        <v>9.1999999999999993</v>
      </c>
    </row>
    <row r="853" spans="1:15">
      <c r="A853" s="9" t="s">
        <v>885</v>
      </c>
      <c r="B853" s="9" t="s">
        <v>16</v>
      </c>
      <c r="C853" s="9" t="s">
        <v>17</v>
      </c>
      <c r="D853" s="9" t="s">
        <v>25</v>
      </c>
      <c r="E853" s="9" t="s">
        <v>19</v>
      </c>
      <c r="F853" s="9" t="s">
        <v>44</v>
      </c>
      <c r="G853" s="9">
        <v>98.48</v>
      </c>
      <c r="H853" s="9">
        <v>2</v>
      </c>
      <c r="I853" s="9">
        <v>9.8480000000000008</v>
      </c>
      <c r="J853" s="9">
        <v>206.80799999999999</v>
      </c>
      <c r="K853" s="10">
        <v>43515</v>
      </c>
      <c r="L853" s="11">
        <v>0.42499999999999999</v>
      </c>
      <c r="M853" s="9" t="s">
        <v>21</v>
      </c>
      <c r="N853" s="9">
        <v>196.96</v>
      </c>
      <c r="O853" s="9">
        <v>9.1999999999999993</v>
      </c>
    </row>
    <row r="854" spans="1:15">
      <c r="A854" s="9" t="s">
        <v>886</v>
      </c>
      <c r="B854" s="9" t="s">
        <v>23</v>
      </c>
      <c r="C854" s="9" t="s">
        <v>24</v>
      </c>
      <c r="D854" s="9" t="s">
        <v>25</v>
      </c>
      <c r="E854" s="9" t="s">
        <v>29</v>
      </c>
      <c r="F854" s="9" t="s">
        <v>20</v>
      </c>
      <c r="G854" s="9">
        <v>53.19</v>
      </c>
      <c r="H854" s="9">
        <v>7</v>
      </c>
      <c r="I854" s="9">
        <v>18.616499999999998</v>
      </c>
      <c r="J854" s="9">
        <v>390.94650000000001</v>
      </c>
      <c r="K854" s="10">
        <v>43479</v>
      </c>
      <c r="L854" s="11">
        <v>0.65416666666666667</v>
      </c>
      <c r="M854" s="9" t="s">
        <v>21</v>
      </c>
      <c r="N854" s="9">
        <v>372.33</v>
      </c>
      <c r="O854" s="9">
        <v>5</v>
      </c>
    </row>
    <row r="855" spans="1:15">
      <c r="A855" s="9" t="s">
        <v>887</v>
      </c>
      <c r="B855" s="9" t="s">
        <v>40</v>
      </c>
      <c r="C855" s="9" t="s">
        <v>41</v>
      </c>
      <c r="D855" s="9" t="s">
        <v>25</v>
      </c>
      <c r="E855" s="9" t="s">
        <v>19</v>
      </c>
      <c r="F855" s="9" t="s">
        <v>26</v>
      </c>
      <c r="G855" s="9">
        <v>52.79</v>
      </c>
      <c r="H855" s="9">
        <v>10</v>
      </c>
      <c r="I855" s="9">
        <v>26.395</v>
      </c>
      <c r="J855" s="9">
        <v>554.29499999999996</v>
      </c>
      <c r="K855" s="10">
        <v>43521</v>
      </c>
      <c r="L855" s="11">
        <v>0.49861111111111112</v>
      </c>
      <c r="M855" s="9" t="s">
        <v>21</v>
      </c>
      <c r="N855" s="9">
        <v>527.9</v>
      </c>
      <c r="O855" s="9">
        <v>10</v>
      </c>
    </row>
    <row r="856" spans="1:15">
      <c r="A856" s="9" t="s">
        <v>888</v>
      </c>
      <c r="B856" s="9" t="s">
        <v>16</v>
      </c>
      <c r="C856" s="9" t="s">
        <v>17</v>
      </c>
      <c r="D856" s="9" t="s">
        <v>18</v>
      </c>
      <c r="E856" s="9" t="s">
        <v>19</v>
      </c>
      <c r="F856" s="9" t="s">
        <v>20</v>
      </c>
      <c r="G856" s="9">
        <v>95.95</v>
      </c>
      <c r="H856" s="9">
        <v>5</v>
      </c>
      <c r="I856" s="9">
        <v>23.987500000000001</v>
      </c>
      <c r="J856" s="9">
        <v>503.73750000000001</v>
      </c>
      <c r="K856" s="10">
        <v>43488</v>
      </c>
      <c r="L856" s="11">
        <v>0.59791666666666665</v>
      </c>
      <c r="M856" s="9" t="s">
        <v>21</v>
      </c>
      <c r="N856" s="9">
        <v>479.75</v>
      </c>
      <c r="O856" s="9">
        <v>8.8000000000000007</v>
      </c>
    </row>
    <row r="857" spans="1:15">
      <c r="A857" s="9" t="s">
        <v>889</v>
      </c>
      <c r="B857" s="9" t="s">
        <v>40</v>
      </c>
      <c r="C857" s="9" t="s">
        <v>41</v>
      </c>
      <c r="D857" s="9" t="s">
        <v>25</v>
      </c>
      <c r="E857" s="9" t="s">
        <v>19</v>
      </c>
      <c r="F857" s="9" t="s">
        <v>44</v>
      </c>
      <c r="G857" s="9">
        <v>36.51</v>
      </c>
      <c r="H857" s="9">
        <v>9</v>
      </c>
      <c r="I857" s="9">
        <v>16.429500000000001</v>
      </c>
      <c r="J857" s="9">
        <v>345.01949999999999</v>
      </c>
      <c r="K857" s="10">
        <v>43512</v>
      </c>
      <c r="L857" s="11">
        <v>0.45277777777777778</v>
      </c>
      <c r="M857" s="9" t="s">
        <v>27</v>
      </c>
      <c r="N857" s="9">
        <v>328.59</v>
      </c>
      <c r="O857" s="9">
        <v>4.2</v>
      </c>
    </row>
    <row r="858" spans="1:15">
      <c r="A858" s="9" t="s">
        <v>890</v>
      </c>
      <c r="B858" s="9" t="s">
        <v>40</v>
      </c>
      <c r="C858" s="9" t="s">
        <v>41</v>
      </c>
      <c r="D858" s="9" t="s">
        <v>25</v>
      </c>
      <c r="E858" s="9" t="s">
        <v>29</v>
      </c>
      <c r="F858" s="9" t="s">
        <v>42</v>
      </c>
      <c r="G858" s="9">
        <v>21.12</v>
      </c>
      <c r="H858" s="9">
        <v>8</v>
      </c>
      <c r="I858" s="9">
        <v>8.4480000000000004</v>
      </c>
      <c r="J858" s="9">
        <v>177.40799999999999</v>
      </c>
      <c r="K858" s="10">
        <v>43466</v>
      </c>
      <c r="L858" s="11">
        <v>0.81319444444444444</v>
      </c>
      <c r="M858" s="9" t="s">
        <v>27</v>
      </c>
      <c r="N858" s="9">
        <v>168.96</v>
      </c>
      <c r="O858" s="9">
        <v>6.3</v>
      </c>
    </row>
    <row r="859" spans="1:15">
      <c r="A859" s="9" t="s">
        <v>891</v>
      </c>
      <c r="B859" s="9" t="s">
        <v>16</v>
      </c>
      <c r="C859" s="9" t="s">
        <v>17</v>
      </c>
      <c r="D859" s="9" t="s">
        <v>18</v>
      </c>
      <c r="E859" s="9" t="s">
        <v>19</v>
      </c>
      <c r="F859" s="9" t="s">
        <v>30</v>
      </c>
      <c r="G859" s="9">
        <v>28.31</v>
      </c>
      <c r="H859" s="9">
        <v>4</v>
      </c>
      <c r="I859" s="9">
        <v>5.6619999999999999</v>
      </c>
      <c r="J859" s="9">
        <v>118.902</v>
      </c>
      <c r="K859" s="10">
        <v>43531</v>
      </c>
      <c r="L859" s="11">
        <v>0.77430555555555558</v>
      </c>
      <c r="M859" s="9" t="s">
        <v>27</v>
      </c>
      <c r="N859" s="9">
        <v>113.24</v>
      </c>
      <c r="O859" s="9">
        <v>8.1999999999999993</v>
      </c>
    </row>
    <row r="860" spans="1:15">
      <c r="A860" s="9" t="s">
        <v>892</v>
      </c>
      <c r="B860" s="9" t="s">
        <v>40</v>
      </c>
      <c r="C860" s="9" t="s">
        <v>41</v>
      </c>
      <c r="D860" s="9" t="s">
        <v>25</v>
      </c>
      <c r="E860" s="9" t="s">
        <v>29</v>
      </c>
      <c r="F860" s="9" t="s">
        <v>20</v>
      </c>
      <c r="G860" s="9">
        <v>57.59</v>
      </c>
      <c r="H860" s="9">
        <v>6</v>
      </c>
      <c r="I860" s="9">
        <v>17.277000000000001</v>
      </c>
      <c r="J860" s="9">
        <v>362.81700000000001</v>
      </c>
      <c r="K860" s="10">
        <v>43511</v>
      </c>
      <c r="L860" s="11">
        <v>0.57708333333333328</v>
      </c>
      <c r="M860" s="9" t="s">
        <v>27</v>
      </c>
      <c r="N860" s="9">
        <v>345.54</v>
      </c>
      <c r="O860" s="9">
        <v>5.0999999999999996</v>
      </c>
    </row>
    <row r="861" spans="1:15">
      <c r="A861" s="9" t="s">
        <v>893</v>
      </c>
      <c r="B861" s="9" t="s">
        <v>16</v>
      </c>
      <c r="C861" s="9" t="s">
        <v>17</v>
      </c>
      <c r="D861" s="9" t="s">
        <v>18</v>
      </c>
      <c r="E861" s="9" t="s">
        <v>19</v>
      </c>
      <c r="F861" s="9" t="s">
        <v>42</v>
      </c>
      <c r="G861" s="9">
        <v>47.63</v>
      </c>
      <c r="H861" s="9">
        <v>9</v>
      </c>
      <c r="I861" s="9">
        <v>21.433499999999999</v>
      </c>
      <c r="J861" s="9">
        <v>450.1035</v>
      </c>
      <c r="K861" s="10">
        <v>43488</v>
      </c>
      <c r="L861" s="11">
        <v>0.52430555555555558</v>
      </c>
      <c r="M861" s="9" t="s">
        <v>27</v>
      </c>
      <c r="N861" s="9">
        <v>428.67</v>
      </c>
      <c r="O861" s="9">
        <v>5</v>
      </c>
    </row>
    <row r="862" spans="1:15">
      <c r="A862" s="9" t="s">
        <v>894</v>
      </c>
      <c r="B862" s="9" t="s">
        <v>23</v>
      </c>
      <c r="C862" s="9" t="s">
        <v>24</v>
      </c>
      <c r="D862" s="9" t="s">
        <v>18</v>
      </c>
      <c r="E862" s="9" t="s">
        <v>19</v>
      </c>
      <c r="F862" s="9" t="s">
        <v>30</v>
      </c>
      <c r="G862" s="9">
        <v>86.27</v>
      </c>
      <c r="H862" s="9">
        <v>1</v>
      </c>
      <c r="I862" s="9">
        <v>4.3135000000000003</v>
      </c>
      <c r="J862" s="9">
        <v>90.583500000000001</v>
      </c>
      <c r="K862" s="10">
        <v>43516</v>
      </c>
      <c r="L862" s="11">
        <v>0.55833333333333335</v>
      </c>
      <c r="M862" s="9" t="s">
        <v>21</v>
      </c>
      <c r="N862" s="9">
        <v>86.27</v>
      </c>
      <c r="O862" s="9">
        <v>7</v>
      </c>
    </row>
    <row r="863" spans="1:15">
      <c r="A863" s="9" t="s">
        <v>895</v>
      </c>
      <c r="B863" s="9" t="s">
        <v>16</v>
      </c>
      <c r="C863" s="9" t="s">
        <v>17</v>
      </c>
      <c r="D863" s="9" t="s">
        <v>18</v>
      </c>
      <c r="E863" s="9" t="s">
        <v>29</v>
      </c>
      <c r="F863" s="9" t="s">
        <v>34</v>
      </c>
      <c r="G863" s="9">
        <v>12.76</v>
      </c>
      <c r="H863" s="9">
        <v>2</v>
      </c>
      <c r="I863" s="9">
        <v>1.276</v>
      </c>
      <c r="J863" s="9">
        <v>26.795999999999999</v>
      </c>
      <c r="K863" s="10">
        <v>43473</v>
      </c>
      <c r="L863" s="11">
        <v>0.75416666666666665</v>
      </c>
      <c r="M863" s="9" t="s">
        <v>21</v>
      </c>
      <c r="N863" s="9">
        <v>25.52</v>
      </c>
      <c r="O863" s="9">
        <v>7.8</v>
      </c>
    </row>
    <row r="864" spans="1:15">
      <c r="A864" s="9" t="s">
        <v>896</v>
      </c>
      <c r="B864" s="9" t="s">
        <v>40</v>
      </c>
      <c r="C864" s="9" t="s">
        <v>41</v>
      </c>
      <c r="D864" s="9" t="s">
        <v>25</v>
      </c>
      <c r="E864" s="9" t="s">
        <v>19</v>
      </c>
      <c r="F864" s="9" t="s">
        <v>30</v>
      </c>
      <c r="G864" s="9">
        <v>11.28</v>
      </c>
      <c r="H864" s="9">
        <v>9</v>
      </c>
      <c r="I864" s="9">
        <v>5.0759999999999996</v>
      </c>
      <c r="J864" s="9">
        <v>106.596</v>
      </c>
      <c r="K864" s="10">
        <v>43541</v>
      </c>
      <c r="L864" s="11">
        <v>0.49652777777777779</v>
      </c>
      <c r="M864" s="9" t="s">
        <v>31</v>
      </c>
      <c r="N864" s="9">
        <v>101.52</v>
      </c>
      <c r="O864" s="9">
        <v>4.3</v>
      </c>
    </row>
    <row r="865" spans="1:15">
      <c r="A865" s="9" t="s">
        <v>897</v>
      </c>
      <c r="B865" s="9" t="s">
        <v>40</v>
      </c>
      <c r="C865" s="9" t="s">
        <v>41</v>
      </c>
      <c r="D865" s="9" t="s">
        <v>25</v>
      </c>
      <c r="E865" s="9" t="s">
        <v>19</v>
      </c>
      <c r="F865" s="9" t="s">
        <v>30</v>
      </c>
      <c r="G865" s="9">
        <v>51.07</v>
      </c>
      <c r="H865" s="9">
        <v>7</v>
      </c>
      <c r="I865" s="9">
        <v>17.874500000000001</v>
      </c>
      <c r="J865" s="9">
        <v>375.36450000000002</v>
      </c>
      <c r="K865" s="10">
        <v>43477</v>
      </c>
      <c r="L865" s="11">
        <v>0.48749999999999999</v>
      </c>
      <c r="M865" s="9" t="s">
        <v>27</v>
      </c>
      <c r="N865" s="9">
        <v>357.49</v>
      </c>
      <c r="O865" s="9">
        <v>7</v>
      </c>
    </row>
    <row r="866" spans="1:15">
      <c r="A866" s="9" t="s">
        <v>898</v>
      </c>
      <c r="B866" s="9" t="s">
        <v>16</v>
      </c>
      <c r="C866" s="9" t="s">
        <v>17</v>
      </c>
      <c r="D866" s="9" t="s">
        <v>18</v>
      </c>
      <c r="E866" s="9" t="s">
        <v>19</v>
      </c>
      <c r="F866" s="9" t="s">
        <v>26</v>
      </c>
      <c r="G866" s="9">
        <v>79.59</v>
      </c>
      <c r="H866" s="9">
        <v>3</v>
      </c>
      <c r="I866" s="9">
        <v>11.938499999999999</v>
      </c>
      <c r="J866" s="9">
        <v>250.70849999999999</v>
      </c>
      <c r="K866" s="10">
        <v>43473</v>
      </c>
      <c r="L866" s="11">
        <v>0.60416666666666663</v>
      </c>
      <c r="M866" s="9" t="s">
        <v>27</v>
      </c>
      <c r="N866" s="9">
        <v>238.77</v>
      </c>
      <c r="O866" s="9">
        <v>6.6</v>
      </c>
    </row>
    <row r="867" spans="1:15">
      <c r="A867" s="9" t="s">
        <v>899</v>
      </c>
      <c r="B867" s="9" t="s">
        <v>23</v>
      </c>
      <c r="C867" s="9" t="s">
        <v>24</v>
      </c>
      <c r="D867" s="9" t="s">
        <v>18</v>
      </c>
      <c r="E867" s="9" t="s">
        <v>29</v>
      </c>
      <c r="F867" s="9" t="s">
        <v>20</v>
      </c>
      <c r="G867" s="9">
        <v>33.81</v>
      </c>
      <c r="H867" s="9">
        <v>3</v>
      </c>
      <c r="I867" s="9">
        <v>5.0715000000000003</v>
      </c>
      <c r="J867" s="9">
        <v>106.50149999999999</v>
      </c>
      <c r="K867" s="10">
        <v>43491</v>
      </c>
      <c r="L867" s="11">
        <v>0.63263888888888886</v>
      </c>
      <c r="M867" s="9" t="s">
        <v>21</v>
      </c>
      <c r="N867" s="9">
        <v>101.43</v>
      </c>
      <c r="O867" s="9">
        <v>7.3</v>
      </c>
    </row>
    <row r="868" spans="1:15">
      <c r="A868" s="9" t="s">
        <v>900</v>
      </c>
      <c r="B868" s="9" t="s">
        <v>40</v>
      </c>
      <c r="C868" s="9" t="s">
        <v>41</v>
      </c>
      <c r="D868" s="9" t="s">
        <v>18</v>
      </c>
      <c r="E868" s="9" t="s">
        <v>29</v>
      </c>
      <c r="F868" s="9" t="s">
        <v>34</v>
      </c>
      <c r="G868" s="9">
        <v>90.53</v>
      </c>
      <c r="H868" s="9">
        <v>8</v>
      </c>
      <c r="I868" s="9">
        <v>36.212000000000003</v>
      </c>
      <c r="J868" s="9">
        <v>760.452</v>
      </c>
      <c r="K868" s="10">
        <v>43539</v>
      </c>
      <c r="L868" s="11">
        <v>0.6166666666666667</v>
      </c>
      <c r="M868" s="9" t="s">
        <v>31</v>
      </c>
      <c r="N868" s="9">
        <v>724.24</v>
      </c>
      <c r="O868" s="9">
        <v>6.5</v>
      </c>
    </row>
    <row r="869" spans="1:15">
      <c r="A869" s="9" t="s">
        <v>901</v>
      </c>
      <c r="B869" s="9" t="s">
        <v>23</v>
      </c>
      <c r="C869" s="9" t="s">
        <v>24</v>
      </c>
      <c r="D869" s="9" t="s">
        <v>18</v>
      </c>
      <c r="E869" s="9" t="s">
        <v>19</v>
      </c>
      <c r="F869" s="9" t="s">
        <v>20</v>
      </c>
      <c r="G869" s="9">
        <v>62.82</v>
      </c>
      <c r="H869" s="9">
        <v>2</v>
      </c>
      <c r="I869" s="9">
        <v>6.282</v>
      </c>
      <c r="J869" s="9">
        <v>131.922</v>
      </c>
      <c r="K869" s="10">
        <v>43482</v>
      </c>
      <c r="L869" s="11">
        <v>0.52500000000000002</v>
      </c>
      <c r="M869" s="9" t="s">
        <v>21</v>
      </c>
      <c r="N869" s="9">
        <v>125.64</v>
      </c>
      <c r="O869" s="9">
        <v>4.9000000000000004</v>
      </c>
    </row>
    <row r="870" spans="1:15">
      <c r="A870" s="9" t="s">
        <v>902</v>
      </c>
      <c r="B870" s="9" t="s">
        <v>23</v>
      </c>
      <c r="C870" s="9" t="s">
        <v>24</v>
      </c>
      <c r="D870" s="9" t="s">
        <v>18</v>
      </c>
      <c r="E870" s="9" t="s">
        <v>29</v>
      </c>
      <c r="F870" s="9" t="s">
        <v>42</v>
      </c>
      <c r="G870" s="9">
        <v>24.31</v>
      </c>
      <c r="H870" s="9">
        <v>3</v>
      </c>
      <c r="I870" s="9">
        <v>3.6465000000000001</v>
      </c>
      <c r="J870" s="9">
        <v>76.576499999999996</v>
      </c>
      <c r="K870" s="10">
        <v>43473</v>
      </c>
      <c r="L870" s="11">
        <v>0.79791666666666672</v>
      </c>
      <c r="M870" s="9" t="s">
        <v>31</v>
      </c>
      <c r="N870" s="9">
        <v>72.930000000000007</v>
      </c>
      <c r="O870" s="9">
        <v>4.3</v>
      </c>
    </row>
    <row r="871" spans="1:15">
      <c r="A871" s="9" t="s">
        <v>903</v>
      </c>
      <c r="B871" s="9" t="s">
        <v>16</v>
      </c>
      <c r="C871" s="9" t="s">
        <v>17</v>
      </c>
      <c r="D871" s="9" t="s">
        <v>25</v>
      </c>
      <c r="E871" s="9" t="s">
        <v>29</v>
      </c>
      <c r="F871" s="9" t="s">
        <v>34</v>
      </c>
      <c r="G871" s="9">
        <v>64.59</v>
      </c>
      <c r="H871" s="9">
        <v>4</v>
      </c>
      <c r="I871" s="9">
        <v>12.917999999999999</v>
      </c>
      <c r="J871" s="9">
        <v>271.27800000000002</v>
      </c>
      <c r="K871" s="10">
        <v>43471</v>
      </c>
      <c r="L871" s="11">
        <v>0.56597222222222221</v>
      </c>
      <c r="M871" s="9" t="s">
        <v>21</v>
      </c>
      <c r="N871" s="9">
        <v>258.36</v>
      </c>
      <c r="O871" s="9">
        <v>9.3000000000000007</v>
      </c>
    </row>
    <row r="872" spans="1:15">
      <c r="A872" s="9" t="s">
        <v>904</v>
      </c>
      <c r="B872" s="9" t="s">
        <v>16</v>
      </c>
      <c r="C872" s="9" t="s">
        <v>17</v>
      </c>
      <c r="D872" s="9" t="s">
        <v>18</v>
      </c>
      <c r="E872" s="9" t="s">
        <v>29</v>
      </c>
      <c r="F872" s="9" t="s">
        <v>42</v>
      </c>
      <c r="G872" s="9">
        <v>24.82</v>
      </c>
      <c r="H872" s="9">
        <v>7</v>
      </c>
      <c r="I872" s="9">
        <v>8.6869999999999994</v>
      </c>
      <c r="J872" s="9">
        <v>182.42699999999999</v>
      </c>
      <c r="K872" s="10">
        <v>43512</v>
      </c>
      <c r="L872" s="11">
        <v>0.43958333333333333</v>
      </c>
      <c r="M872" s="9" t="s">
        <v>31</v>
      </c>
      <c r="N872" s="9">
        <v>173.74</v>
      </c>
      <c r="O872" s="9">
        <v>7.1</v>
      </c>
    </row>
    <row r="873" spans="1:15">
      <c r="A873" s="9" t="s">
        <v>905</v>
      </c>
      <c r="B873" s="9" t="s">
        <v>23</v>
      </c>
      <c r="C873" s="9" t="s">
        <v>24</v>
      </c>
      <c r="D873" s="9" t="s">
        <v>25</v>
      </c>
      <c r="E873" s="9" t="s">
        <v>29</v>
      </c>
      <c r="F873" s="9" t="s">
        <v>44</v>
      </c>
      <c r="G873" s="9">
        <v>56.5</v>
      </c>
      <c r="H873" s="9">
        <v>1</v>
      </c>
      <c r="I873" s="9">
        <v>2.8250000000000002</v>
      </c>
      <c r="J873" s="9">
        <v>59.325000000000003</v>
      </c>
      <c r="K873" s="10">
        <v>43537</v>
      </c>
      <c r="L873" s="11">
        <v>0.65625</v>
      </c>
      <c r="M873" s="9" t="s">
        <v>21</v>
      </c>
      <c r="N873" s="9">
        <v>56.5</v>
      </c>
      <c r="O873" s="9">
        <v>9.6</v>
      </c>
    </row>
    <row r="874" spans="1:15">
      <c r="A874" s="9" t="s">
        <v>906</v>
      </c>
      <c r="B874" s="9" t="s">
        <v>40</v>
      </c>
      <c r="C874" s="9" t="s">
        <v>41</v>
      </c>
      <c r="D874" s="9" t="s">
        <v>18</v>
      </c>
      <c r="E874" s="9" t="s">
        <v>19</v>
      </c>
      <c r="F874" s="9" t="s">
        <v>26</v>
      </c>
      <c r="G874" s="9">
        <v>21.43</v>
      </c>
      <c r="H874" s="9">
        <v>10</v>
      </c>
      <c r="I874" s="9">
        <v>10.715</v>
      </c>
      <c r="J874" s="9">
        <v>225.01499999999999</v>
      </c>
      <c r="K874" s="10">
        <v>43493</v>
      </c>
      <c r="L874" s="11">
        <v>0.49375000000000002</v>
      </c>
      <c r="M874" s="9" t="s">
        <v>27</v>
      </c>
      <c r="N874" s="9">
        <v>214.3</v>
      </c>
      <c r="O874" s="9">
        <v>6.2</v>
      </c>
    </row>
    <row r="875" spans="1:15">
      <c r="A875" s="9" t="s">
        <v>907</v>
      </c>
      <c r="B875" s="9" t="s">
        <v>16</v>
      </c>
      <c r="C875" s="9" t="s">
        <v>17</v>
      </c>
      <c r="D875" s="9" t="s">
        <v>18</v>
      </c>
      <c r="E875" s="9" t="s">
        <v>29</v>
      </c>
      <c r="F875" s="9" t="s">
        <v>34</v>
      </c>
      <c r="G875" s="9">
        <v>89.06</v>
      </c>
      <c r="H875" s="9">
        <v>6</v>
      </c>
      <c r="I875" s="9">
        <v>26.718</v>
      </c>
      <c r="J875" s="9">
        <v>561.07799999999997</v>
      </c>
      <c r="K875" s="10">
        <v>43483</v>
      </c>
      <c r="L875" s="11">
        <v>0.72638888888888886</v>
      </c>
      <c r="M875" s="9" t="s">
        <v>27</v>
      </c>
      <c r="N875" s="9">
        <v>534.36</v>
      </c>
      <c r="O875" s="9">
        <v>9.9</v>
      </c>
    </row>
    <row r="876" spans="1:15">
      <c r="A876" s="9" t="s">
        <v>908</v>
      </c>
      <c r="B876" s="9" t="s">
        <v>16</v>
      </c>
      <c r="C876" s="9" t="s">
        <v>17</v>
      </c>
      <c r="D876" s="9" t="s">
        <v>18</v>
      </c>
      <c r="E876" s="9" t="s">
        <v>29</v>
      </c>
      <c r="F876" s="9" t="s">
        <v>30</v>
      </c>
      <c r="G876" s="9">
        <v>23.29</v>
      </c>
      <c r="H876" s="9">
        <v>4</v>
      </c>
      <c r="I876" s="9">
        <v>4.6580000000000004</v>
      </c>
      <c r="J876" s="9">
        <v>97.817999999999998</v>
      </c>
      <c r="K876" s="10">
        <v>43543</v>
      </c>
      <c r="L876" s="11">
        <v>0.49444444444444446</v>
      </c>
      <c r="M876" s="9" t="s">
        <v>31</v>
      </c>
      <c r="N876" s="9">
        <v>93.16</v>
      </c>
      <c r="O876" s="9">
        <v>5.9</v>
      </c>
    </row>
    <row r="877" spans="1:15">
      <c r="A877" s="9" t="s">
        <v>909</v>
      </c>
      <c r="B877" s="9" t="s">
        <v>23</v>
      </c>
      <c r="C877" s="9" t="s">
        <v>24</v>
      </c>
      <c r="D877" s="9" t="s">
        <v>25</v>
      </c>
      <c r="E877" s="9" t="s">
        <v>29</v>
      </c>
      <c r="F877" s="9" t="s">
        <v>30</v>
      </c>
      <c r="G877" s="9">
        <v>65.260000000000005</v>
      </c>
      <c r="H877" s="9">
        <v>8</v>
      </c>
      <c r="I877" s="9">
        <v>26.103999999999999</v>
      </c>
      <c r="J877" s="9">
        <v>548.18399999999997</v>
      </c>
      <c r="K877" s="10">
        <v>43539</v>
      </c>
      <c r="L877" s="11">
        <v>0.58611111111111114</v>
      </c>
      <c r="M877" s="9" t="s">
        <v>21</v>
      </c>
      <c r="N877" s="9">
        <v>522.08000000000004</v>
      </c>
      <c r="O877" s="9">
        <v>6.3</v>
      </c>
    </row>
    <row r="878" spans="1:15">
      <c r="A878" s="9" t="s">
        <v>910</v>
      </c>
      <c r="B878" s="9" t="s">
        <v>23</v>
      </c>
      <c r="C878" s="9" t="s">
        <v>24</v>
      </c>
      <c r="D878" s="9" t="s">
        <v>18</v>
      </c>
      <c r="E878" s="9" t="s">
        <v>29</v>
      </c>
      <c r="F878" s="9" t="s">
        <v>44</v>
      </c>
      <c r="G878" s="9">
        <v>52.35</v>
      </c>
      <c r="H878" s="9">
        <v>1</v>
      </c>
      <c r="I878" s="9">
        <v>2.6175000000000002</v>
      </c>
      <c r="J878" s="9">
        <v>54.967500000000001</v>
      </c>
      <c r="K878" s="10">
        <v>43508</v>
      </c>
      <c r="L878" s="11">
        <v>0.74236111111111114</v>
      </c>
      <c r="M878" s="9" t="s">
        <v>27</v>
      </c>
      <c r="N878" s="9">
        <v>52.35</v>
      </c>
      <c r="O878" s="9">
        <v>4</v>
      </c>
    </row>
    <row r="879" spans="1:15">
      <c r="A879" s="9" t="s">
        <v>911</v>
      </c>
      <c r="B879" s="9" t="s">
        <v>40</v>
      </c>
      <c r="C879" s="9" t="s">
        <v>41</v>
      </c>
      <c r="D879" s="9" t="s">
        <v>18</v>
      </c>
      <c r="E879" s="9" t="s">
        <v>29</v>
      </c>
      <c r="F879" s="9" t="s">
        <v>26</v>
      </c>
      <c r="G879" s="9">
        <v>39.75</v>
      </c>
      <c r="H879" s="9">
        <v>1</v>
      </c>
      <c r="I879" s="9">
        <v>1.9875</v>
      </c>
      <c r="J879" s="9">
        <v>41.737499999999997</v>
      </c>
      <c r="K879" s="10">
        <v>43521</v>
      </c>
      <c r="L879" s="11">
        <v>0.84652777777777777</v>
      </c>
      <c r="M879" s="9" t="s">
        <v>27</v>
      </c>
      <c r="N879" s="9">
        <v>39.75</v>
      </c>
      <c r="O879" s="9">
        <v>6.1</v>
      </c>
    </row>
    <row r="880" spans="1:15">
      <c r="A880" s="9" t="s">
        <v>912</v>
      </c>
      <c r="B880" s="9" t="s">
        <v>16</v>
      </c>
      <c r="C880" s="9" t="s">
        <v>17</v>
      </c>
      <c r="D880" s="9" t="s">
        <v>25</v>
      </c>
      <c r="E880" s="9" t="s">
        <v>19</v>
      </c>
      <c r="F880" s="9" t="s">
        <v>26</v>
      </c>
      <c r="G880" s="9">
        <v>90.02</v>
      </c>
      <c r="H880" s="9">
        <v>8</v>
      </c>
      <c r="I880" s="9">
        <v>36.008000000000003</v>
      </c>
      <c r="J880" s="9">
        <v>756.16800000000001</v>
      </c>
      <c r="K880" s="10">
        <v>43545</v>
      </c>
      <c r="L880" s="11">
        <v>0.67222222222222228</v>
      </c>
      <c r="M880" s="9" t="s">
        <v>31</v>
      </c>
      <c r="N880" s="9">
        <v>720.16</v>
      </c>
      <c r="O880" s="9">
        <v>4.5</v>
      </c>
    </row>
    <row r="881" spans="1:15">
      <c r="A881" s="9" t="s">
        <v>913</v>
      </c>
      <c r="B881" s="9" t="s">
        <v>40</v>
      </c>
      <c r="C881" s="9" t="s">
        <v>41</v>
      </c>
      <c r="D881" s="9" t="s">
        <v>18</v>
      </c>
      <c r="E881" s="9" t="s">
        <v>19</v>
      </c>
      <c r="F881" s="9" t="s">
        <v>26</v>
      </c>
      <c r="G881" s="9">
        <v>12.1</v>
      </c>
      <c r="H881" s="9">
        <v>8</v>
      </c>
      <c r="I881" s="9">
        <v>4.84</v>
      </c>
      <c r="J881" s="9">
        <v>101.64</v>
      </c>
      <c r="K881" s="10">
        <v>43484</v>
      </c>
      <c r="L881" s="11">
        <v>0.4284722222222222</v>
      </c>
      <c r="M881" s="9" t="s">
        <v>21</v>
      </c>
      <c r="N881" s="9">
        <v>96.8</v>
      </c>
      <c r="O881" s="9">
        <v>8.6</v>
      </c>
    </row>
    <row r="882" spans="1:15">
      <c r="A882" s="9" t="s">
        <v>914</v>
      </c>
      <c r="B882" s="9" t="s">
        <v>40</v>
      </c>
      <c r="C882" s="9" t="s">
        <v>41</v>
      </c>
      <c r="D882" s="9" t="s">
        <v>18</v>
      </c>
      <c r="E882" s="9" t="s">
        <v>19</v>
      </c>
      <c r="F882" s="9" t="s">
        <v>42</v>
      </c>
      <c r="G882" s="9">
        <v>33.21</v>
      </c>
      <c r="H882" s="9">
        <v>10</v>
      </c>
      <c r="I882" s="9">
        <v>16.605</v>
      </c>
      <c r="J882" s="9">
        <v>348.70499999999998</v>
      </c>
      <c r="K882" s="10">
        <v>43473</v>
      </c>
      <c r="L882" s="11">
        <v>0.60069444444444442</v>
      </c>
      <c r="M882" s="9" t="s">
        <v>21</v>
      </c>
      <c r="N882" s="9">
        <v>332.1</v>
      </c>
      <c r="O882" s="9">
        <v>6</v>
      </c>
    </row>
    <row r="883" spans="1:15">
      <c r="A883" s="9" t="s">
        <v>915</v>
      </c>
      <c r="B883" s="9" t="s">
        <v>23</v>
      </c>
      <c r="C883" s="9" t="s">
        <v>24</v>
      </c>
      <c r="D883" s="9" t="s">
        <v>18</v>
      </c>
      <c r="E883" s="9" t="s">
        <v>19</v>
      </c>
      <c r="F883" s="9" t="s">
        <v>44</v>
      </c>
      <c r="G883" s="9">
        <v>10.18</v>
      </c>
      <c r="H883" s="9">
        <v>8</v>
      </c>
      <c r="I883" s="9">
        <v>4.0720000000000001</v>
      </c>
      <c r="J883" s="9">
        <v>85.512</v>
      </c>
      <c r="K883" s="10">
        <v>43554</v>
      </c>
      <c r="L883" s="11">
        <v>0.53541666666666665</v>
      </c>
      <c r="M883" s="9" t="s">
        <v>31</v>
      </c>
      <c r="N883" s="9">
        <v>81.44</v>
      </c>
      <c r="O883" s="9">
        <v>9.5</v>
      </c>
    </row>
    <row r="884" spans="1:15">
      <c r="A884" s="9" t="s">
        <v>916</v>
      </c>
      <c r="B884" s="9" t="s">
        <v>40</v>
      </c>
      <c r="C884" s="9" t="s">
        <v>41</v>
      </c>
      <c r="D884" s="9" t="s">
        <v>18</v>
      </c>
      <c r="E884" s="9" t="s">
        <v>29</v>
      </c>
      <c r="F884" s="9" t="s">
        <v>34</v>
      </c>
      <c r="G884" s="9">
        <v>31.99</v>
      </c>
      <c r="H884" s="9">
        <v>10</v>
      </c>
      <c r="I884" s="9">
        <v>15.994999999999999</v>
      </c>
      <c r="J884" s="9">
        <v>335.89499999999998</v>
      </c>
      <c r="K884" s="10">
        <v>43516</v>
      </c>
      <c r="L884" s="11">
        <v>0.63749999999999996</v>
      </c>
      <c r="M884" s="9" t="s">
        <v>31</v>
      </c>
      <c r="N884" s="9">
        <v>319.89999999999998</v>
      </c>
      <c r="O884" s="9">
        <v>9.9</v>
      </c>
    </row>
    <row r="885" spans="1:15">
      <c r="A885" s="9" t="s">
        <v>917</v>
      </c>
      <c r="B885" s="9" t="s">
        <v>16</v>
      </c>
      <c r="C885" s="9" t="s">
        <v>17</v>
      </c>
      <c r="D885" s="9" t="s">
        <v>18</v>
      </c>
      <c r="E885" s="9" t="s">
        <v>19</v>
      </c>
      <c r="F885" s="9" t="s">
        <v>30</v>
      </c>
      <c r="G885" s="9">
        <v>34.42</v>
      </c>
      <c r="H885" s="9">
        <v>6</v>
      </c>
      <c r="I885" s="9">
        <v>10.326000000000001</v>
      </c>
      <c r="J885" s="9">
        <v>216.846</v>
      </c>
      <c r="K885" s="10">
        <v>43554</v>
      </c>
      <c r="L885" s="11">
        <v>0.53125</v>
      </c>
      <c r="M885" s="9" t="s">
        <v>21</v>
      </c>
      <c r="N885" s="9">
        <v>206.52</v>
      </c>
      <c r="O885" s="9">
        <v>7.5</v>
      </c>
    </row>
    <row r="886" spans="1:15">
      <c r="A886" s="9" t="s">
        <v>918</v>
      </c>
      <c r="B886" s="9" t="s">
        <v>16</v>
      </c>
      <c r="C886" s="9" t="s">
        <v>17</v>
      </c>
      <c r="D886" s="9" t="s">
        <v>18</v>
      </c>
      <c r="E886" s="9" t="s">
        <v>19</v>
      </c>
      <c r="F886" s="9" t="s">
        <v>42</v>
      </c>
      <c r="G886" s="9">
        <v>83.34</v>
      </c>
      <c r="H886" s="9">
        <v>2</v>
      </c>
      <c r="I886" s="9">
        <v>8.3339999999999996</v>
      </c>
      <c r="J886" s="9">
        <v>175.01400000000001</v>
      </c>
      <c r="K886" s="10">
        <v>43543</v>
      </c>
      <c r="L886" s="11">
        <v>0.56736111111111109</v>
      </c>
      <c r="M886" s="9" t="s">
        <v>27</v>
      </c>
      <c r="N886" s="9">
        <v>166.68</v>
      </c>
      <c r="O886" s="9">
        <v>7.6</v>
      </c>
    </row>
    <row r="887" spans="1:15">
      <c r="A887" s="9" t="s">
        <v>919</v>
      </c>
      <c r="B887" s="9" t="s">
        <v>16</v>
      </c>
      <c r="C887" s="9" t="s">
        <v>17</v>
      </c>
      <c r="D887" s="9" t="s">
        <v>25</v>
      </c>
      <c r="E887" s="9" t="s">
        <v>29</v>
      </c>
      <c r="F887" s="9" t="s">
        <v>34</v>
      </c>
      <c r="G887" s="9">
        <v>45.58</v>
      </c>
      <c r="H887" s="9">
        <v>7</v>
      </c>
      <c r="I887" s="9">
        <v>15.952999999999999</v>
      </c>
      <c r="J887" s="9">
        <v>335.01299999999998</v>
      </c>
      <c r="K887" s="10">
        <v>43478</v>
      </c>
      <c r="L887" s="11">
        <v>0.41875000000000001</v>
      </c>
      <c r="M887" s="9" t="s">
        <v>27</v>
      </c>
      <c r="N887" s="9">
        <v>319.06</v>
      </c>
      <c r="O887" s="9">
        <v>5</v>
      </c>
    </row>
    <row r="888" spans="1:15">
      <c r="A888" s="9" t="s">
        <v>920</v>
      </c>
      <c r="B888" s="9" t="s">
        <v>16</v>
      </c>
      <c r="C888" s="9" t="s">
        <v>17</v>
      </c>
      <c r="D888" s="9" t="s">
        <v>18</v>
      </c>
      <c r="E888" s="9" t="s">
        <v>29</v>
      </c>
      <c r="F888" s="9" t="s">
        <v>42</v>
      </c>
      <c r="G888" s="9">
        <v>87.9</v>
      </c>
      <c r="H888" s="9">
        <v>1</v>
      </c>
      <c r="I888" s="9">
        <v>4.3949999999999996</v>
      </c>
      <c r="J888" s="9">
        <v>92.295000000000002</v>
      </c>
      <c r="K888" s="10">
        <v>43501</v>
      </c>
      <c r="L888" s="11">
        <v>0.8208333333333333</v>
      </c>
      <c r="M888" s="9" t="s">
        <v>21</v>
      </c>
      <c r="N888" s="9">
        <v>87.9</v>
      </c>
      <c r="O888" s="9">
        <v>6.7</v>
      </c>
    </row>
    <row r="889" spans="1:15">
      <c r="A889" s="9" t="s">
        <v>921</v>
      </c>
      <c r="B889" s="9" t="s">
        <v>16</v>
      </c>
      <c r="C889" s="9" t="s">
        <v>17</v>
      </c>
      <c r="D889" s="9" t="s">
        <v>18</v>
      </c>
      <c r="E889" s="9" t="s">
        <v>19</v>
      </c>
      <c r="F889" s="9" t="s">
        <v>26</v>
      </c>
      <c r="G889" s="9">
        <v>73.47</v>
      </c>
      <c r="H889" s="9">
        <v>10</v>
      </c>
      <c r="I889" s="9">
        <v>36.734999999999999</v>
      </c>
      <c r="J889" s="9">
        <v>771.43499999999995</v>
      </c>
      <c r="K889" s="10">
        <v>43547</v>
      </c>
      <c r="L889" s="11">
        <v>0.55138888888888893</v>
      </c>
      <c r="M889" s="9" t="s">
        <v>21</v>
      </c>
      <c r="N889" s="9">
        <v>734.7</v>
      </c>
      <c r="O889" s="9">
        <v>9.5</v>
      </c>
    </row>
    <row r="890" spans="1:15">
      <c r="A890" s="9" t="s">
        <v>922</v>
      </c>
      <c r="B890" s="9" t="s">
        <v>23</v>
      </c>
      <c r="C890" s="9" t="s">
        <v>24</v>
      </c>
      <c r="D890" s="9" t="s">
        <v>25</v>
      </c>
      <c r="E890" s="9" t="s">
        <v>19</v>
      </c>
      <c r="F890" s="9" t="s">
        <v>44</v>
      </c>
      <c r="G890" s="9">
        <v>12.19</v>
      </c>
      <c r="H890" s="9">
        <v>8</v>
      </c>
      <c r="I890" s="9">
        <v>4.8760000000000003</v>
      </c>
      <c r="J890" s="9">
        <v>102.396</v>
      </c>
      <c r="K890" s="10">
        <v>43537</v>
      </c>
      <c r="L890" s="11">
        <v>0.53263888888888888</v>
      </c>
      <c r="M890" s="9" t="s">
        <v>21</v>
      </c>
      <c r="N890" s="9">
        <v>97.52</v>
      </c>
      <c r="O890" s="9">
        <v>6.8</v>
      </c>
    </row>
    <row r="891" spans="1:15">
      <c r="A891" s="9" t="s">
        <v>923</v>
      </c>
      <c r="B891" s="9" t="s">
        <v>16</v>
      </c>
      <c r="C891" s="9" t="s">
        <v>17</v>
      </c>
      <c r="D891" s="9" t="s">
        <v>18</v>
      </c>
      <c r="E891" s="9" t="s">
        <v>29</v>
      </c>
      <c r="F891" s="9" t="s">
        <v>34</v>
      </c>
      <c r="G891" s="9">
        <v>76.92</v>
      </c>
      <c r="H891" s="9">
        <v>10</v>
      </c>
      <c r="I891" s="9">
        <v>38.46</v>
      </c>
      <c r="J891" s="9">
        <v>807.66</v>
      </c>
      <c r="K891" s="10">
        <v>43541</v>
      </c>
      <c r="L891" s="11">
        <v>0.82847222222222228</v>
      </c>
      <c r="M891" s="9" t="s">
        <v>21</v>
      </c>
      <c r="N891" s="9">
        <v>769.2</v>
      </c>
      <c r="O891" s="9">
        <v>5.6</v>
      </c>
    </row>
    <row r="892" spans="1:15">
      <c r="A892" s="9" t="s">
        <v>924</v>
      </c>
      <c r="B892" s="9" t="s">
        <v>23</v>
      </c>
      <c r="C892" s="9" t="s">
        <v>24</v>
      </c>
      <c r="D892" s="9" t="s">
        <v>25</v>
      </c>
      <c r="E892" s="9" t="s">
        <v>19</v>
      </c>
      <c r="F892" s="9" t="s">
        <v>20</v>
      </c>
      <c r="G892" s="9">
        <v>83.66</v>
      </c>
      <c r="H892" s="9">
        <v>5</v>
      </c>
      <c r="I892" s="9">
        <v>20.914999999999999</v>
      </c>
      <c r="J892" s="9">
        <v>439.21499999999997</v>
      </c>
      <c r="K892" s="10">
        <v>43517</v>
      </c>
      <c r="L892" s="11">
        <v>0.43472222222222223</v>
      </c>
      <c r="M892" s="9" t="s">
        <v>27</v>
      </c>
      <c r="N892" s="9">
        <v>418.3</v>
      </c>
      <c r="O892" s="9">
        <v>7.2</v>
      </c>
    </row>
    <row r="893" spans="1:15">
      <c r="A893" s="9" t="s">
        <v>925</v>
      </c>
      <c r="B893" s="9" t="s">
        <v>40</v>
      </c>
      <c r="C893" s="9" t="s">
        <v>41</v>
      </c>
      <c r="D893" s="9" t="s">
        <v>25</v>
      </c>
      <c r="E893" s="9" t="s">
        <v>19</v>
      </c>
      <c r="F893" s="9" t="s">
        <v>26</v>
      </c>
      <c r="G893" s="9">
        <v>57.91</v>
      </c>
      <c r="H893" s="9">
        <v>8</v>
      </c>
      <c r="I893" s="9">
        <v>23.164000000000001</v>
      </c>
      <c r="J893" s="9">
        <v>486.44400000000002</v>
      </c>
      <c r="K893" s="10">
        <v>43503</v>
      </c>
      <c r="L893" s="11">
        <v>0.62916666666666665</v>
      </c>
      <c r="M893" s="9" t="s">
        <v>27</v>
      </c>
      <c r="N893" s="9">
        <v>463.28</v>
      </c>
      <c r="O893" s="9">
        <v>8.1</v>
      </c>
    </row>
    <row r="894" spans="1:15">
      <c r="A894" s="9" t="s">
        <v>926</v>
      </c>
      <c r="B894" s="9" t="s">
        <v>23</v>
      </c>
      <c r="C894" s="9" t="s">
        <v>24</v>
      </c>
      <c r="D894" s="9" t="s">
        <v>18</v>
      </c>
      <c r="E894" s="9" t="s">
        <v>19</v>
      </c>
      <c r="F894" s="9" t="s">
        <v>44</v>
      </c>
      <c r="G894" s="9">
        <v>92.49</v>
      </c>
      <c r="H894" s="9">
        <v>5</v>
      </c>
      <c r="I894" s="9">
        <v>23.122499999999999</v>
      </c>
      <c r="J894" s="9">
        <v>485.57249999999999</v>
      </c>
      <c r="K894" s="10">
        <v>43526</v>
      </c>
      <c r="L894" s="11">
        <v>0.69097222222222221</v>
      </c>
      <c r="M894" s="9" t="s">
        <v>31</v>
      </c>
      <c r="N894" s="9">
        <v>462.45</v>
      </c>
      <c r="O894" s="9">
        <v>8.6</v>
      </c>
    </row>
    <row r="895" spans="1:15">
      <c r="A895" s="9" t="s">
        <v>927</v>
      </c>
      <c r="B895" s="9" t="s">
        <v>40</v>
      </c>
      <c r="C895" s="9" t="s">
        <v>41</v>
      </c>
      <c r="D895" s="9" t="s">
        <v>25</v>
      </c>
      <c r="E895" s="9" t="s">
        <v>29</v>
      </c>
      <c r="F895" s="9" t="s">
        <v>26</v>
      </c>
      <c r="G895" s="9">
        <v>28.38</v>
      </c>
      <c r="H895" s="9">
        <v>5</v>
      </c>
      <c r="I895" s="9">
        <v>7.0949999999999998</v>
      </c>
      <c r="J895" s="9">
        <v>148.995</v>
      </c>
      <c r="K895" s="10">
        <v>43530</v>
      </c>
      <c r="L895" s="11">
        <v>0.87291666666666667</v>
      </c>
      <c r="M895" s="9" t="s">
        <v>27</v>
      </c>
      <c r="N895" s="9">
        <v>141.9</v>
      </c>
      <c r="O895" s="9">
        <v>9.4</v>
      </c>
    </row>
    <row r="896" spans="1:15">
      <c r="A896" s="9" t="s">
        <v>928</v>
      </c>
      <c r="B896" s="9" t="s">
        <v>40</v>
      </c>
      <c r="C896" s="9" t="s">
        <v>41</v>
      </c>
      <c r="D896" s="9" t="s">
        <v>18</v>
      </c>
      <c r="E896" s="9" t="s">
        <v>29</v>
      </c>
      <c r="F896" s="9" t="s">
        <v>26</v>
      </c>
      <c r="G896" s="9">
        <v>50.45</v>
      </c>
      <c r="H896" s="9">
        <v>6</v>
      </c>
      <c r="I896" s="9">
        <v>15.135</v>
      </c>
      <c r="J896" s="9">
        <v>317.83499999999998</v>
      </c>
      <c r="K896" s="10">
        <v>43502</v>
      </c>
      <c r="L896" s="11">
        <v>0.63611111111111107</v>
      </c>
      <c r="M896" s="9" t="s">
        <v>31</v>
      </c>
      <c r="N896" s="9">
        <v>302.7</v>
      </c>
      <c r="O896" s="9">
        <v>8.9</v>
      </c>
    </row>
    <row r="897" spans="1:15">
      <c r="A897" s="9" t="s">
        <v>929</v>
      </c>
      <c r="B897" s="9" t="s">
        <v>40</v>
      </c>
      <c r="C897" s="9" t="s">
        <v>41</v>
      </c>
      <c r="D897" s="9" t="s">
        <v>25</v>
      </c>
      <c r="E897" s="9" t="s">
        <v>29</v>
      </c>
      <c r="F897" s="9" t="s">
        <v>20</v>
      </c>
      <c r="G897" s="9">
        <v>99.16</v>
      </c>
      <c r="H897" s="9">
        <v>8</v>
      </c>
      <c r="I897" s="9">
        <v>39.664000000000001</v>
      </c>
      <c r="J897" s="9">
        <v>832.94399999999996</v>
      </c>
      <c r="K897" s="10">
        <v>43493</v>
      </c>
      <c r="L897" s="11">
        <v>0.74097222222222225</v>
      </c>
      <c r="M897" s="9" t="s">
        <v>31</v>
      </c>
      <c r="N897" s="9">
        <v>793.28</v>
      </c>
      <c r="O897" s="9">
        <v>4.2</v>
      </c>
    </row>
    <row r="898" spans="1:15">
      <c r="A898" s="9" t="s">
        <v>930</v>
      </c>
      <c r="B898" s="9" t="s">
        <v>23</v>
      </c>
      <c r="C898" s="9" t="s">
        <v>24</v>
      </c>
      <c r="D898" s="9" t="s">
        <v>25</v>
      </c>
      <c r="E898" s="9" t="s">
        <v>29</v>
      </c>
      <c r="F898" s="9" t="s">
        <v>44</v>
      </c>
      <c r="G898" s="9">
        <v>60.74</v>
      </c>
      <c r="H898" s="9">
        <v>7</v>
      </c>
      <c r="I898" s="9">
        <v>21.259</v>
      </c>
      <c r="J898" s="9">
        <v>446.43900000000002</v>
      </c>
      <c r="K898" s="10">
        <v>43483</v>
      </c>
      <c r="L898" s="11">
        <v>0.68263888888888891</v>
      </c>
      <c r="M898" s="9" t="s">
        <v>21</v>
      </c>
      <c r="N898" s="9">
        <v>425.18</v>
      </c>
      <c r="O898" s="9">
        <v>5</v>
      </c>
    </row>
    <row r="899" spans="1:15">
      <c r="A899" s="9" t="s">
        <v>931</v>
      </c>
      <c r="B899" s="9" t="s">
        <v>23</v>
      </c>
      <c r="C899" s="9" t="s">
        <v>24</v>
      </c>
      <c r="D899" s="9" t="s">
        <v>18</v>
      </c>
      <c r="E899" s="9" t="s">
        <v>19</v>
      </c>
      <c r="F899" s="9" t="s">
        <v>42</v>
      </c>
      <c r="G899" s="9">
        <v>47.27</v>
      </c>
      <c r="H899" s="9">
        <v>6</v>
      </c>
      <c r="I899" s="9">
        <v>14.180999999999999</v>
      </c>
      <c r="J899" s="9">
        <v>297.80099999999999</v>
      </c>
      <c r="K899" s="10">
        <v>43501</v>
      </c>
      <c r="L899" s="11">
        <v>0.4284722222222222</v>
      </c>
      <c r="M899" s="9" t="s">
        <v>27</v>
      </c>
      <c r="N899" s="9">
        <v>283.62</v>
      </c>
      <c r="O899" s="9">
        <v>8.8000000000000007</v>
      </c>
    </row>
    <row r="900" spans="1:15">
      <c r="A900" s="9" t="s">
        <v>932</v>
      </c>
      <c r="B900" s="9" t="s">
        <v>23</v>
      </c>
      <c r="C900" s="9" t="s">
        <v>24</v>
      </c>
      <c r="D900" s="9" t="s">
        <v>18</v>
      </c>
      <c r="E900" s="9" t="s">
        <v>29</v>
      </c>
      <c r="F900" s="9" t="s">
        <v>20</v>
      </c>
      <c r="G900" s="9">
        <v>85.6</v>
      </c>
      <c r="H900" s="9">
        <v>7</v>
      </c>
      <c r="I900" s="9">
        <v>29.96</v>
      </c>
      <c r="J900" s="9">
        <v>629.16</v>
      </c>
      <c r="K900" s="10">
        <v>43526</v>
      </c>
      <c r="L900" s="11">
        <v>0.57638888888888884</v>
      </c>
      <c r="M900" s="9" t="s">
        <v>27</v>
      </c>
      <c r="N900" s="9">
        <v>599.20000000000005</v>
      </c>
      <c r="O900" s="9">
        <v>5.3</v>
      </c>
    </row>
    <row r="901" spans="1:15">
      <c r="A901" s="9" t="s">
        <v>933</v>
      </c>
      <c r="B901" s="9" t="s">
        <v>16</v>
      </c>
      <c r="C901" s="9" t="s">
        <v>17</v>
      </c>
      <c r="D901" s="9" t="s">
        <v>18</v>
      </c>
      <c r="E901" s="9" t="s">
        <v>29</v>
      </c>
      <c r="F901" s="9" t="s">
        <v>42</v>
      </c>
      <c r="G901" s="9">
        <v>35.04</v>
      </c>
      <c r="H901" s="9">
        <v>9</v>
      </c>
      <c r="I901" s="9">
        <v>15.768000000000001</v>
      </c>
      <c r="J901" s="9">
        <v>331.12799999999999</v>
      </c>
      <c r="K901" s="10">
        <v>43505</v>
      </c>
      <c r="L901" s="11">
        <v>0.80347222222222225</v>
      </c>
      <c r="M901" s="9" t="s">
        <v>21</v>
      </c>
      <c r="N901" s="9">
        <v>315.36</v>
      </c>
      <c r="O901" s="9">
        <v>4.5999999999999996</v>
      </c>
    </row>
    <row r="902" spans="1:15">
      <c r="A902" s="9" t="s">
        <v>934</v>
      </c>
      <c r="B902" s="9" t="s">
        <v>23</v>
      </c>
      <c r="C902" s="9" t="s">
        <v>24</v>
      </c>
      <c r="D902" s="9" t="s">
        <v>18</v>
      </c>
      <c r="E902" s="9" t="s">
        <v>19</v>
      </c>
      <c r="F902" s="9" t="s">
        <v>26</v>
      </c>
      <c r="G902" s="9">
        <v>44.84</v>
      </c>
      <c r="H902" s="9">
        <v>9</v>
      </c>
      <c r="I902" s="9">
        <v>20.178000000000001</v>
      </c>
      <c r="J902" s="9">
        <v>423.738</v>
      </c>
      <c r="K902" s="10">
        <v>43479</v>
      </c>
      <c r="L902" s="11">
        <v>0.58333333333333337</v>
      </c>
      <c r="M902" s="9" t="s">
        <v>31</v>
      </c>
      <c r="N902" s="9">
        <v>403.56</v>
      </c>
      <c r="O902" s="9">
        <v>7.5</v>
      </c>
    </row>
    <row r="903" spans="1:15">
      <c r="A903" s="9" t="s">
        <v>935</v>
      </c>
      <c r="B903" s="9" t="s">
        <v>40</v>
      </c>
      <c r="C903" s="9" t="s">
        <v>41</v>
      </c>
      <c r="D903" s="9" t="s">
        <v>25</v>
      </c>
      <c r="E903" s="9" t="s">
        <v>29</v>
      </c>
      <c r="F903" s="9" t="s">
        <v>30</v>
      </c>
      <c r="G903" s="9">
        <v>45.97</v>
      </c>
      <c r="H903" s="9">
        <v>4</v>
      </c>
      <c r="I903" s="9">
        <v>9.1940000000000008</v>
      </c>
      <c r="J903" s="9">
        <v>193.07400000000001</v>
      </c>
      <c r="K903" s="10">
        <v>43505</v>
      </c>
      <c r="L903" s="11">
        <v>0.50138888888888888</v>
      </c>
      <c r="M903" s="9" t="s">
        <v>21</v>
      </c>
      <c r="N903" s="9">
        <v>183.88</v>
      </c>
      <c r="O903" s="9">
        <v>5.0999999999999996</v>
      </c>
    </row>
    <row r="904" spans="1:15">
      <c r="A904" s="9" t="s">
        <v>936</v>
      </c>
      <c r="B904" s="9" t="s">
        <v>16</v>
      </c>
      <c r="C904" s="9" t="s">
        <v>17</v>
      </c>
      <c r="D904" s="9" t="s">
        <v>18</v>
      </c>
      <c r="E904" s="9" t="s">
        <v>19</v>
      </c>
      <c r="F904" s="9" t="s">
        <v>20</v>
      </c>
      <c r="G904" s="9">
        <v>27.73</v>
      </c>
      <c r="H904" s="9">
        <v>5</v>
      </c>
      <c r="I904" s="9">
        <v>6.9325000000000001</v>
      </c>
      <c r="J904" s="9">
        <v>145.58250000000001</v>
      </c>
      <c r="K904" s="10">
        <v>43550</v>
      </c>
      <c r="L904" s="11">
        <v>0.84791666666666665</v>
      </c>
      <c r="M904" s="9" t="s">
        <v>31</v>
      </c>
      <c r="N904" s="9">
        <v>138.65</v>
      </c>
      <c r="O904" s="9">
        <v>4.2</v>
      </c>
    </row>
    <row r="905" spans="1:15">
      <c r="A905" s="9" t="s">
        <v>937</v>
      </c>
      <c r="B905" s="9" t="s">
        <v>16</v>
      </c>
      <c r="C905" s="9" t="s">
        <v>17</v>
      </c>
      <c r="D905" s="9" t="s">
        <v>25</v>
      </c>
      <c r="E905" s="9" t="s">
        <v>29</v>
      </c>
      <c r="F905" s="9" t="s">
        <v>42</v>
      </c>
      <c r="G905" s="9">
        <v>11.53</v>
      </c>
      <c r="H905" s="9">
        <v>7</v>
      </c>
      <c r="I905" s="9">
        <v>4.0354999999999999</v>
      </c>
      <c r="J905" s="9">
        <v>84.745500000000007</v>
      </c>
      <c r="K905" s="10">
        <v>43493</v>
      </c>
      <c r="L905" s="11">
        <v>0.73263888888888884</v>
      </c>
      <c r="M905" s="9" t="s">
        <v>27</v>
      </c>
      <c r="N905" s="9">
        <v>80.709999999999994</v>
      </c>
      <c r="O905" s="9">
        <v>8.1</v>
      </c>
    </row>
    <row r="906" spans="1:15">
      <c r="A906" s="9" t="s">
        <v>938</v>
      </c>
      <c r="B906" s="9" t="s">
        <v>23</v>
      </c>
      <c r="C906" s="9" t="s">
        <v>24</v>
      </c>
      <c r="D906" s="9" t="s">
        <v>25</v>
      </c>
      <c r="E906" s="9" t="s">
        <v>19</v>
      </c>
      <c r="F906" s="9" t="s">
        <v>20</v>
      </c>
      <c r="G906" s="9">
        <v>58.32</v>
      </c>
      <c r="H906" s="9">
        <v>2</v>
      </c>
      <c r="I906" s="9">
        <v>5.8319999999999999</v>
      </c>
      <c r="J906" s="9">
        <v>122.47199999999999</v>
      </c>
      <c r="K906" s="10">
        <v>43510</v>
      </c>
      <c r="L906" s="11">
        <v>0.52916666666666667</v>
      </c>
      <c r="M906" s="9" t="s">
        <v>21</v>
      </c>
      <c r="N906" s="9">
        <v>116.64</v>
      </c>
      <c r="O906" s="9">
        <v>6</v>
      </c>
    </row>
    <row r="907" spans="1:15">
      <c r="A907" s="9" t="s">
        <v>939</v>
      </c>
      <c r="B907" s="9" t="s">
        <v>23</v>
      </c>
      <c r="C907" s="9" t="s">
        <v>24</v>
      </c>
      <c r="D907" s="9" t="s">
        <v>18</v>
      </c>
      <c r="E907" s="9" t="s">
        <v>19</v>
      </c>
      <c r="F907" s="9" t="s">
        <v>30</v>
      </c>
      <c r="G907" s="9">
        <v>78.38</v>
      </c>
      <c r="H907" s="9">
        <v>4</v>
      </c>
      <c r="I907" s="9">
        <v>15.676</v>
      </c>
      <c r="J907" s="9">
        <v>329.19600000000003</v>
      </c>
      <c r="K907" s="10">
        <v>43548</v>
      </c>
      <c r="L907" s="11">
        <v>0.74722222222222223</v>
      </c>
      <c r="M907" s="9" t="s">
        <v>27</v>
      </c>
      <c r="N907" s="9">
        <v>313.52</v>
      </c>
      <c r="O907" s="9">
        <v>7.9</v>
      </c>
    </row>
    <row r="908" spans="1:15">
      <c r="A908" s="9" t="s">
        <v>940</v>
      </c>
      <c r="B908" s="9" t="s">
        <v>23</v>
      </c>
      <c r="C908" s="9" t="s">
        <v>24</v>
      </c>
      <c r="D908" s="9" t="s">
        <v>25</v>
      </c>
      <c r="E908" s="9" t="s">
        <v>29</v>
      </c>
      <c r="F908" s="9" t="s">
        <v>20</v>
      </c>
      <c r="G908" s="9">
        <v>84.61</v>
      </c>
      <c r="H908" s="9">
        <v>10</v>
      </c>
      <c r="I908" s="9">
        <v>42.305</v>
      </c>
      <c r="J908" s="9">
        <v>888.40499999999997</v>
      </c>
      <c r="K908" s="10">
        <v>43505</v>
      </c>
      <c r="L908" s="11">
        <v>0.79027777777777775</v>
      </c>
      <c r="M908" s="9" t="s">
        <v>31</v>
      </c>
      <c r="N908" s="9">
        <v>846.1</v>
      </c>
      <c r="O908" s="9">
        <v>8.8000000000000007</v>
      </c>
    </row>
    <row r="909" spans="1:15">
      <c r="A909" s="9" t="s">
        <v>941</v>
      </c>
      <c r="B909" s="9" t="s">
        <v>40</v>
      </c>
      <c r="C909" s="9" t="s">
        <v>41</v>
      </c>
      <c r="D909" s="9" t="s">
        <v>25</v>
      </c>
      <c r="E909" s="9" t="s">
        <v>19</v>
      </c>
      <c r="F909" s="9" t="s">
        <v>20</v>
      </c>
      <c r="G909" s="9">
        <v>82.88</v>
      </c>
      <c r="H909" s="9">
        <v>5</v>
      </c>
      <c r="I909" s="9">
        <v>20.72</v>
      </c>
      <c r="J909" s="9">
        <v>435.12</v>
      </c>
      <c r="K909" s="10">
        <v>43548</v>
      </c>
      <c r="L909" s="11">
        <v>0.58888888888888891</v>
      </c>
      <c r="M909" s="9" t="s">
        <v>31</v>
      </c>
      <c r="N909" s="9">
        <v>414.4</v>
      </c>
      <c r="O909" s="9">
        <v>6.6</v>
      </c>
    </row>
    <row r="910" spans="1:15">
      <c r="A910" s="9" t="s">
        <v>942</v>
      </c>
      <c r="B910" s="9" t="s">
        <v>16</v>
      </c>
      <c r="C910" s="9" t="s">
        <v>17</v>
      </c>
      <c r="D910" s="9" t="s">
        <v>18</v>
      </c>
      <c r="E910" s="9" t="s">
        <v>19</v>
      </c>
      <c r="F910" s="9" t="s">
        <v>42</v>
      </c>
      <c r="G910" s="9">
        <v>79.540000000000006</v>
      </c>
      <c r="H910" s="9">
        <v>2</v>
      </c>
      <c r="I910" s="9">
        <v>7.9539999999999997</v>
      </c>
      <c r="J910" s="9">
        <v>167.03399999999999</v>
      </c>
      <c r="K910" s="10">
        <v>43551</v>
      </c>
      <c r="L910" s="11">
        <v>0.6875</v>
      </c>
      <c r="M910" s="9" t="s">
        <v>21</v>
      </c>
      <c r="N910" s="9">
        <v>159.08000000000001</v>
      </c>
      <c r="O910" s="9">
        <v>6.2</v>
      </c>
    </row>
    <row r="911" spans="1:15">
      <c r="A911" s="9" t="s">
        <v>943</v>
      </c>
      <c r="B911" s="9" t="s">
        <v>40</v>
      </c>
      <c r="C911" s="9" t="s">
        <v>41</v>
      </c>
      <c r="D911" s="9" t="s">
        <v>25</v>
      </c>
      <c r="E911" s="9" t="s">
        <v>19</v>
      </c>
      <c r="F911" s="9" t="s">
        <v>30</v>
      </c>
      <c r="G911" s="9">
        <v>49.01</v>
      </c>
      <c r="H911" s="9">
        <v>10</v>
      </c>
      <c r="I911" s="9">
        <v>24.504999999999999</v>
      </c>
      <c r="J911" s="9">
        <v>514.60500000000002</v>
      </c>
      <c r="K911" s="10">
        <v>43492</v>
      </c>
      <c r="L911" s="11">
        <v>0.44722222222222224</v>
      </c>
      <c r="M911" s="9" t="s">
        <v>31</v>
      </c>
      <c r="N911" s="9">
        <v>490.1</v>
      </c>
      <c r="O911" s="9">
        <v>4.2</v>
      </c>
    </row>
    <row r="912" spans="1:15">
      <c r="A912" s="9" t="s">
        <v>944</v>
      </c>
      <c r="B912" s="9" t="s">
        <v>40</v>
      </c>
      <c r="C912" s="9" t="s">
        <v>41</v>
      </c>
      <c r="D912" s="9" t="s">
        <v>18</v>
      </c>
      <c r="E912" s="9" t="s">
        <v>19</v>
      </c>
      <c r="F912" s="9" t="s">
        <v>42</v>
      </c>
      <c r="G912" s="9">
        <v>29.15</v>
      </c>
      <c r="H912" s="9">
        <v>3</v>
      </c>
      <c r="I912" s="9">
        <v>4.3724999999999996</v>
      </c>
      <c r="J912" s="9">
        <v>91.822500000000005</v>
      </c>
      <c r="K912" s="10">
        <v>43551</v>
      </c>
      <c r="L912" s="11">
        <v>0.85347222222222219</v>
      </c>
      <c r="M912" s="9" t="s">
        <v>31</v>
      </c>
      <c r="N912" s="9">
        <v>87.45</v>
      </c>
      <c r="O912" s="9">
        <v>7.3</v>
      </c>
    </row>
    <row r="913" spans="1:15">
      <c r="A913" s="9" t="s">
        <v>945</v>
      </c>
      <c r="B913" s="9" t="s">
        <v>23</v>
      </c>
      <c r="C913" s="9" t="s">
        <v>24</v>
      </c>
      <c r="D913" s="9" t="s">
        <v>25</v>
      </c>
      <c r="E913" s="9" t="s">
        <v>19</v>
      </c>
      <c r="F913" s="9" t="s">
        <v>26</v>
      </c>
      <c r="G913" s="9">
        <v>56.13</v>
      </c>
      <c r="H913" s="9">
        <v>4</v>
      </c>
      <c r="I913" s="9">
        <v>11.226000000000001</v>
      </c>
      <c r="J913" s="9">
        <v>235.74600000000001</v>
      </c>
      <c r="K913" s="10">
        <v>43484</v>
      </c>
      <c r="L913" s="11">
        <v>0.48819444444444443</v>
      </c>
      <c r="M913" s="9" t="s">
        <v>21</v>
      </c>
      <c r="N913" s="9">
        <v>224.52</v>
      </c>
      <c r="O913" s="9">
        <v>8.6</v>
      </c>
    </row>
    <row r="914" spans="1:15">
      <c r="A914" s="9" t="s">
        <v>946</v>
      </c>
      <c r="B914" s="9" t="s">
        <v>16</v>
      </c>
      <c r="C914" s="9" t="s">
        <v>17</v>
      </c>
      <c r="D914" s="9" t="s">
        <v>25</v>
      </c>
      <c r="E914" s="9" t="s">
        <v>19</v>
      </c>
      <c r="F914" s="9" t="s">
        <v>30</v>
      </c>
      <c r="G914" s="9">
        <v>93.12</v>
      </c>
      <c r="H914" s="9">
        <v>8</v>
      </c>
      <c r="I914" s="9">
        <v>37.247999999999998</v>
      </c>
      <c r="J914" s="9">
        <v>782.20799999999997</v>
      </c>
      <c r="K914" s="10">
        <v>43503</v>
      </c>
      <c r="L914" s="11">
        <v>0.42291666666666666</v>
      </c>
      <c r="M914" s="9" t="s">
        <v>27</v>
      </c>
      <c r="N914" s="9">
        <v>744.96</v>
      </c>
      <c r="O914" s="9">
        <v>6.8</v>
      </c>
    </row>
    <row r="915" spans="1:15">
      <c r="A915" s="9" t="s">
        <v>947</v>
      </c>
      <c r="B915" s="9" t="s">
        <v>16</v>
      </c>
      <c r="C915" s="9" t="s">
        <v>17</v>
      </c>
      <c r="D915" s="9" t="s">
        <v>18</v>
      </c>
      <c r="E915" s="9" t="s">
        <v>29</v>
      </c>
      <c r="F915" s="9" t="s">
        <v>44</v>
      </c>
      <c r="G915" s="9">
        <v>51.34</v>
      </c>
      <c r="H915" s="9">
        <v>8</v>
      </c>
      <c r="I915" s="9">
        <v>20.536000000000001</v>
      </c>
      <c r="J915" s="9">
        <v>431.25599999999997</v>
      </c>
      <c r="K915" s="10">
        <v>43496</v>
      </c>
      <c r="L915" s="11">
        <v>0.41666666666666669</v>
      </c>
      <c r="M915" s="9" t="s">
        <v>21</v>
      </c>
      <c r="N915" s="9">
        <v>410.72</v>
      </c>
      <c r="O915" s="9">
        <v>7.6</v>
      </c>
    </row>
    <row r="916" spans="1:15">
      <c r="A916" s="9" t="s">
        <v>948</v>
      </c>
      <c r="B916" s="9" t="s">
        <v>16</v>
      </c>
      <c r="C916" s="9" t="s">
        <v>17</v>
      </c>
      <c r="D916" s="9" t="s">
        <v>18</v>
      </c>
      <c r="E916" s="9" t="s">
        <v>19</v>
      </c>
      <c r="F916" s="9" t="s">
        <v>42</v>
      </c>
      <c r="G916" s="9">
        <v>99.6</v>
      </c>
      <c r="H916" s="9">
        <v>3</v>
      </c>
      <c r="I916" s="9">
        <v>14.94</v>
      </c>
      <c r="J916" s="9">
        <v>313.74</v>
      </c>
      <c r="K916" s="10">
        <v>43521</v>
      </c>
      <c r="L916" s="11">
        <v>0.78125</v>
      </c>
      <c r="M916" s="9" t="s">
        <v>27</v>
      </c>
      <c r="N916" s="9">
        <v>298.8</v>
      </c>
      <c r="O916" s="9">
        <v>5.8</v>
      </c>
    </row>
    <row r="917" spans="1:15">
      <c r="A917" s="9" t="s">
        <v>949</v>
      </c>
      <c r="B917" s="9" t="s">
        <v>23</v>
      </c>
      <c r="C917" s="9" t="s">
        <v>24</v>
      </c>
      <c r="D917" s="9" t="s">
        <v>25</v>
      </c>
      <c r="E917" s="9" t="s">
        <v>19</v>
      </c>
      <c r="F917" s="9" t="s">
        <v>26</v>
      </c>
      <c r="G917" s="9">
        <v>35.49</v>
      </c>
      <c r="H917" s="9">
        <v>6</v>
      </c>
      <c r="I917" s="9">
        <v>10.647</v>
      </c>
      <c r="J917" s="9">
        <v>223.58699999999999</v>
      </c>
      <c r="K917" s="10">
        <v>43498</v>
      </c>
      <c r="L917" s="11">
        <v>0.52777777777777779</v>
      </c>
      <c r="M917" s="9" t="s">
        <v>27</v>
      </c>
      <c r="N917" s="9">
        <v>212.94</v>
      </c>
      <c r="O917" s="9">
        <v>4.0999999999999996</v>
      </c>
    </row>
    <row r="918" spans="1:15">
      <c r="A918" s="9" t="s">
        <v>950</v>
      </c>
      <c r="B918" s="9" t="s">
        <v>23</v>
      </c>
      <c r="C918" s="9" t="s">
        <v>24</v>
      </c>
      <c r="D918" s="9" t="s">
        <v>18</v>
      </c>
      <c r="E918" s="9" t="s">
        <v>29</v>
      </c>
      <c r="F918" s="9" t="s">
        <v>34</v>
      </c>
      <c r="G918" s="9">
        <v>42.85</v>
      </c>
      <c r="H918" s="9">
        <v>1</v>
      </c>
      <c r="I918" s="9">
        <v>2.1425000000000001</v>
      </c>
      <c r="J918" s="9">
        <v>44.9925</v>
      </c>
      <c r="K918" s="10">
        <v>43538</v>
      </c>
      <c r="L918" s="11">
        <v>0.65</v>
      </c>
      <c r="M918" s="9" t="s">
        <v>31</v>
      </c>
      <c r="N918" s="9">
        <v>42.85</v>
      </c>
      <c r="O918" s="9">
        <v>9.3000000000000007</v>
      </c>
    </row>
    <row r="919" spans="1:15">
      <c r="A919" s="9" t="s">
        <v>951</v>
      </c>
      <c r="B919" s="9" t="s">
        <v>16</v>
      </c>
      <c r="C919" s="9" t="s">
        <v>17</v>
      </c>
      <c r="D919" s="9" t="s">
        <v>25</v>
      </c>
      <c r="E919" s="9" t="s">
        <v>19</v>
      </c>
      <c r="F919" s="9" t="s">
        <v>44</v>
      </c>
      <c r="G919" s="9">
        <v>94.67</v>
      </c>
      <c r="H919" s="9">
        <v>4</v>
      </c>
      <c r="I919" s="9">
        <v>18.934000000000001</v>
      </c>
      <c r="J919" s="9">
        <v>397.61399999999998</v>
      </c>
      <c r="K919" s="10">
        <v>43535</v>
      </c>
      <c r="L919" s="11">
        <v>0.50277777777777777</v>
      </c>
      <c r="M919" s="9" t="s">
        <v>27</v>
      </c>
      <c r="N919" s="9">
        <v>378.68</v>
      </c>
      <c r="O919" s="9">
        <v>6.8</v>
      </c>
    </row>
    <row r="920" spans="1:15">
      <c r="A920" s="9" t="s">
        <v>952</v>
      </c>
      <c r="B920" s="9" t="s">
        <v>40</v>
      </c>
      <c r="C920" s="9" t="s">
        <v>41</v>
      </c>
      <c r="D920" s="9" t="s">
        <v>25</v>
      </c>
      <c r="E920" s="9" t="s">
        <v>29</v>
      </c>
      <c r="F920" s="9" t="s">
        <v>30</v>
      </c>
      <c r="G920" s="9">
        <v>68.97</v>
      </c>
      <c r="H920" s="9">
        <v>3</v>
      </c>
      <c r="I920" s="9">
        <v>10.345499999999999</v>
      </c>
      <c r="J920" s="9">
        <v>217.25550000000001</v>
      </c>
      <c r="K920" s="10">
        <v>43518</v>
      </c>
      <c r="L920" s="11">
        <v>0.47638888888888886</v>
      </c>
      <c r="M920" s="9" t="s">
        <v>21</v>
      </c>
      <c r="N920" s="9">
        <v>206.91</v>
      </c>
      <c r="O920" s="9">
        <v>8.6999999999999993</v>
      </c>
    </row>
    <row r="921" spans="1:15">
      <c r="A921" s="9" t="s">
        <v>953</v>
      </c>
      <c r="B921" s="9" t="s">
        <v>40</v>
      </c>
      <c r="C921" s="9" t="s">
        <v>41</v>
      </c>
      <c r="D921" s="9" t="s">
        <v>18</v>
      </c>
      <c r="E921" s="9" t="s">
        <v>19</v>
      </c>
      <c r="F921" s="9" t="s">
        <v>26</v>
      </c>
      <c r="G921" s="9">
        <v>26.26</v>
      </c>
      <c r="H921" s="9">
        <v>3</v>
      </c>
      <c r="I921" s="9">
        <v>3.9390000000000001</v>
      </c>
      <c r="J921" s="9">
        <v>82.718999999999994</v>
      </c>
      <c r="K921" s="10">
        <v>43526</v>
      </c>
      <c r="L921" s="11">
        <v>0.52500000000000002</v>
      </c>
      <c r="M921" s="9" t="s">
        <v>21</v>
      </c>
      <c r="N921" s="9">
        <v>78.78</v>
      </c>
      <c r="O921" s="9">
        <v>6.3</v>
      </c>
    </row>
    <row r="922" spans="1:15">
      <c r="A922" s="9" t="s">
        <v>954</v>
      </c>
      <c r="B922" s="9" t="s">
        <v>23</v>
      </c>
      <c r="C922" s="9" t="s">
        <v>24</v>
      </c>
      <c r="D922" s="9" t="s">
        <v>18</v>
      </c>
      <c r="E922" s="9" t="s">
        <v>19</v>
      </c>
      <c r="F922" s="9" t="s">
        <v>30</v>
      </c>
      <c r="G922" s="9">
        <v>35.79</v>
      </c>
      <c r="H922" s="9">
        <v>9</v>
      </c>
      <c r="I922" s="9">
        <v>16.105499999999999</v>
      </c>
      <c r="J922" s="9">
        <v>338.21550000000002</v>
      </c>
      <c r="K922" s="10">
        <v>43534</v>
      </c>
      <c r="L922" s="11">
        <v>0.62916666666666665</v>
      </c>
      <c r="M922" s="9" t="s">
        <v>31</v>
      </c>
      <c r="N922" s="9">
        <v>322.11</v>
      </c>
      <c r="O922" s="9">
        <v>5.0999999999999996</v>
      </c>
    </row>
    <row r="923" spans="1:15">
      <c r="A923" s="9" t="s">
        <v>955</v>
      </c>
      <c r="B923" s="9" t="s">
        <v>40</v>
      </c>
      <c r="C923" s="9" t="s">
        <v>41</v>
      </c>
      <c r="D923" s="9" t="s">
        <v>25</v>
      </c>
      <c r="E923" s="9" t="s">
        <v>19</v>
      </c>
      <c r="F923" s="9" t="s">
        <v>30</v>
      </c>
      <c r="G923" s="9">
        <v>16.37</v>
      </c>
      <c r="H923" s="9">
        <v>6</v>
      </c>
      <c r="I923" s="9">
        <v>4.9109999999999996</v>
      </c>
      <c r="J923" s="9">
        <v>103.131</v>
      </c>
      <c r="K923" s="10">
        <v>43504</v>
      </c>
      <c r="L923" s="11">
        <v>0.45694444444444443</v>
      </c>
      <c r="M923" s="9" t="s">
        <v>27</v>
      </c>
      <c r="N923" s="9">
        <v>98.22</v>
      </c>
      <c r="O923" s="9">
        <v>7</v>
      </c>
    </row>
    <row r="924" spans="1:15">
      <c r="A924" s="9" t="s">
        <v>956</v>
      </c>
      <c r="B924" s="9" t="s">
        <v>23</v>
      </c>
      <c r="C924" s="9" t="s">
        <v>24</v>
      </c>
      <c r="D924" s="9" t="s">
        <v>18</v>
      </c>
      <c r="E924" s="9" t="s">
        <v>19</v>
      </c>
      <c r="F924" s="9" t="s">
        <v>30</v>
      </c>
      <c r="G924" s="9">
        <v>12.73</v>
      </c>
      <c r="H924" s="9">
        <v>2</v>
      </c>
      <c r="I924" s="9">
        <v>1.2729999999999999</v>
      </c>
      <c r="J924" s="9">
        <v>26.733000000000001</v>
      </c>
      <c r="K924" s="10">
        <v>43518</v>
      </c>
      <c r="L924" s="11">
        <v>0.50694444444444442</v>
      </c>
      <c r="M924" s="9" t="s">
        <v>31</v>
      </c>
      <c r="N924" s="9">
        <v>25.46</v>
      </c>
      <c r="O924" s="9">
        <v>5.2</v>
      </c>
    </row>
    <row r="925" spans="1:15">
      <c r="A925" s="9" t="s">
        <v>957</v>
      </c>
      <c r="B925" s="9" t="s">
        <v>23</v>
      </c>
      <c r="C925" s="9" t="s">
        <v>24</v>
      </c>
      <c r="D925" s="9" t="s">
        <v>25</v>
      </c>
      <c r="E925" s="9" t="s">
        <v>19</v>
      </c>
      <c r="F925" s="9" t="s">
        <v>34</v>
      </c>
      <c r="G925" s="9">
        <v>83.14</v>
      </c>
      <c r="H925" s="9">
        <v>7</v>
      </c>
      <c r="I925" s="9">
        <v>29.099</v>
      </c>
      <c r="J925" s="9">
        <v>611.07899999999995</v>
      </c>
      <c r="K925" s="10">
        <v>43475</v>
      </c>
      <c r="L925" s="11">
        <v>0.43819444444444444</v>
      </c>
      <c r="M925" s="9" t="s">
        <v>31</v>
      </c>
      <c r="N925" s="9">
        <v>581.98</v>
      </c>
      <c r="O925" s="9">
        <v>6.6</v>
      </c>
    </row>
    <row r="926" spans="1:15">
      <c r="A926" s="9" t="s">
        <v>958</v>
      </c>
      <c r="B926" s="9" t="s">
        <v>23</v>
      </c>
      <c r="C926" s="9" t="s">
        <v>24</v>
      </c>
      <c r="D926" s="9" t="s">
        <v>18</v>
      </c>
      <c r="E926" s="9" t="s">
        <v>19</v>
      </c>
      <c r="F926" s="9" t="s">
        <v>34</v>
      </c>
      <c r="G926" s="9">
        <v>35.22</v>
      </c>
      <c r="H926" s="9">
        <v>6</v>
      </c>
      <c r="I926" s="9">
        <v>10.566000000000001</v>
      </c>
      <c r="J926" s="9">
        <v>221.886</v>
      </c>
      <c r="K926" s="10">
        <v>43538</v>
      </c>
      <c r="L926" s="11">
        <v>0.5756944444444444</v>
      </c>
      <c r="M926" s="9" t="s">
        <v>21</v>
      </c>
      <c r="N926" s="9">
        <v>211.32</v>
      </c>
      <c r="O926" s="9">
        <v>6.5</v>
      </c>
    </row>
    <row r="927" spans="1:15">
      <c r="A927" s="9" t="s">
        <v>959</v>
      </c>
      <c r="B927" s="9" t="s">
        <v>40</v>
      </c>
      <c r="C927" s="9" t="s">
        <v>41</v>
      </c>
      <c r="D927" s="9" t="s">
        <v>25</v>
      </c>
      <c r="E927" s="9" t="s">
        <v>19</v>
      </c>
      <c r="F927" s="9" t="s">
        <v>26</v>
      </c>
      <c r="G927" s="9">
        <v>13.78</v>
      </c>
      <c r="H927" s="9">
        <v>4</v>
      </c>
      <c r="I927" s="9">
        <v>2.7559999999999998</v>
      </c>
      <c r="J927" s="9">
        <v>57.875999999999998</v>
      </c>
      <c r="K927" s="10">
        <v>43475</v>
      </c>
      <c r="L927" s="11">
        <v>0.46527777777777779</v>
      </c>
      <c r="M927" s="9" t="s">
        <v>21</v>
      </c>
      <c r="N927" s="9">
        <v>55.12</v>
      </c>
      <c r="O927" s="9">
        <v>9</v>
      </c>
    </row>
    <row r="928" spans="1:15">
      <c r="A928" s="9" t="s">
        <v>960</v>
      </c>
      <c r="B928" s="9" t="s">
        <v>40</v>
      </c>
      <c r="C928" s="9" t="s">
        <v>41</v>
      </c>
      <c r="D928" s="9" t="s">
        <v>18</v>
      </c>
      <c r="E928" s="9" t="s">
        <v>29</v>
      </c>
      <c r="F928" s="9" t="s">
        <v>34</v>
      </c>
      <c r="G928" s="9">
        <v>88.31</v>
      </c>
      <c r="H928" s="9">
        <v>1</v>
      </c>
      <c r="I928" s="9">
        <v>4.4154999999999998</v>
      </c>
      <c r="J928" s="9">
        <v>92.725499999999997</v>
      </c>
      <c r="K928" s="10">
        <v>43511</v>
      </c>
      <c r="L928" s="11">
        <v>0.73472222222222228</v>
      </c>
      <c r="M928" s="9" t="s">
        <v>31</v>
      </c>
      <c r="N928" s="9">
        <v>88.31</v>
      </c>
      <c r="O928" s="9">
        <v>5.2</v>
      </c>
    </row>
    <row r="929" spans="1:15">
      <c r="A929" s="9" t="s">
        <v>961</v>
      </c>
      <c r="B929" s="9" t="s">
        <v>16</v>
      </c>
      <c r="C929" s="9" t="s">
        <v>17</v>
      </c>
      <c r="D929" s="9" t="s">
        <v>18</v>
      </c>
      <c r="E929" s="9" t="s">
        <v>19</v>
      </c>
      <c r="F929" s="9" t="s">
        <v>20</v>
      </c>
      <c r="G929" s="9">
        <v>39.619999999999997</v>
      </c>
      <c r="H929" s="9">
        <v>9</v>
      </c>
      <c r="I929" s="9">
        <v>17.829000000000001</v>
      </c>
      <c r="J929" s="9">
        <v>374.40899999999999</v>
      </c>
      <c r="K929" s="10">
        <v>43478</v>
      </c>
      <c r="L929" s="11">
        <v>0.74583333333333335</v>
      </c>
      <c r="M929" s="9" t="s">
        <v>31</v>
      </c>
      <c r="N929" s="9">
        <v>356.58</v>
      </c>
      <c r="O929" s="9">
        <v>6.8</v>
      </c>
    </row>
    <row r="930" spans="1:15">
      <c r="A930" s="9" t="s">
        <v>962</v>
      </c>
      <c r="B930" s="9" t="s">
        <v>40</v>
      </c>
      <c r="C930" s="9" t="s">
        <v>41</v>
      </c>
      <c r="D930" s="9" t="s">
        <v>25</v>
      </c>
      <c r="E930" s="9" t="s">
        <v>19</v>
      </c>
      <c r="F930" s="9" t="s">
        <v>26</v>
      </c>
      <c r="G930" s="9">
        <v>88.25</v>
      </c>
      <c r="H930" s="9">
        <v>9</v>
      </c>
      <c r="I930" s="9">
        <v>39.712499999999999</v>
      </c>
      <c r="J930" s="9">
        <v>833.96249999999998</v>
      </c>
      <c r="K930" s="10">
        <v>43511</v>
      </c>
      <c r="L930" s="11">
        <v>0.86875000000000002</v>
      </c>
      <c r="M930" s="9" t="s">
        <v>31</v>
      </c>
      <c r="N930" s="9">
        <v>794.25</v>
      </c>
      <c r="O930" s="9">
        <v>7.6</v>
      </c>
    </row>
    <row r="931" spans="1:15">
      <c r="A931" s="9" t="s">
        <v>963</v>
      </c>
      <c r="B931" s="9" t="s">
        <v>40</v>
      </c>
      <c r="C931" s="9" t="s">
        <v>41</v>
      </c>
      <c r="D931" s="9" t="s">
        <v>25</v>
      </c>
      <c r="E931" s="9" t="s">
        <v>29</v>
      </c>
      <c r="F931" s="9" t="s">
        <v>34</v>
      </c>
      <c r="G931" s="9">
        <v>25.31</v>
      </c>
      <c r="H931" s="9">
        <v>2</v>
      </c>
      <c r="I931" s="9">
        <v>2.5310000000000001</v>
      </c>
      <c r="J931" s="9">
        <v>53.151000000000003</v>
      </c>
      <c r="K931" s="10">
        <v>43526</v>
      </c>
      <c r="L931" s="11">
        <v>0.80972222222222223</v>
      </c>
      <c r="M931" s="9" t="s">
        <v>21</v>
      </c>
      <c r="N931" s="9">
        <v>50.62</v>
      </c>
      <c r="O931" s="9">
        <v>7.2</v>
      </c>
    </row>
    <row r="932" spans="1:15">
      <c r="A932" s="9" t="s">
        <v>964</v>
      </c>
      <c r="B932" s="9" t="s">
        <v>40</v>
      </c>
      <c r="C932" s="9" t="s">
        <v>41</v>
      </c>
      <c r="D932" s="9" t="s">
        <v>25</v>
      </c>
      <c r="E932" s="9" t="s">
        <v>29</v>
      </c>
      <c r="F932" s="9" t="s">
        <v>30</v>
      </c>
      <c r="G932" s="9">
        <v>99.92</v>
      </c>
      <c r="H932" s="9">
        <v>6</v>
      </c>
      <c r="I932" s="9">
        <v>29.975999999999999</v>
      </c>
      <c r="J932" s="9">
        <v>629.49599999999998</v>
      </c>
      <c r="K932" s="10">
        <v>43548</v>
      </c>
      <c r="L932" s="11">
        <v>0.56458333333333333</v>
      </c>
      <c r="M932" s="9" t="s">
        <v>21</v>
      </c>
      <c r="N932" s="9">
        <v>599.52</v>
      </c>
      <c r="O932" s="9">
        <v>7.1</v>
      </c>
    </row>
    <row r="933" spans="1:15">
      <c r="A933" s="9" t="s">
        <v>965</v>
      </c>
      <c r="B933" s="9" t="s">
        <v>23</v>
      </c>
      <c r="C933" s="9" t="s">
        <v>24</v>
      </c>
      <c r="D933" s="9" t="s">
        <v>18</v>
      </c>
      <c r="E933" s="9" t="s">
        <v>19</v>
      </c>
      <c r="F933" s="9" t="s">
        <v>44</v>
      </c>
      <c r="G933" s="9">
        <v>83.35</v>
      </c>
      <c r="H933" s="9">
        <v>2</v>
      </c>
      <c r="I933" s="9">
        <v>8.3350000000000009</v>
      </c>
      <c r="J933" s="9">
        <v>175.035</v>
      </c>
      <c r="K933" s="10">
        <v>43498</v>
      </c>
      <c r="L933" s="11">
        <v>0.58680555555555558</v>
      </c>
      <c r="M933" s="9" t="s">
        <v>31</v>
      </c>
      <c r="N933" s="9">
        <v>166.7</v>
      </c>
      <c r="O933" s="9">
        <v>9.5</v>
      </c>
    </row>
    <row r="934" spans="1:15">
      <c r="A934" s="9" t="s">
        <v>966</v>
      </c>
      <c r="B934" s="9" t="s">
        <v>16</v>
      </c>
      <c r="C934" s="9" t="s">
        <v>17</v>
      </c>
      <c r="D934" s="9" t="s">
        <v>25</v>
      </c>
      <c r="E934" s="9" t="s">
        <v>19</v>
      </c>
      <c r="F934" s="9" t="s">
        <v>42</v>
      </c>
      <c r="G934" s="9">
        <v>74.44</v>
      </c>
      <c r="H934" s="9">
        <v>10</v>
      </c>
      <c r="I934" s="9">
        <v>37.22</v>
      </c>
      <c r="J934" s="9">
        <v>781.62</v>
      </c>
      <c r="K934" s="10">
        <v>43523</v>
      </c>
      <c r="L934" s="11">
        <v>0.4861111111111111</v>
      </c>
      <c r="M934" s="9" t="s">
        <v>21</v>
      </c>
      <c r="N934" s="9">
        <v>744.4</v>
      </c>
      <c r="O934" s="9">
        <v>5.0999999999999996</v>
      </c>
    </row>
    <row r="935" spans="1:15">
      <c r="A935" s="9" t="s">
        <v>967</v>
      </c>
      <c r="B935" s="9" t="s">
        <v>23</v>
      </c>
      <c r="C935" s="9" t="s">
        <v>24</v>
      </c>
      <c r="D935" s="9" t="s">
        <v>25</v>
      </c>
      <c r="E935" s="9" t="s">
        <v>29</v>
      </c>
      <c r="F935" s="9" t="s">
        <v>20</v>
      </c>
      <c r="G935" s="9">
        <v>64.08</v>
      </c>
      <c r="H935" s="9">
        <v>7</v>
      </c>
      <c r="I935" s="9">
        <v>22.428000000000001</v>
      </c>
      <c r="J935" s="9">
        <v>470.988</v>
      </c>
      <c r="K935" s="10">
        <v>43485</v>
      </c>
      <c r="L935" s="11">
        <v>0.51875000000000004</v>
      </c>
      <c r="M935" s="9" t="s">
        <v>21</v>
      </c>
      <c r="N935" s="9">
        <v>448.56</v>
      </c>
      <c r="O935" s="9">
        <v>7.6</v>
      </c>
    </row>
    <row r="936" spans="1:15">
      <c r="A936" s="9" t="s">
        <v>968</v>
      </c>
      <c r="B936" s="9" t="s">
        <v>40</v>
      </c>
      <c r="C936" s="9" t="s">
        <v>41</v>
      </c>
      <c r="D936" s="9" t="s">
        <v>25</v>
      </c>
      <c r="E936" s="9" t="s">
        <v>19</v>
      </c>
      <c r="F936" s="9" t="s">
        <v>30</v>
      </c>
      <c r="G936" s="9">
        <v>63.15</v>
      </c>
      <c r="H936" s="9">
        <v>6</v>
      </c>
      <c r="I936" s="9">
        <v>18.945</v>
      </c>
      <c r="J936" s="9">
        <v>397.84500000000003</v>
      </c>
      <c r="K936" s="10">
        <v>43468</v>
      </c>
      <c r="L936" s="11">
        <v>0.85</v>
      </c>
      <c r="M936" s="9" t="s">
        <v>21</v>
      </c>
      <c r="N936" s="9">
        <v>378.9</v>
      </c>
      <c r="O936" s="9">
        <v>9.8000000000000007</v>
      </c>
    </row>
    <row r="937" spans="1:15">
      <c r="A937" s="9" t="s">
        <v>969</v>
      </c>
      <c r="B937" s="9" t="s">
        <v>23</v>
      </c>
      <c r="C937" s="9" t="s">
        <v>24</v>
      </c>
      <c r="D937" s="9" t="s">
        <v>18</v>
      </c>
      <c r="E937" s="9" t="s">
        <v>29</v>
      </c>
      <c r="F937" s="9" t="s">
        <v>30</v>
      </c>
      <c r="G937" s="9">
        <v>85.72</v>
      </c>
      <c r="H937" s="9">
        <v>3</v>
      </c>
      <c r="I937" s="9">
        <v>12.858000000000001</v>
      </c>
      <c r="J937" s="9">
        <v>270.01799999999997</v>
      </c>
      <c r="K937" s="10">
        <v>43489</v>
      </c>
      <c r="L937" s="11">
        <v>0.87430555555555556</v>
      </c>
      <c r="M937" s="9" t="s">
        <v>21</v>
      </c>
      <c r="N937" s="9">
        <v>257.16000000000003</v>
      </c>
      <c r="O937" s="9">
        <v>5.0999999999999996</v>
      </c>
    </row>
    <row r="938" spans="1:15">
      <c r="A938" s="9" t="s">
        <v>970</v>
      </c>
      <c r="B938" s="9" t="s">
        <v>23</v>
      </c>
      <c r="C938" s="9" t="s">
        <v>24</v>
      </c>
      <c r="D938" s="9" t="s">
        <v>25</v>
      </c>
      <c r="E938" s="9" t="s">
        <v>19</v>
      </c>
      <c r="F938" s="9" t="s">
        <v>20</v>
      </c>
      <c r="G938" s="9">
        <v>78.89</v>
      </c>
      <c r="H938" s="9">
        <v>7</v>
      </c>
      <c r="I938" s="9">
        <v>27.611499999999999</v>
      </c>
      <c r="J938" s="9">
        <v>579.8415</v>
      </c>
      <c r="K938" s="10">
        <v>43470</v>
      </c>
      <c r="L938" s="11">
        <v>0.82499999999999996</v>
      </c>
      <c r="M938" s="9" t="s">
        <v>21</v>
      </c>
      <c r="N938" s="9">
        <v>552.23</v>
      </c>
      <c r="O938" s="9">
        <v>7.5</v>
      </c>
    </row>
    <row r="939" spans="1:15">
      <c r="A939" s="9" t="s">
        <v>971</v>
      </c>
      <c r="B939" s="9" t="s">
        <v>16</v>
      </c>
      <c r="C939" s="9" t="s">
        <v>17</v>
      </c>
      <c r="D939" s="9" t="s">
        <v>25</v>
      </c>
      <c r="E939" s="9" t="s">
        <v>19</v>
      </c>
      <c r="F939" s="9" t="s">
        <v>34</v>
      </c>
      <c r="G939" s="9">
        <v>89.48</v>
      </c>
      <c r="H939" s="9">
        <v>5</v>
      </c>
      <c r="I939" s="9">
        <v>22.37</v>
      </c>
      <c r="J939" s="9">
        <v>469.77</v>
      </c>
      <c r="K939" s="10">
        <v>43554</v>
      </c>
      <c r="L939" s="11">
        <v>0.42916666666666664</v>
      </c>
      <c r="M939" s="9" t="s">
        <v>27</v>
      </c>
      <c r="N939" s="9">
        <v>447.4</v>
      </c>
      <c r="O939" s="9">
        <v>7.4</v>
      </c>
    </row>
    <row r="940" spans="1:15">
      <c r="A940" s="9" t="s">
        <v>972</v>
      </c>
      <c r="B940" s="9" t="s">
        <v>16</v>
      </c>
      <c r="C940" s="9" t="s">
        <v>17</v>
      </c>
      <c r="D940" s="9" t="s">
        <v>18</v>
      </c>
      <c r="E940" s="9" t="s">
        <v>19</v>
      </c>
      <c r="F940" s="9" t="s">
        <v>20</v>
      </c>
      <c r="G940" s="9">
        <v>92.09</v>
      </c>
      <c r="H940" s="9">
        <v>3</v>
      </c>
      <c r="I940" s="9">
        <v>13.813499999999999</v>
      </c>
      <c r="J940" s="9">
        <v>290.08350000000002</v>
      </c>
      <c r="K940" s="10">
        <v>43513</v>
      </c>
      <c r="L940" s="11">
        <v>0.68541666666666667</v>
      </c>
      <c r="M940" s="9" t="s">
        <v>27</v>
      </c>
      <c r="N940" s="9">
        <v>276.27</v>
      </c>
      <c r="O940" s="9">
        <v>4.2</v>
      </c>
    </row>
    <row r="941" spans="1:15">
      <c r="A941" s="9" t="s">
        <v>973</v>
      </c>
      <c r="B941" s="9" t="s">
        <v>23</v>
      </c>
      <c r="C941" s="9" t="s">
        <v>24</v>
      </c>
      <c r="D941" s="9" t="s">
        <v>25</v>
      </c>
      <c r="E941" s="9" t="s">
        <v>19</v>
      </c>
      <c r="F941" s="9" t="s">
        <v>42</v>
      </c>
      <c r="G941" s="9">
        <v>57.29</v>
      </c>
      <c r="H941" s="9">
        <v>6</v>
      </c>
      <c r="I941" s="9">
        <v>17.187000000000001</v>
      </c>
      <c r="J941" s="9">
        <v>360.92700000000002</v>
      </c>
      <c r="K941" s="10">
        <v>43545</v>
      </c>
      <c r="L941" s="11">
        <v>0.71111111111111114</v>
      </c>
      <c r="M941" s="9" t="s">
        <v>21</v>
      </c>
      <c r="N941" s="9">
        <v>343.74</v>
      </c>
      <c r="O941" s="9">
        <v>5.9</v>
      </c>
    </row>
    <row r="942" spans="1:15">
      <c r="A942" s="9" t="s">
        <v>974</v>
      </c>
      <c r="B942" s="9" t="s">
        <v>16</v>
      </c>
      <c r="C942" s="9" t="s">
        <v>17</v>
      </c>
      <c r="D942" s="9" t="s">
        <v>25</v>
      </c>
      <c r="E942" s="9" t="s">
        <v>29</v>
      </c>
      <c r="F942" s="9" t="s">
        <v>42</v>
      </c>
      <c r="G942" s="9">
        <v>66.52</v>
      </c>
      <c r="H942" s="9">
        <v>4</v>
      </c>
      <c r="I942" s="9">
        <v>13.304</v>
      </c>
      <c r="J942" s="9">
        <v>279.38400000000001</v>
      </c>
      <c r="K942" s="10">
        <v>43526</v>
      </c>
      <c r="L942" s="11">
        <v>0.75972222222222219</v>
      </c>
      <c r="M942" s="9" t="s">
        <v>21</v>
      </c>
      <c r="N942" s="9">
        <v>266.08</v>
      </c>
      <c r="O942" s="9">
        <v>6.9</v>
      </c>
    </row>
    <row r="943" spans="1:15">
      <c r="A943" s="9" t="s">
        <v>975</v>
      </c>
      <c r="B943" s="9" t="s">
        <v>23</v>
      </c>
      <c r="C943" s="9" t="s">
        <v>24</v>
      </c>
      <c r="D943" s="9" t="s">
        <v>18</v>
      </c>
      <c r="E943" s="9" t="s">
        <v>29</v>
      </c>
      <c r="F943" s="9" t="s">
        <v>44</v>
      </c>
      <c r="G943" s="9">
        <v>99.82</v>
      </c>
      <c r="H943" s="9">
        <v>9</v>
      </c>
      <c r="I943" s="9">
        <v>44.918999999999997</v>
      </c>
      <c r="J943" s="9">
        <v>943.29899999999998</v>
      </c>
      <c r="K943" s="10">
        <v>43551</v>
      </c>
      <c r="L943" s="11">
        <v>0.4465277777777778</v>
      </c>
      <c r="M943" s="9" t="s">
        <v>27</v>
      </c>
      <c r="N943" s="9">
        <v>898.38</v>
      </c>
      <c r="O943" s="9">
        <v>6.6</v>
      </c>
    </row>
    <row r="944" spans="1:15">
      <c r="A944" s="9" t="s">
        <v>976</v>
      </c>
      <c r="B944" s="9" t="s">
        <v>16</v>
      </c>
      <c r="C944" s="9" t="s">
        <v>17</v>
      </c>
      <c r="D944" s="9" t="s">
        <v>25</v>
      </c>
      <c r="E944" s="9" t="s">
        <v>19</v>
      </c>
      <c r="F944" s="9" t="s">
        <v>30</v>
      </c>
      <c r="G944" s="9">
        <v>45.68</v>
      </c>
      <c r="H944" s="9">
        <v>10</v>
      </c>
      <c r="I944" s="9">
        <v>22.84</v>
      </c>
      <c r="J944" s="9">
        <v>479.64</v>
      </c>
      <c r="K944" s="10">
        <v>43484</v>
      </c>
      <c r="L944" s="11">
        <v>0.8125</v>
      </c>
      <c r="M944" s="9" t="s">
        <v>21</v>
      </c>
      <c r="N944" s="9">
        <v>456.8</v>
      </c>
      <c r="O944" s="9">
        <v>5.7</v>
      </c>
    </row>
    <row r="945" spans="1:15">
      <c r="A945" s="9" t="s">
        <v>977</v>
      </c>
      <c r="B945" s="9" t="s">
        <v>16</v>
      </c>
      <c r="C945" s="9" t="s">
        <v>17</v>
      </c>
      <c r="D945" s="9" t="s">
        <v>25</v>
      </c>
      <c r="E945" s="9" t="s">
        <v>29</v>
      </c>
      <c r="F945" s="9" t="s">
        <v>20</v>
      </c>
      <c r="G945" s="9">
        <v>50.79</v>
      </c>
      <c r="H945" s="9">
        <v>5</v>
      </c>
      <c r="I945" s="9">
        <v>12.6975</v>
      </c>
      <c r="J945" s="9">
        <v>266.64749999999998</v>
      </c>
      <c r="K945" s="10">
        <v>43515</v>
      </c>
      <c r="L945" s="11">
        <v>0.62013888888888891</v>
      </c>
      <c r="M945" s="9" t="s">
        <v>31</v>
      </c>
      <c r="N945" s="9">
        <v>253.95</v>
      </c>
      <c r="O945" s="9">
        <v>5.3</v>
      </c>
    </row>
    <row r="946" spans="1:15">
      <c r="A946" s="9" t="s">
        <v>978</v>
      </c>
      <c r="B946" s="9" t="s">
        <v>16</v>
      </c>
      <c r="C946" s="9" t="s">
        <v>17</v>
      </c>
      <c r="D946" s="9" t="s">
        <v>18</v>
      </c>
      <c r="E946" s="9" t="s">
        <v>29</v>
      </c>
      <c r="F946" s="9" t="s">
        <v>20</v>
      </c>
      <c r="G946" s="9">
        <v>10.08</v>
      </c>
      <c r="H946" s="9">
        <v>7</v>
      </c>
      <c r="I946" s="9">
        <v>3.528</v>
      </c>
      <c r="J946" s="9">
        <v>74.087999999999994</v>
      </c>
      <c r="K946" s="10">
        <v>43552</v>
      </c>
      <c r="L946" s="11">
        <v>0.84305555555555556</v>
      </c>
      <c r="M946" s="9" t="s">
        <v>27</v>
      </c>
      <c r="N946" s="9">
        <v>70.56</v>
      </c>
      <c r="O946" s="9">
        <v>4.2</v>
      </c>
    </row>
    <row r="947" spans="1:15">
      <c r="A947" s="9" t="s">
        <v>979</v>
      </c>
      <c r="B947" s="9" t="s">
        <v>16</v>
      </c>
      <c r="C947" s="9" t="s">
        <v>17</v>
      </c>
      <c r="D947" s="9" t="s">
        <v>25</v>
      </c>
      <c r="E947" s="9" t="s">
        <v>19</v>
      </c>
      <c r="F947" s="9" t="s">
        <v>26</v>
      </c>
      <c r="G947" s="9">
        <v>93.88</v>
      </c>
      <c r="H947" s="9">
        <v>7</v>
      </c>
      <c r="I947" s="9">
        <v>32.857999999999997</v>
      </c>
      <c r="J947" s="9">
        <v>690.01800000000003</v>
      </c>
      <c r="K947" s="10">
        <v>43470</v>
      </c>
      <c r="L947" s="11">
        <v>0.49375000000000002</v>
      </c>
      <c r="M947" s="9" t="s">
        <v>31</v>
      </c>
      <c r="N947" s="9">
        <v>657.16</v>
      </c>
      <c r="O947" s="9">
        <v>7.3</v>
      </c>
    </row>
    <row r="948" spans="1:15">
      <c r="A948" s="9" t="s">
        <v>980</v>
      </c>
      <c r="B948" s="9" t="s">
        <v>23</v>
      </c>
      <c r="C948" s="9" t="s">
        <v>24</v>
      </c>
      <c r="D948" s="9" t="s">
        <v>18</v>
      </c>
      <c r="E948" s="9" t="s">
        <v>29</v>
      </c>
      <c r="F948" s="9" t="s">
        <v>26</v>
      </c>
      <c r="G948" s="9">
        <v>84.25</v>
      </c>
      <c r="H948" s="9">
        <v>2</v>
      </c>
      <c r="I948" s="9">
        <v>8.4250000000000007</v>
      </c>
      <c r="J948" s="9">
        <v>176.92500000000001</v>
      </c>
      <c r="K948" s="10">
        <v>43550</v>
      </c>
      <c r="L948" s="11">
        <v>0.59236111111111112</v>
      </c>
      <c r="M948" s="9" t="s">
        <v>31</v>
      </c>
      <c r="N948" s="9">
        <v>168.5</v>
      </c>
      <c r="O948" s="9">
        <v>5.3</v>
      </c>
    </row>
    <row r="949" spans="1:15">
      <c r="A949" s="9" t="s">
        <v>981</v>
      </c>
      <c r="B949" s="9" t="s">
        <v>40</v>
      </c>
      <c r="C949" s="9" t="s">
        <v>41</v>
      </c>
      <c r="D949" s="9" t="s">
        <v>18</v>
      </c>
      <c r="E949" s="9" t="s">
        <v>29</v>
      </c>
      <c r="F949" s="9" t="s">
        <v>44</v>
      </c>
      <c r="G949" s="9">
        <v>53.78</v>
      </c>
      <c r="H949" s="9">
        <v>1</v>
      </c>
      <c r="I949" s="9">
        <v>2.6890000000000001</v>
      </c>
      <c r="J949" s="9">
        <v>56.469000000000001</v>
      </c>
      <c r="K949" s="10">
        <v>43499</v>
      </c>
      <c r="L949" s="11">
        <v>0.84236111111111112</v>
      </c>
      <c r="M949" s="9" t="s">
        <v>21</v>
      </c>
      <c r="N949" s="9">
        <v>53.78</v>
      </c>
      <c r="O949" s="9">
        <v>4.7</v>
      </c>
    </row>
    <row r="950" spans="1:15">
      <c r="A950" s="9" t="s">
        <v>982</v>
      </c>
      <c r="B950" s="9" t="s">
        <v>23</v>
      </c>
      <c r="C950" s="9" t="s">
        <v>24</v>
      </c>
      <c r="D950" s="9" t="s">
        <v>18</v>
      </c>
      <c r="E950" s="9" t="s">
        <v>29</v>
      </c>
      <c r="F950" s="9" t="s">
        <v>30</v>
      </c>
      <c r="G950" s="9">
        <v>35.81</v>
      </c>
      <c r="H950" s="9">
        <v>5</v>
      </c>
      <c r="I950" s="9">
        <v>8.9525000000000006</v>
      </c>
      <c r="J950" s="9">
        <v>188.0025</v>
      </c>
      <c r="K950" s="10">
        <v>43502</v>
      </c>
      <c r="L950" s="11">
        <v>0.78055555555555556</v>
      </c>
      <c r="M950" s="9" t="s">
        <v>21</v>
      </c>
      <c r="N950" s="9">
        <v>179.05</v>
      </c>
      <c r="O950" s="9">
        <v>7.9</v>
      </c>
    </row>
    <row r="951" spans="1:15">
      <c r="A951" s="9" t="s">
        <v>983</v>
      </c>
      <c r="B951" s="9" t="s">
        <v>40</v>
      </c>
      <c r="C951" s="9" t="s">
        <v>41</v>
      </c>
      <c r="D951" s="9" t="s">
        <v>25</v>
      </c>
      <c r="E951" s="9" t="s">
        <v>19</v>
      </c>
      <c r="F951" s="9" t="s">
        <v>42</v>
      </c>
      <c r="G951" s="9">
        <v>26.43</v>
      </c>
      <c r="H951" s="9">
        <v>8</v>
      </c>
      <c r="I951" s="9">
        <v>10.571999999999999</v>
      </c>
      <c r="J951" s="9">
        <v>222.012</v>
      </c>
      <c r="K951" s="10">
        <v>43520</v>
      </c>
      <c r="L951" s="11">
        <v>0.60138888888888886</v>
      </c>
      <c r="M951" s="9" t="s">
        <v>21</v>
      </c>
      <c r="N951" s="9">
        <v>211.44</v>
      </c>
      <c r="O951" s="9">
        <v>8.9</v>
      </c>
    </row>
    <row r="952" spans="1:15">
      <c r="A952" s="9" t="s">
        <v>984</v>
      </c>
      <c r="B952" s="9" t="s">
        <v>40</v>
      </c>
      <c r="C952" s="9" t="s">
        <v>41</v>
      </c>
      <c r="D952" s="9" t="s">
        <v>18</v>
      </c>
      <c r="E952" s="9" t="s">
        <v>29</v>
      </c>
      <c r="F952" s="9" t="s">
        <v>20</v>
      </c>
      <c r="G952" s="9">
        <v>39.909999999999997</v>
      </c>
      <c r="H952" s="9">
        <v>3</v>
      </c>
      <c r="I952" s="9">
        <v>5.9865000000000004</v>
      </c>
      <c r="J952" s="9">
        <v>125.7165</v>
      </c>
      <c r="K952" s="10">
        <v>43517</v>
      </c>
      <c r="L952" s="11">
        <v>0.52777777777777779</v>
      </c>
      <c r="M952" s="9" t="s">
        <v>21</v>
      </c>
      <c r="N952" s="9">
        <v>119.73</v>
      </c>
      <c r="O952" s="9">
        <v>9.3000000000000007</v>
      </c>
    </row>
    <row r="953" spans="1:15">
      <c r="A953" s="9" t="s">
        <v>985</v>
      </c>
      <c r="B953" s="9" t="s">
        <v>40</v>
      </c>
      <c r="C953" s="9" t="s">
        <v>41</v>
      </c>
      <c r="D953" s="9" t="s">
        <v>18</v>
      </c>
      <c r="E953" s="9" t="s">
        <v>19</v>
      </c>
      <c r="F953" s="9" t="s">
        <v>30</v>
      </c>
      <c r="G953" s="9">
        <v>21.9</v>
      </c>
      <c r="H953" s="9">
        <v>3</v>
      </c>
      <c r="I953" s="9">
        <v>3.2850000000000001</v>
      </c>
      <c r="J953" s="9">
        <v>68.984999999999999</v>
      </c>
      <c r="K953" s="10">
        <v>43474</v>
      </c>
      <c r="L953" s="11">
        <v>0.77986111111111112</v>
      </c>
      <c r="M953" s="9" t="s">
        <v>21</v>
      </c>
      <c r="N953" s="9">
        <v>65.7</v>
      </c>
      <c r="O953" s="9">
        <v>4.7</v>
      </c>
    </row>
    <row r="954" spans="1:15">
      <c r="A954" s="9" t="s">
        <v>986</v>
      </c>
      <c r="B954" s="9" t="s">
        <v>40</v>
      </c>
      <c r="C954" s="9" t="s">
        <v>41</v>
      </c>
      <c r="D954" s="9" t="s">
        <v>18</v>
      </c>
      <c r="E954" s="9" t="s">
        <v>19</v>
      </c>
      <c r="F954" s="9" t="s">
        <v>42</v>
      </c>
      <c r="G954" s="9">
        <v>62.85</v>
      </c>
      <c r="H954" s="9">
        <v>4</v>
      </c>
      <c r="I954" s="9">
        <v>12.57</v>
      </c>
      <c r="J954" s="9">
        <v>263.97000000000003</v>
      </c>
      <c r="K954" s="10">
        <v>43521</v>
      </c>
      <c r="L954" s="11">
        <v>0.55694444444444446</v>
      </c>
      <c r="M954" s="9" t="s">
        <v>21</v>
      </c>
      <c r="N954" s="9">
        <v>251.4</v>
      </c>
      <c r="O954" s="9">
        <v>8.6999999999999993</v>
      </c>
    </row>
    <row r="955" spans="1:15">
      <c r="A955" s="9" t="s">
        <v>987</v>
      </c>
      <c r="B955" s="9" t="s">
        <v>23</v>
      </c>
      <c r="C955" s="9" t="s">
        <v>24</v>
      </c>
      <c r="D955" s="9" t="s">
        <v>18</v>
      </c>
      <c r="E955" s="9" t="s">
        <v>19</v>
      </c>
      <c r="F955" s="9" t="s">
        <v>42</v>
      </c>
      <c r="G955" s="9">
        <v>21.04</v>
      </c>
      <c r="H955" s="9">
        <v>4</v>
      </c>
      <c r="I955" s="9">
        <v>4.2080000000000002</v>
      </c>
      <c r="J955" s="9">
        <v>88.367999999999995</v>
      </c>
      <c r="K955" s="10">
        <v>43478</v>
      </c>
      <c r="L955" s="11">
        <v>0.58194444444444449</v>
      </c>
      <c r="M955" s="9" t="s">
        <v>27</v>
      </c>
      <c r="N955" s="9">
        <v>84.16</v>
      </c>
      <c r="O955" s="9">
        <v>7.6</v>
      </c>
    </row>
    <row r="956" spans="1:15">
      <c r="A956" s="9" t="s">
        <v>988</v>
      </c>
      <c r="B956" s="9" t="s">
        <v>40</v>
      </c>
      <c r="C956" s="9" t="s">
        <v>41</v>
      </c>
      <c r="D956" s="9" t="s">
        <v>18</v>
      </c>
      <c r="E956" s="9" t="s">
        <v>29</v>
      </c>
      <c r="F956" s="9" t="s">
        <v>30</v>
      </c>
      <c r="G956" s="9">
        <v>65.91</v>
      </c>
      <c r="H956" s="9">
        <v>6</v>
      </c>
      <c r="I956" s="9">
        <v>19.773</v>
      </c>
      <c r="J956" s="9">
        <v>415.233</v>
      </c>
      <c r="K956" s="10">
        <v>43505</v>
      </c>
      <c r="L956" s="11">
        <v>0.48958333333333331</v>
      </c>
      <c r="M956" s="9" t="s">
        <v>27</v>
      </c>
      <c r="N956" s="9">
        <v>395.46</v>
      </c>
      <c r="O956" s="9">
        <v>5.7</v>
      </c>
    </row>
    <row r="957" spans="1:15">
      <c r="A957" s="9" t="s">
        <v>989</v>
      </c>
      <c r="B957" s="9" t="s">
        <v>16</v>
      </c>
      <c r="C957" s="9" t="s">
        <v>17</v>
      </c>
      <c r="D957" s="9" t="s">
        <v>25</v>
      </c>
      <c r="E957" s="9" t="s">
        <v>19</v>
      </c>
      <c r="F957" s="9" t="s">
        <v>44</v>
      </c>
      <c r="G957" s="9">
        <v>42.57</v>
      </c>
      <c r="H957" s="9">
        <v>7</v>
      </c>
      <c r="I957" s="9">
        <v>14.8995</v>
      </c>
      <c r="J957" s="9">
        <v>312.8895</v>
      </c>
      <c r="K957" s="10">
        <v>43471</v>
      </c>
      <c r="L957" s="11">
        <v>0.49375000000000002</v>
      </c>
      <c r="M957" s="9" t="s">
        <v>27</v>
      </c>
      <c r="N957" s="9">
        <v>297.99</v>
      </c>
      <c r="O957" s="9">
        <v>6.8</v>
      </c>
    </row>
    <row r="958" spans="1:15">
      <c r="A958" s="9" t="s">
        <v>990</v>
      </c>
      <c r="B958" s="9" t="s">
        <v>23</v>
      </c>
      <c r="C958" s="9" t="s">
        <v>24</v>
      </c>
      <c r="D958" s="9" t="s">
        <v>18</v>
      </c>
      <c r="E958" s="9" t="s">
        <v>29</v>
      </c>
      <c r="F958" s="9" t="s">
        <v>42</v>
      </c>
      <c r="G958" s="9">
        <v>50.49</v>
      </c>
      <c r="H958" s="9">
        <v>9</v>
      </c>
      <c r="I958" s="9">
        <v>22.720500000000001</v>
      </c>
      <c r="J958" s="9">
        <v>477.13049999999998</v>
      </c>
      <c r="K958" s="10">
        <v>43475</v>
      </c>
      <c r="L958" s="11">
        <v>0.71944444444444444</v>
      </c>
      <c r="M958" s="9" t="s">
        <v>27</v>
      </c>
      <c r="N958" s="9">
        <v>454.41</v>
      </c>
      <c r="O958" s="9">
        <v>5.4</v>
      </c>
    </row>
    <row r="959" spans="1:15">
      <c r="A959" s="9" t="s">
        <v>991</v>
      </c>
      <c r="B959" s="9" t="s">
        <v>40</v>
      </c>
      <c r="C959" s="9" t="s">
        <v>41</v>
      </c>
      <c r="D959" s="9" t="s">
        <v>25</v>
      </c>
      <c r="E959" s="9" t="s">
        <v>29</v>
      </c>
      <c r="F959" s="9" t="s">
        <v>26</v>
      </c>
      <c r="G959" s="9">
        <v>46.02</v>
      </c>
      <c r="H959" s="9">
        <v>6</v>
      </c>
      <c r="I959" s="9">
        <v>13.805999999999999</v>
      </c>
      <c r="J959" s="9">
        <v>289.92599999999999</v>
      </c>
      <c r="K959" s="10">
        <v>43503</v>
      </c>
      <c r="L959" s="11">
        <v>0.66319444444444442</v>
      </c>
      <c r="M959" s="9" t="s">
        <v>27</v>
      </c>
      <c r="N959" s="9">
        <v>276.12</v>
      </c>
      <c r="O959" s="9">
        <v>7.1</v>
      </c>
    </row>
    <row r="960" spans="1:15">
      <c r="A960" s="9" t="s">
        <v>992</v>
      </c>
      <c r="B960" s="9" t="s">
        <v>23</v>
      </c>
      <c r="C960" s="9" t="s">
        <v>24</v>
      </c>
      <c r="D960" s="9" t="s">
        <v>25</v>
      </c>
      <c r="E960" s="9" t="s">
        <v>19</v>
      </c>
      <c r="F960" s="9" t="s">
        <v>30</v>
      </c>
      <c r="G960" s="9">
        <v>15.8</v>
      </c>
      <c r="H960" s="9">
        <v>10</v>
      </c>
      <c r="I960" s="9">
        <v>7.9</v>
      </c>
      <c r="J960" s="9">
        <v>165.9</v>
      </c>
      <c r="K960" s="10">
        <v>43474</v>
      </c>
      <c r="L960" s="11">
        <v>0.50486111111111109</v>
      </c>
      <c r="M960" s="9" t="s">
        <v>27</v>
      </c>
      <c r="N960" s="9">
        <v>158</v>
      </c>
      <c r="O960" s="9">
        <v>7.8</v>
      </c>
    </row>
    <row r="961" spans="1:15">
      <c r="A961" s="9" t="s">
        <v>993</v>
      </c>
      <c r="B961" s="9" t="s">
        <v>16</v>
      </c>
      <c r="C961" s="9" t="s">
        <v>17</v>
      </c>
      <c r="D961" s="9" t="s">
        <v>18</v>
      </c>
      <c r="E961" s="9" t="s">
        <v>19</v>
      </c>
      <c r="F961" s="9" t="s">
        <v>42</v>
      </c>
      <c r="G961" s="9">
        <v>98.66</v>
      </c>
      <c r="H961" s="9">
        <v>9</v>
      </c>
      <c r="I961" s="9">
        <v>44.396999999999998</v>
      </c>
      <c r="J961" s="9">
        <v>932.33699999999999</v>
      </c>
      <c r="K961" s="10">
        <v>43515</v>
      </c>
      <c r="L961" s="11">
        <v>0.62986111111111109</v>
      </c>
      <c r="M961" s="9" t="s">
        <v>27</v>
      </c>
      <c r="N961" s="9">
        <v>887.94</v>
      </c>
      <c r="O961" s="9">
        <v>8.4</v>
      </c>
    </row>
    <row r="962" spans="1:15">
      <c r="A962" s="9" t="s">
        <v>994</v>
      </c>
      <c r="B962" s="9" t="s">
        <v>23</v>
      </c>
      <c r="C962" s="9" t="s">
        <v>24</v>
      </c>
      <c r="D962" s="9" t="s">
        <v>18</v>
      </c>
      <c r="E962" s="9" t="s">
        <v>29</v>
      </c>
      <c r="F962" s="9" t="s">
        <v>44</v>
      </c>
      <c r="G962" s="9">
        <v>91.98</v>
      </c>
      <c r="H962" s="9">
        <v>1</v>
      </c>
      <c r="I962" s="9">
        <v>4.5990000000000002</v>
      </c>
      <c r="J962" s="9">
        <v>96.578999999999994</v>
      </c>
      <c r="K962" s="10">
        <v>43542</v>
      </c>
      <c r="L962" s="11">
        <v>0.64513888888888893</v>
      </c>
      <c r="M962" s="9" t="s">
        <v>27</v>
      </c>
      <c r="N962" s="9">
        <v>91.98</v>
      </c>
      <c r="O962" s="9">
        <v>9.8000000000000007</v>
      </c>
    </row>
    <row r="963" spans="1:15">
      <c r="A963" s="9" t="s">
        <v>995</v>
      </c>
      <c r="B963" s="9" t="s">
        <v>16</v>
      </c>
      <c r="C963" s="9" t="s">
        <v>17</v>
      </c>
      <c r="D963" s="9" t="s">
        <v>18</v>
      </c>
      <c r="E963" s="9" t="s">
        <v>29</v>
      </c>
      <c r="F963" s="9" t="s">
        <v>26</v>
      </c>
      <c r="G963" s="9">
        <v>20.89</v>
      </c>
      <c r="H963" s="9">
        <v>2</v>
      </c>
      <c r="I963" s="9">
        <v>2.089</v>
      </c>
      <c r="J963" s="9">
        <v>43.869</v>
      </c>
      <c r="K963" s="10">
        <v>43501</v>
      </c>
      <c r="L963" s="11">
        <v>0.78125</v>
      </c>
      <c r="M963" s="9" t="s">
        <v>27</v>
      </c>
      <c r="N963" s="9">
        <v>41.78</v>
      </c>
      <c r="O963" s="9">
        <v>9.8000000000000007</v>
      </c>
    </row>
    <row r="964" spans="1:15">
      <c r="A964" s="9" t="s">
        <v>996</v>
      </c>
      <c r="B964" s="9" t="s">
        <v>16</v>
      </c>
      <c r="C964" s="9" t="s">
        <v>17</v>
      </c>
      <c r="D964" s="9" t="s">
        <v>25</v>
      </c>
      <c r="E964" s="9" t="s">
        <v>19</v>
      </c>
      <c r="F964" s="9" t="s">
        <v>44</v>
      </c>
      <c r="G964" s="9">
        <v>15.5</v>
      </c>
      <c r="H964" s="9">
        <v>1</v>
      </c>
      <c r="I964" s="9">
        <v>0.77500000000000002</v>
      </c>
      <c r="J964" s="9">
        <v>16.274999999999999</v>
      </c>
      <c r="K964" s="10">
        <v>43543</v>
      </c>
      <c r="L964" s="11">
        <v>0.64097222222222228</v>
      </c>
      <c r="M964" s="9" t="s">
        <v>31</v>
      </c>
      <c r="N964" s="9">
        <v>15.5</v>
      </c>
      <c r="O964" s="9">
        <v>7.4</v>
      </c>
    </row>
    <row r="965" spans="1:15">
      <c r="A965" s="9" t="s">
        <v>997</v>
      </c>
      <c r="B965" s="9" t="s">
        <v>23</v>
      </c>
      <c r="C965" s="9" t="s">
        <v>24</v>
      </c>
      <c r="D965" s="9" t="s">
        <v>18</v>
      </c>
      <c r="E965" s="9" t="s">
        <v>29</v>
      </c>
      <c r="F965" s="9" t="s">
        <v>26</v>
      </c>
      <c r="G965" s="9">
        <v>96.82</v>
      </c>
      <c r="H965" s="9">
        <v>3</v>
      </c>
      <c r="I965" s="9">
        <v>14.523</v>
      </c>
      <c r="J965" s="9">
        <v>304.983</v>
      </c>
      <c r="K965" s="10">
        <v>43554</v>
      </c>
      <c r="L965" s="11">
        <v>0.85902777777777772</v>
      </c>
      <c r="M965" s="9" t="s">
        <v>27</v>
      </c>
      <c r="N965" s="9">
        <v>290.45999999999998</v>
      </c>
      <c r="O965" s="9">
        <v>6.7</v>
      </c>
    </row>
    <row r="966" spans="1:15">
      <c r="A966" s="9" t="s">
        <v>998</v>
      </c>
      <c r="B966" s="9" t="s">
        <v>40</v>
      </c>
      <c r="C966" s="9" t="s">
        <v>41</v>
      </c>
      <c r="D966" s="9" t="s">
        <v>25</v>
      </c>
      <c r="E966" s="9" t="s">
        <v>29</v>
      </c>
      <c r="F966" s="9" t="s">
        <v>42</v>
      </c>
      <c r="G966" s="9">
        <v>33.33</v>
      </c>
      <c r="H966" s="9">
        <v>2</v>
      </c>
      <c r="I966" s="9">
        <v>3.3330000000000002</v>
      </c>
      <c r="J966" s="9">
        <v>69.992999999999995</v>
      </c>
      <c r="K966" s="10">
        <v>43491</v>
      </c>
      <c r="L966" s="11">
        <v>0.6118055555555556</v>
      </c>
      <c r="M966" s="9" t="s">
        <v>31</v>
      </c>
      <c r="N966" s="9">
        <v>66.66</v>
      </c>
      <c r="O966" s="9">
        <v>6.4</v>
      </c>
    </row>
    <row r="967" spans="1:15">
      <c r="A967" s="9" t="s">
        <v>999</v>
      </c>
      <c r="B967" s="9" t="s">
        <v>40</v>
      </c>
      <c r="C967" s="9" t="s">
        <v>41</v>
      </c>
      <c r="D967" s="9" t="s">
        <v>25</v>
      </c>
      <c r="E967" s="9" t="s">
        <v>19</v>
      </c>
      <c r="F967" s="9" t="s">
        <v>26</v>
      </c>
      <c r="G967" s="9">
        <v>38.270000000000003</v>
      </c>
      <c r="H967" s="9">
        <v>2</v>
      </c>
      <c r="I967" s="9">
        <v>3.827</v>
      </c>
      <c r="J967" s="9">
        <v>80.367000000000004</v>
      </c>
      <c r="K967" s="10">
        <v>43526</v>
      </c>
      <c r="L967" s="11">
        <v>0.76249999999999996</v>
      </c>
      <c r="M967" s="9" t="s">
        <v>31</v>
      </c>
      <c r="N967" s="9">
        <v>76.540000000000006</v>
      </c>
      <c r="O967" s="9">
        <v>5.8</v>
      </c>
    </row>
    <row r="968" spans="1:15">
      <c r="A968" s="9" t="s">
        <v>1000</v>
      </c>
      <c r="B968" s="9" t="s">
        <v>16</v>
      </c>
      <c r="C968" s="9" t="s">
        <v>17</v>
      </c>
      <c r="D968" s="9" t="s">
        <v>25</v>
      </c>
      <c r="E968" s="9" t="s">
        <v>19</v>
      </c>
      <c r="F968" s="9" t="s">
        <v>30</v>
      </c>
      <c r="G968" s="9">
        <v>33.299999999999997</v>
      </c>
      <c r="H968" s="9">
        <v>9</v>
      </c>
      <c r="I968" s="9">
        <v>14.984999999999999</v>
      </c>
      <c r="J968" s="9">
        <v>314.685</v>
      </c>
      <c r="K968" s="10">
        <v>43528</v>
      </c>
      <c r="L968" s="11">
        <v>0.64375000000000004</v>
      </c>
      <c r="M968" s="9" t="s">
        <v>21</v>
      </c>
      <c r="N968" s="9">
        <v>299.7</v>
      </c>
      <c r="O968" s="9">
        <v>7.2</v>
      </c>
    </row>
    <row r="969" spans="1:15">
      <c r="A969" s="9" t="s">
        <v>1001</v>
      </c>
      <c r="B969" s="9" t="s">
        <v>16</v>
      </c>
      <c r="C969" s="9" t="s">
        <v>17</v>
      </c>
      <c r="D969" s="9" t="s">
        <v>18</v>
      </c>
      <c r="E969" s="9" t="s">
        <v>29</v>
      </c>
      <c r="F969" s="9" t="s">
        <v>30</v>
      </c>
      <c r="G969" s="9">
        <v>81.010000000000005</v>
      </c>
      <c r="H969" s="9">
        <v>3</v>
      </c>
      <c r="I969" s="9">
        <v>12.1515</v>
      </c>
      <c r="J969" s="9">
        <v>255.1815</v>
      </c>
      <c r="K969" s="10">
        <v>43478</v>
      </c>
      <c r="L969" s="11">
        <v>0.53819444444444442</v>
      </c>
      <c r="M969" s="9" t="s">
        <v>31</v>
      </c>
      <c r="N969" s="9">
        <v>243.03</v>
      </c>
      <c r="O969" s="9">
        <v>9.3000000000000007</v>
      </c>
    </row>
    <row r="970" spans="1:15">
      <c r="A970" s="9" t="s">
        <v>1002</v>
      </c>
      <c r="B970" s="9" t="s">
        <v>16</v>
      </c>
      <c r="C970" s="9" t="s">
        <v>17</v>
      </c>
      <c r="D970" s="9" t="s">
        <v>25</v>
      </c>
      <c r="E970" s="9" t="s">
        <v>19</v>
      </c>
      <c r="F970" s="9" t="s">
        <v>20</v>
      </c>
      <c r="G970" s="9">
        <v>15.8</v>
      </c>
      <c r="H970" s="9">
        <v>3</v>
      </c>
      <c r="I970" s="9">
        <v>2.37</v>
      </c>
      <c r="J970" s="9">
        <v>49.77</v>
      </c>
      <c r="K970" s="10">
        <v>43549</v>
      </c>
      <c r="L970" s="11">
        <v>0.75138888888888888</v>
      </c>
      <c r="M970" s="9" t="s">
        <v>27</v>
      </c>
      <c r="N970" s="9">
        <v>47.4</v>
      </c>
      <c r="O970" s="9">
        <v>9.5</v>
      </c>
    </row>
    <row r="971" spans="1:15">
      <c r="A971" s="9" t="s">
        <v>1003</v>
      </c>
      <c r="B971" s="9" t="s">
        <v>40</v>
      </c>
      <c r="C971" s="9" t="s">
        <v>41</v>
      </c>
      <c r="D971" s="9" t="s">
        <v>18</v>
      </c>
      <c r="E971" s="9" t="s">
        <v>19</v>
      </c>
      <c r="F971" s="9" t="s">
        <v>26</v>
      </c>
      <c r="G971" s="9">
        <v>34.49</v>
      </c>
      <c r="H971" s="9">
        <v>5</v>
      </c>
      <c r="I971" s="9">
        <v>8.6225000000000005</v>
      </c>
      <c r="J971" s="9">
        <v>181.07249999999999</v>
      </c>
      <c r="K971" s="10">
        <v>43535</v>
      </c>
      <c r="L971" s="11">
        <v>0.82222222222222219</v>
      </c>
      <c r="M971" s="9" t="s">
        <v>31</v>
      </c>
      <c r="N971" s="9">
        <v>172.45</v>
      </c>
      <c r="O971" s="9">
        <v>9</v>
      </c>
    </row>
    <row r="972" spans="1:15">
      <c r="A972" s="9" t="s">
        <v>1004</v>
      </c>
      <c r="B972" s="9" t="s">
        <v>40</v>
      </c>
      <c r="C972" s="9" t="s">
        <v>41</v>
      </c>
      <c r="D972" s="9" t="s">
        <v>18</v>
      </c>
      <c r="E972" s="9" t="s">
        <v>19</v>
      </c>
      <c r="F972" s="9" t="s">
        <v>42</v>
      </c>
      <c r="G972" s="9">
        <v>84.63</v>
      </c>
      <c r="H972" s="9">
        <v>10</v>
      </c>
      <c r="I972" s="9">
        <v>42.314999999999998</v>
      </c>
      <c r="J972" s="9">
        <v>888.61500000000001</v>
      </c>
      <c r="K972" s="10">
        <v>43466</v>
      </c>
      <c r="L972" s="11">
        <v>0.48333333333333334</v>
      </c>
      <c r="M972" s="9" t="s">
        <v>31</v>
      </c>
      <c r="N972" s="9">
        <v>846.3</v>
      </c>
      <c r="O972" s="9">
        <v>9</v>
      </c>
    </row>
    <row r="973" spans="1:15">
      <c r="A973" s="9" t="s">
        <v>1005</v>
      </c>
      <c r="B973" s="9" t="s">
        <v>40</v>
      </c>
      <c r="C973" s="9" t="s">
        <v>41</v>
      </c>
      <c r="D973" s="9" t="s">
        <v>18</v>
      </c>
      <c r="E973" s="9" t="s">
        <v>29</v>
      </c>
      <c r="F973" s="9" t="s">
        <v>30</v>
      </c>
      <c r="G973" s="9">
        <v>36.909999999999997</v>
      </c>
      <c r="H973" s="9">
        <v>7</v>
      </c>
      <c r="I973" s="9">
        <v>12.9185</v>
      </c>
      <c r="J973" s="9">
        <v>271.2885</v>
      </c>
      <c r="K973" s="10">
        <v>43506</v>
      </c>
      <c r="L973" s="11">
        <v>0.57708333333333328</v>
      </c>
      <c r="M973" s="9" t="s">
        <v>21</v>
      </c>
      <c r="N973" s="9">
        <v>258.37</v>
      </c>
      <c r="O973" s="9">
        <v>6.7</v>
      </c>
    </row>
    <row r="974" spans="1:15">
      <c r="A974" s="9" t="s">
        <v>1006</v>
      </c>
      <c r="B974" s="9" t="s">
        <v>40</v>
      </c>
      <c r="C974" s="9" t="s">
        <v>41</v>
      </c>
      <c r="D974" s="9" t="s">
        <v>25</v>
      </c>
      <c r="E974" s="9" t="s">
        <v>29</v>
      </c>
      <c r="F974" s="9" t="s">
        <v>26</v>
      </c>
      <c r="G974" s="9">
        <v>87.08</v>
      </c>
      <c r="H974" s="9">
        <v>7</v>
      </c>
      <c r="I974" s="9">
        <v>30.478000000000002</v>
      </c>
      <c r="J974" s="9">
        <v>640.03800000000001</v>
      </c>
      <c r="K974" s="10">
        <v>43491</v>
      </c>
      <c r="L974" s="11">
        <v>0.63680555555555551</v>
      </c>
      <c r="M974" s="9" t="s">
        <v>27</v>
      </c>
      <c r="N974" s="9">
        <v>609.55999999999995</v>
      </c>
      <c r="O974" s="9">
        <v>5.5</v>
      </c>
    </row>
    <row r="975" spans="1:15">
      <c r="A975" s="9" t="s">
        <v>1007</v>
      </c>
      <c r="B975" s="9" t="s">
        <v>16</v>
      </c>
      <c r="C975" s="9" t="s">
        <v>17</v>
      </c>
      <c r="D975" s="9" t="s">
        <v>25</v>
      </c>
      <c r="E975" s="9" t="s">
        <v>29</v>
      </c>
      <c r="F975" s="9" t="s">
        <v>30</v>
      </c>
      <c r="G975" s="9">
        <v>80.08</v>
      </c>
      <c r="H975" s="9">
        <v>3</v>
      </c>
      <c r="I975" s="9">
        <v>12.012</v>
      </c>
      <c r="J975" s="9">
        <v>252.25200000000001</v>
      </c>
      <c r="K975" s="10">
        <v>43507</v>
      </c>
      <c r="L975" s="11">
        <v>0.64513888888888893</v>
      </c>
      <c r="M975" s="9" t="s">
        <v>27</v>
      </c>
      <c r="N975" s="9">
        <v>240.24</v>
      </c>
      <c r="O975" s="9">
        <v>5.4</v>
      </c>
    </row>
    <row r="976" spans="1:15">
      <c r="A976" s="9" t="s">
        <v>1008</v>
      </c>
      <c r="B976" s="9" t="s">
        <v>23</v>
      </c>
      <c r="C976" s="9" t="s">
        <v>24</v>
      </c>
      <c r="D976" s="9" t="s">
        <v>25</v>
      </c>
      <c r="E976" s="9" t="s">
        <v>29</v>
      </c>
      <c r="F976" s="9" t="s">
        <v>44</v>
      </c>
      <c r="G976" s="9">
        <v>86.13</v>
      </c>
      <c r="H976" s="9">
        <v>2</v>
      </c>
      <c r="I976" s="9">
        <v>8.6129999999999995</v>
      </c>
      <c r="J976" s="9">
        <v>180.87299999999999</v>
      </c>
      <c r="K976" s="10">
        <v>43503</v>
      </c>
      <c r="L976" s="11">
        <v>0.74930555555555556</v>
      </c>
      <c r="M976" s="9" t="s">
        <v>27</v>
      </c>
      <c r="N976" s="9">
        <v>172.26</v>
      </c>
      <c r="O976" s="9">
        <v>8.1999999999999993</v>
      </c>
    </row>
    <row r="977" spans="1:15">
      <c r="A977" s="9" t="s">
        <v>1009</v>
      </c>
      <c r="B977" s="9" t="s">
        <v>40</v>
      </c>
      <c r="C977" s="9" t="s">
        <v>41</v>
      </c>
      <c r="D977" s="9" t="s">
        <v>18</v>
      </c>
      <c r="E977" s="9" t="s">
        <v>29</v>
      </c>
      <c r="F977" s="9" t="s">
        <v>44</v>
      </c>
      <c r="G977" s="9">
        <v>49.92</v>
      </c>
      <c r="H977" s="9">
        <v>2</v>
      </c>
      <c r="I977" s="9">
        <v>4.992</v>
      </c>
      <c r="J977" s="9">
        <v>104.83199999999999</v>
      </c>
      <c r="K977" s="10">
        <v>43530</v>
      </c>
      <c r="L977" s="11">
        <v>0.49652777777777779</v>
      </c>
      <c r="M977" s="9" t="s">
        <v>31</v>
      </c>
      <c r="N977" s="9">
        <v>99.84</v>
      </c>
      <c r="O977" s="9">
        <v>7</v>
      </c>
    </row>
    <row r="978" spans="1:15">
      <c r="A978" s="9" t="s">
        <v>1010</v>
      </c>
      <c r="B978" s="9" t="s">
        <v>16</v>
      </c>
      <c r="C978" s="9" t="s">
        <v>17</v>
      </c>
      <c r="D978" s="9" t="s">
        <v>25</v>
      </c>
      <c r="E978" s="9" t="s">
        <v>19</v>
      </c>
      <c r="F978" s="9" t="s">
        <v>42</v>
      </c>
      <c r="G978" s="9">
        <v>74.66</v>
      </c>
      <c r="H978" s="9">
        <v>4</v>
      </c>
      <c r="I978" s="9">
        <v>14.932</v>
      </c>
      <c r="J978" s="9">
        <v>313.572</v>
      </c>
      <c r="K978" s="10">
        <v>43528</v>
      </c>
      <c r="L978" s="11">
        <v>0.44374999999999998</v>
      </c>
      <c r="M978" s="9" t="s">
        <v>27</v>
      </c>
      <c r="N978" s="9">
        <v>298.64</v>
      </c>
      <c r="O978" s="9">
        <v>8.5</v>
      </c>
    </row>
    <row r="979" spans="1:15">
      <c r="A979" s="9" t="s">
        <v>1011</v>
      </c>
      <c r="B979" s="9" t="s">
        <v>40</v>
      </c>
      <c r="C979" s="9" t="s">
        <v>41</v>
      </c>
      <c r="D979" s="9" t="s">
        <v>18</v>
      </c>
      <c r="E979" s="9" t="s">
        <v>29</v>
      </c>
      <c r="F979" s="9" t="s">
        <v>42</v>
      </c>
      <c r="G979" s="9">
        <v>26.6</v>
      </c>
      <c r="H979" s="9">
        <v>6</v>
      </c>
      <c r="I979" s="9">
        <v>7.98</v>
      </c>
      <c r="J979" s="9">
        <v>167.58</v>
      </c>
      <c r="K979" s="10">
        <v>43522</v>
      </c>
      <c r="L979" s="11">
        <v>0.63194444444444442</v>
      </c>
      <c r="M979" s="9" t="s">
        <v>21</v>
      </c>
      <c r="N979" s="9">
        <v>159.6</v>
      </c>
      <c r="O979" s="9">
        <v>4.9000000000000004</v>
      </c>
    </row>
    <row r="980" spans="1:15">
      <c r="A980" s="9" t="s">
        <v>1012</v>
      </c>
      <c r="B980" s="9" t="s">
        <v>40</v>
      </c>
      <c r="C980" s="9" t="s">
        <v>41</v>
      </c>
      <c r="D980" s="9" t="s">
        <v>25</v>
      </c>
      <c r="E980" s="9" t="s">
        <v>19</v>
      </c>
      <c r="F980" s="9" t="s">
        <v>26</v>
      </c>
      <c r="G980" s="9">
        <v>25.45</v>
      </c>
      <c r="H980" s="9">
        <v>1</v>
      </c>
      <c r="I980" s="9">
        <v>1.2725</v>
      </c>
      <c r="J980" s="9">
        <v>26.7225</v>
      </c>
      <c r="K980" s="10">
        <v>43534</v>
      </c>
      <c r="L980" s="11">
        <v>0.75694444444444442</v>
      </c>
      <c r="M980" s="9" t="s">
        <v>31</v>
      </c>
      <c r="N980" s="9">
        <v>25.45</v>
      </c>
      <c r="O980" s="9">
        <v>5.0999999999999996</v>
      </c>
    </row>
    <row r="981" spans="1:15">
      <c r="A981" s="9" t="s">
        <v>1013</v>
      </c>
      <c r="B981" s="9" t="s">
        <v>40</v>
      </c>
      <c r="C981" s="9" t="s">
        <v>41</v>
      </c>
      <c r="D981" s="9" t="s">
        <v>25</v>
      </c>
      <c r="E981" s="9" t="s">
        <v>19</v>
      </c>
      <c r="F981" s="9" t="s">
        <v>42</v>
      </c>
      <c r="G981" s="9">
        <v>67.77</v>
      </c>
      <c r="H981" s="9">
        <v>1</v>
      </c>
      <c r="I981" s="9">
        <v>3.3885000000000001</v>
      </c>
      <c r="J981" s="9">
        <v>71.158500000000004</v>
      </c>
      <c r="K981" s="10">
        <v>43500</v>
      </c>
      <c r="L981" s="11">
        <v>0.86319444444444449</v>
      </c>
      <c r="M981" s="9" t="s">
        <v>31</v>
      </c>
      <c r="N981" s="9">
        <v>67.77</v>
      </c>
      <c r="O981" s="9">
        <v>6.5</v>
      </c>
    </row>
    <row r="982" spans="1:15">
      <c r="A982" s="9" t="s">
        <v>1014</v>
      </c>
      <c r="B982" s="9" t="s">
        <v>23</v>
      </c>
      <c r="C982" s="9" t="s">
        <v>24</v>
      </c>
      <c r="D982" s="9" t="s">
        <v>18</v>
      </c>
      <c r="E982" s="9" t="s">
        <v>29</v>
      </c>
      <c r="F982" s="9" t="s">
        <v>42</v>
      </c>
      <c r="G982" s="9">
        <v>59.59</v>
      </c>
      <c r="H982" s="9">
        <v>4</v>
      </c>
      <c r="I982" s="9">
        <v>11.917999999999999</v>
      </c>
      <c r="J982" s="9">
        <v>250.27799999999999</v>
      </c>
      <c r="K982" s="10">
        <v>43484</v>
      </c>
      <c r="L982" s="11">
        <v>0.53194444444444444</v>
      </c>
      <c r="M982" s="9" t="s">
        <v>27</v>
      </c>
      <c r="N982" s="9">
        <v>238.36</v>
      </c>
      <c r="O982" s="9">
        <v>9.8000000000000007</v>
      </c>
    </row>
    <row r="983" spans="1:15">
      <c r="A983" s="9" t="s">
        <v>1015</v>
      </c>
      <c r="B983" s="9" t="s">
        <v>16</v>
      </c>
      <c r="C983" s="9" t="s">
        <v>17</v>
      </c>
      <c r="D983" s="9" t="s">
        <v>25</v>
      </c>
      <c r="E983" s="9" t="s">
        <v>29</v>
      </c>
      <c r="F983" s="9" t="s">
        <v>20</v>
      </c>
      <c r="G983" s="9">
        <v>58.15</v>
      </c>
      <c r="H983" s="9">
        <v>4</v>
      </c>
      <c r="I983" s="9">
        <v>11.63</v>
      </c>
      <c r="J983" s="9">
        <v>244.23</v>
      </c>
      <c r="K983" s="10">
        <v>43488</v>
      </c>
      <c r="L983" s="11">
        <v>0.73888888888888893</v>
      </c>
      <c r="M983" s="9" t="s">
        <v>27</v>
      </c>
      <c r="N983" s="9">
        <v>232.6</v>
      </c>
      <c r="O983" s="9">
        <v>8.4</v>
      </c>
    </row>
    <row r="984" spans="1:15">
      <c r="A984" s="9" t="s">
        <v>1016</v>
      </c>
      <c r="B984" s="9" t="s">
        <v>16</v>
      </c>
      <c r="C984" s="9" t="s">
        <v>17</v>
      </c>
      <c r="D984" s="9" t="s">
        <v>18</v>
      </c>
      <c r="E984" s="9" t="s">
        <v>19</v>
      </c>
      <c r="F984" s="9" t="s">
        <v>34</v>
      </c>
      <c r="G984" s="9">
        <v>97.48</v>
      </c>
      <c r="H984" s="9">
        <v>9</v>
      </c>
      <c r="I984" s="9">
        <v>43.866</v>
      </c>
      <c r="J984" s="9">
        <v>921.18600000000004</v>
      </c>
      <c r="K984" s="10">
        <v>43538</v>
      </c>
      <c r="L984" s="11">
        <v>0.59652777777777777</v>
      </c>
      <c r="M984" s="9" t="s">
        <v>21</v>
      </c>
      <c r="N984" s="9">
        <v>877.32</v>
      </c>
      <c r="O984" s="9">
        <v>7.4</v>
      </c>
    </row>
    <row r="985" spans="1:15">
      <c r="A985" s="9" t="s">
        <v>1017</v>
      </c>
      <c r="B985" s="9" t="s">
        <v>23</v>
      </c>
      <c r="C985" s="9" t="s">
        <v>24</v>
      </c>
      <c r="D985" s="9" t="s">
        <v>25</v>
      </c>
      <c r="E985" s="9" t="s">
        <v>29</v>
      </c>
      <c r="F985" s="9" t="s">
        <v>20</v>
      </c>
      <c r="G985" s="9">
        <v>99.96</v>
      </c>
      <c r="H985" s="9">
        <v>7</v>
      </c>
      <c r="I985" s="9">
        <v>34.985999999999997</v>
      </c>
      <c r="J985" s="9">
        <v>734.70600000000002</v>
      </c>
      <c r="K985" s="10">
        <v>43488</v>
      </c>
      <c r="L985" s="11">
        <v>0.43958333333333333</v>
      </c>
      <c r="M985" s="9" t="s">
        <v>27</v>
      </c>
      <c r="N985" s="9">
        <v>699.72</v>
      </c>
      <c r="O985" s="9">
        <v>6.1</v>
      </c>
    </row>
    <row r="986" spans="1:15">
      <c r="A986" s="9" t="s">
        <v>1018</v>
      </c>
      <c r="B986" s="9" t="s">
        <v>23</v>
      </c>
      <c r="C986" s="9" t="s">
        <v>24</v>
      </c>
      <c r="D986" s="9" t="s">
        <v>25</v>
      </c>
      <c r="E986" s="9" t="s">
        <v>29</v>
      </c>
      <c r="F986" s="9" t="s">
        <v>26</v>
      </c>
      <c r="G986" s="9">
        <v>96.37</v>
      </c>
      <c r="H986" s="9">
        <v>7</v>
      </c>
      <c r="I986" s="9">
        <v>33.729500000000002</v>
      </c>
      <c r="J986" s="9">
        <v>708.31949999999995</v>
      </c>
      <c r="K986" s="10">
        <v>43474</v>
      </c>
      <c r="L986" s="11">
        <v>0.4861111111111111</v>
      </c>
      <c r="M986" s="9" t="s">
        <v>27</v>
      </c>
      <c r="N986" s="9">
        <v>674.59</v>
      </c>
      <c r="O986" s="9">
        <v>6</v>
      </c>
    </row>
    <row r="987" spans="1:15">
      <c r="A987" s="9" t="s">
        <v>1019</v>
      </c>
      <c r="B987" s="9" t="s">
        <v>40</v>
      </c>
      <c r="C987" s="9" t="s">
        <v>41</v>
      </c>
      <c r="D987" s="9" t="s">
        <v>25</v>
      </c>
      <c r="E987" s="9" t="s">
        <v>19</v>
      </c>
      <c r="F987" s="9" t="s">
        <v>44</v>
      </c>
      <c r="G987" s="9">
        <v>63.71</v>
      </c>
      <c r="H987" s="9">
        <v>5</v>
      </c>
      <c r="I987" s="9">
        <v>15.9275</v>
      </c>
      <c r="J987" s="9">
        <v>334.47750000000002</v>
      </c>
      <c r="K987" s="10">
        <v>43503</v>
      </c>
      <c r="L987" s="11">
        <v>0.8125</v>
      </c>
      <c r="M987" s="9" t="s">
        <v>21</v>
      </c>
      <c r="N987" s="9">
        <v>318.55</v>
      </c>
      <c r="O987" s="9">
        <v>8.5</v>
      </c>
    </row>
    <row r="988" spans="1:15">
      <c r="A988" s="9" t="s">
        <v>1020</v>
      </c>
      <c r="B988" s="9" t="s">
        <v>40</v>
      </c>
      <c r="C988" s="9" t="s">
        <v>41</v>
      </c>
      <c r="D988" s="9" t="s">
        <v>25</v>
      </c>
      <c r="E988" s="9" t="s">
        <v>19</v>
      </c>
      <c r="F988" s="9" t="s">
        <v>20</v>
      </c>
      <c r="G988" s="9">
        <v>14.76</v>
      </c>
      <c r="H988" s="9">
        <v>2</v>
      </c>
      <c r="I988" s="9">
        <v>1.476</v>
      </c>
      <c r="J988" s="9">
        <v>30.995999999999999</v>
      </c>
      <c r="K988" s="10">
        <v>43514</v>
      </c>
      <c r="L988" s="11">
        <v>0.61250000000000004</v>
      </c>
      <c r="M988" s="9" t="s">
        <v>21</v>
      </c>
      <c r="N988" s="9">
        <v>29.52</v>
      </c>
      <c r="O988" s="9">
        <v>4.3</v>
      </c>
    </row>
    <row r="989" spans="1:15">
      <c r="A989" s="9" t="s">
        <v>1021</v>
      </c>
      <c r="B989" s="9" t="s">
        <v>40</v>
      </c>
      <c r="C989" s="9" t="s">
        <v>41</v>
      </c>
      <c r="D989" s="9" t="s">
        <v>18</v>
      </c>
      <c r="E989" s="9" t="s">
        <v>29</v>
      </c>
      <c r="F989" s="9" t="s">
        <v>20</v>
      </c>
      <c r="G989" s="9">
        <v>62</v>
      </c>
      <c r="H989" s="9">
        <v>8</v>
      </c>
      <c r="I989" s="9">
        <v>24.8</v>
      </c>
      <c r="J989" s="9">
        <v>520.79999999999995</v>
      </c>
      <c r="K989" s="10">
        <v>43468</v>
      </c>
      <c r="L989" s="11">
        <v>0.79722222222222228</v>
      </c>
      <c r="M989" s="9" t="s">
        <v>31</v>
      </c>
      <c r="N989" s="9">
        <v>496</v>
      </c>
      <c r="O989" s="9">
        <v>6.2</v>
      </c>
    </row>
    <row r="990" spans="1:15">
      <c r="A990" s="9" t="s">
        <v>1022</v>
      </c>
      <c r="B990" s="9" t="s">
        <v>23</v>
      </c>
      <c r="C990" s="9" t="s">
        <v>24</v>
      </c>
      <c r="D990" s="9" t="s">
        <v>18</v>
      </c>
      <c r="E990" s="9" t="s">
        <v>29</v>
      </c>
      <c r="F990" s="9" t="s">
        <v>26</v>
      </c>
      <c r="G990" s="9">
        <v>82.34</v>
      </c>
      <c r="H990" s="9">
        <v>10</v>
      </c>
      <c r="I990" s="9">
        <v>41.17</v>
      </c>
      <c r="J990" s="9">
        <v>864.57</v>
      </c>
      <c r="K990" s="10">
        <v>43553</v>
      </c>
      <c r="L990" s="11">
        <v>0.8</v>
      </c>
      <c r="M990" s="9" t="s">
        <v>21</v>
      </c>
      <c r="N990" s="9">
        <v>823.4</v>
      </c>
      <c r="O990" s="9">
        <v>4.3</v>
      </c>
    </row>
    <row r="991" spans="1:15">
      <c r="A991" s="9" t="s">
        <v>1023</v>
      </c>
      <c r="B991" s="9" t="s">
        <v>40</v>
      </c>
      <c r="C991" s="9" t="s">
        <v>41</v>
      </c>
      <c r="D991" s="9" t="s">
        <v>18</v>
      </c>
      <c r="E991" s="9" t="s">
        <v>29</v>
      </c>
      <c r="F991" s="9" t="s">
        <v>20</v>
      </c>
      <c r="G991" s="9">
        <v>75.37</v>
      </c>
      <c r="H991" s="9">
        <v>8</v>
      </c>
      <c r="I991" s="9">
        <v>30.148</v>
      </c>
      <c r="J991" s="9">
        <v>633.10799999999995</v>
      </c>
      <c r="K991" s="10">
        <v>43493</v>
      </c>
      <c r="L991" s="11">
        <v>0.65694444444444444</v>
      </c>
      <c r="M991" s="9" t="s">
        <v>31</v>
      </c>
      <c r="N991" s="9">
        <v>602.96</v>
      </c>
      <c r="O991" s="9">
        <v>8.4</v>
      </c>
    </row>
    <row r="992" spans="1:15">
      <c r="A992" s="9" t="s">
        <v>1024</v>
      </c>
      <c r="B992" s="9" t="s">
        <v>16</v>
      </c>
      <c r="C992" s="9" t="s">
        <v>17</v>
      </c>
      <c r="D992" s="9" t="s">
        <v>25</v>
      </c>
      <c r="E992" s="9" t="s">
        <v>19</v>
      </c>
      <c r="F992" s="9" t="s">
        <v>42</v>
      </c>
      <c r="G992" s="9">
        <v>56.56</v>
      </c>
      <c r="H992" s="9">
        <v>5</v>
      </c>
      <c r="I992" s="9">
        <v>14.14</v>
      </c>
      <c r="J992" s="9">
        <v>296.94</v>
      </c>
      <c r="K992" s="10">
        <v>43546</v>
      </c>
      <c r="L992" s="11">
        <v>0.79583333333333328</v>
      </c>
      <c r="M992" s="9" t="s">
        <v>31</v>
      </c>
      <c r="N992" s="9">
        <v>282.8</v>
      </c>
      <c r="O992" s="9">
        <v>4.5</v>
      </c>
    </row>
    <row r="993" spans="1:15">
      <c r="A993" s="9" t="s">
        <v>1025</v>
      </c>
      <c r="B993" s="9" t="s">
        <v>40</v>
      </c>
      <c r="C993" s="9" t="s">
        <v>41</v>
      </c>
      <c r="D993" s="9" t="s">
        <v>25</v>
      </c>
      <c r="E993" s="9" t="s">
        <v>19</v>
      </c>
      <c r="F993" s="9" t="s">
        <v>34</v>
      </c>
      <c r="G993" s="9">
        <v>76.599999999999994</v>
      </c>
      <c r="H993" s="9">
        <v>10</v>
      </c>
      <c r="I993" s="9">
        <v>38.299999999999997</v>
      </c>
      <c r="J993" s="9">
        <v>804.3</v>
      </c>
      <c r="K993" s="10">
        <v>43489</v>
      </c>
      <c r="L993" s="11">
        <v>0.75694444444444442</v>
      </c>
      <c r="M993" s="9" t="s">
        <v>21</v>
      </c>
      <c r="N993" s="9">
        <v>766</v>
      </c>
      <c r="O993" s="9">
        <v>6</v>
      </c>
    </row>
    <row r="994" spans="1:15">
      <c r="A994" s="9" t="s">
        <v>1026</v>
      </c>
      <c r="B994" s="9" t="s">
        <v>16</v>
      </c>
      <c r="C994" s="9" t="s">
        <v>17</v>
      </c>
      <c r="D994" s="9" t="s">
        <v>25</v>
      </c>
      <c r="E994" s="9" t="s">
        <v>29</v>
      </c>
      <c r="F994" s="9" t="s">
        <v>26</v>
      </c>
      <c r="G994" s="9">
        <v>58.03</v>
      </c>
      <c r="H994" s="9">
        <v>2</v>
      </c>
      <c r="I994" s="9">
        <v>5.8029999999999999</v>
      </c>
      <c r="J994" s="9">
        <v>121.863</v>
      </c>
      <c r="K994" s="10">
        <v>43534</v>
      </c>
      <c r="L994" s="11">
        <v>0.86527777777777781</v>
      </c>
      <c r="M994" s="9" t="s">
        <v>21</v>
      </c>
      <c r="N994" s="9">
        <v>116.06</v>
      </c>
      <c r="O994" s="9">
        <v>8.8000000000000007</v>
      </c>
    </row>
    <row r="995" spans="1:15">
      <c r="A995" s="9" t="s">
        <v>1027</v>
      </c>
      <c r="B995" s="9" t="s">
        <v>40</v>
      </c>
      <c r="C995" s="9" t="s">
        <v>41</v>
      </c>
      <c r="D995" s="9" t="s">
        <v>25</v>
      </c>
      <c r="E995" s="9" t="s">
        <v>29</v>
      </c>
      <c r="F995" s="9" t="s">
        <v>44</v>
      </c>
      <c r="G995" s="9">
        <v>17.489999999999998</v>
      </c>
      <c r="H995" s="9">
        <v>10</v>
      </c>
      <c r="I995" s="9">
        <v>8.7449999999999992</v>
      </c>
      <c r="J995" s="9">
        <v>183.64500000000001</v>
      </c>
      <c r="K995" s="10">
        <v>43518</v>
      </c>
      <c r="L995" s="11">
        <v>0.77430555555555558</v>
      </c>
      <c r="M995" s="9" t="s">
        <v>21</v>
      </c>
      <c r="N995" s="9">
        <v>174.9</v>
      </c>
      <c r="O995" s="9">
        <v>6.6</v>
      </c>
    </row>
    <row r="996" spans="1:15">
      <c r="A996" s="9" t="s">
        <v>1028</v>
      </c>
      <c r="B996" s="9" t="s">
        <v>23</v>
      </c>
      <c r="C996" s="9" t="s">
        <v>24</v>
      </c>
      <c r="D996" s="9" t="s">
        <v>18</v>
      </c>
      <c r="E996" s="9" t="s">
        <v>19</v>
      </c>
      <c r="F996" s="9" t="s">
        <v>26</v>
      </c>
      <c r="G996" s="9">
        <v>60.95</v>
      </c>
      <c r="H996" s="9">
        <v>1</v>
      </c>
      <c r="I996" s="9">
        <v>3.0474999999999999</v>
      </c>
      <c r="J996" s="9">
        <v>63.997500000000002</v>
      </c>
      <c r="K996" s="10">
        <v>43514</v>
      </c>
      <c r="L996" s="11">
        <v>0.4861111111111111</v>
      </c>
      <c r="M996" s="9" t="s">
        <v>21</v>
      </c>
      <c r="N996" s="9">
        <v>60.95</v>
      </c>
      <c r="O996" s="9">
        <v>5.9</v>
      </c>
    </row>
    <row r="997" spans="1:15">
      <c r="A997" s="9" t="s">
        <v>1029</v>
      </c>
      <c r="B997" s="9" t="s">
        <v>23</v>
      </c>
      <c r="C997" s="9" t="s">
        <v>24</v>
      </c>
      <c r="D997" s="9" t="s">
        <v>25</v>
      </c>
      <c r="E997" s="9" t="s">
        <v>29</v>
      </c>
      <c r="F997" s="9" t="s">
        <v>20</v>
      </c>
      <c r="G997" s="9">
        <v>40.35</v>
      </c>
      <c r="H997" s="9">
        <v>1</v>
      </c>
      <c r="I997" s="9">
        <v>2.0175000000000001</v>
      </c>
      <c r="J997" s="9">
        <v>42.3675</v>
      </c>
      <c r="K997" s="10">
        <v>43494</v>
      </c>
      <c r="L997" s="11">
        <v>0.57361111111111107</v>
      </c>
      <c r="M997" s="9" t="s">
        <v>21</v>
      </c>
      <c r="N997" s="9">
        <v>40.35</v>
      </c>
      <c r="O997" s="9">
        <v>6.2</v>
      </c>
    </row>
    <row r="998" spans="1:15">
      <c r="A998" s="9" t="s">
        <v>1030</v>
      </c>
      <c r="B998" s="9" t="s">
        <v>40</v>
      </c>
      <c r="C998" s="9" t="s">
        <v>41</v>
      </c>
      <c r="D998" s="9" t="s">
        <v>25</v>
      </c>
      <c r="E998" s="9" t="s">
        <v>19</v>
      </c>
      <c r="F998" s="9" t="s">
        <v>30</v>
      </c>
      <c r="G998" s="9">
        <v>97.38</v>
      </c>
      <c r="H998" s="9">
        <v>10</v>
      </c>
      <c r="I998" s="9">
        <v>48.69</v>
      </c>
      <c r="J998" s="9">
        <v>1022.49</v>
      </c>
      <c r="K998" s="10">
        <v>43526</v>
      </c>
      <c r="L998" s="11">
        <v>0.71944444444444444</v>
      </c>
      <c r="M998" s="9" t="s">
        <v>21</v>
      </c>
      <c r="N998" s="9">
        <v>973.8</v>
      </c>
      <c r="O998" s="9">
        <v>4.4000000000000004</v>
      </c>
    </row>
    <row r="999" spans="1:15">
      <c r="A999" s="9" t="s">
        <v>1031</v>
      </c>
      <c r="B999" s="9" t="s">
        <v>16</v>
      </c>
      <c r="C999" s="9" t="s">
        <v>17</v>
      </c>
      <c r="D999" s="9" t="s">
        <v>18</v>
      </c>
      <c r="E999" s="9" t="s">
        <v>29</v>
      </c>
      <c r="F999" s="9" t="s">
        <v>42</v>
      </c>
      <c r="G999" s="9">
        <v>31.84</v>
      </c>
      <c r="H999" s="9">
        <v>1</v>
      </c>
      <c r="I999" s="9">
        <v>1.5920000000000001</v>
      </c>
      <c r="J999" s="9">
        <v>33.432000000000002</v>
      </c>
      <c r="K999" s="10">
        <v>43505</v>
      </c>
      <c r="L999" s="11">
        <v>0.55694444444444446</v>
      </c>
      <c r="M999" s="9" t="s">
        <v>27</v>
      </c>
      <c r="N999" s="9">
        <v>31.84</v>
      </c>
      <c r="O999" s="9">
        <v>7.7</v>
      </c>
    </row>
    <row r="1000" spans="1:15">
      <c r="A1000" s="9" t="s">
        <v>1032</v>
      </c>
      <c r="B1000" s="9" t="s">
        <v>16</v>
      </c>
      <c r="C1000" s="9" t="s">
        <v>17</v>
      </c>
      <c r="D1000" s="9" t="s">
        <v>25</v>
      </c>
      <c r="E1000" s="9" t="s">
        <v>29</v>
      </c>
      <c r="F1000" s="9" t="s">
        <v>30</v>
      </c>
      <c r="G1000" s="9">
        <v>65.819999999999993</v>
      </c>
      <c r="H1000" s="9">
        <v>1</v>
      </c>
      <c r="I1000" s="9">
        <v>3.2909999999999999</v>
      </c>
      <c r="J1000" s="9">
        <v>69.111000000000004</v>
      </c>
      <c r="K1000" s="10">
        <v>43518</v>
      </c>
      <c r="L1000" s="11">
        <v>0.6479166666666667</v>
      </c>
      <c r="M1000" s="9" t="s">
        <v>27</v>
      </c>
      <c r="N1000" s="9">
        <v>65.819999999999993</v>
      </c>
      <c r="O1000" s="9">
        <v>4.0999999999999996</v>
      </c>
    </row>
    <row r="1001" spans="1:15">
      <c r="A1001" s="9" t="s">
        <v>1033</v>
      </c>
      <c r="B1001" s="9" t="s">
        <v>16</v>
      </c>
      <c r="C1001" s="9" t="s">
        <v>17</v>
      </c>
      <c r="D1001" s="9" t="s">
        <v>18</v>
      </c>
      <c r="E1001" s="9" t="s">
        <v>19</v>
      </c>
      <c r="F1001" s="9" t="s">
        <v>44</v>
      </c>
      <c r="G1001" s="9">
        <v>88.34</v>
      </c>
      <c r="H1001" s="9">
        <v>7</v>
      </c>
      <c r="I1001" s="9">
        <v>30.919</v>
      </c>
      <c r="J1001" s="9">
        <v>649.29899999999998</v>
      </c>
      <c r="K1001" s="10">
        <v>43514</v>
      </c>
      <c r="L1001" s="11">
        <v>0.56111111111111112</v>
      </c>
      <c r="M1001" s="9" t="s">
        <v>27</v>
      </c>
      <c r="N1001" s="9">
        <v>618.38</v>
      </c>
      <c r="O1001" s="9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CD5E-1A8A-44CB-9BD1-7B2F9FAE9375}">
  <dimension ref="A1:P1001"/>
  <sheetViews>
    <sheetView tabSelected="1" zoomScale="80" zoomScaleNormal="80" zoomScalePageLayoutView="69" workbookViewId="0">
      <selection activeCell="O1" sqref="O1"/>
    </sheetView>
  </sheetViews>
  <sheetFormatPr defaultRowHeight="14.4"/>
  <cols>
    <col min="1" max="1" width="7.88671875" bestFit="1" customWidth="1"/>
    <col min="2" max="2" width="80.109375" bestFit="1" customWidth="1"/>
    <col min="3" max="3" width="39.77734375" bestFit="1" customWidth="1"/>
    <col min="5" max="5" width="20.6640625" bestFit="1" customWidth="1"/>
    <col min="6" max="6" width="21.6640625" bestFit="1" customWidth="1"/>
    <col min="7" max="7" width="23.33203125" bestFit="1" customWidth="1"/>
    <col min="8" max="8" width="28.5546875" bestFit="1" customWidth="1"/>
    <col min="9" max="9" width="38" bestFit="1" customWidth="1"/>
    <col min="10" max="10" width="25.6640625" bestFit="1" customWidth="1"/>
    <col min="11" max="11" width="64.109375" bestFit="1" customWidth="1"/>
    <col min="12" max="12" width="32.77734375" bestFit="1" customWidth="1"/>
    <col min="13" max="13" width="34.21875" bestFit="1" customWidth="1"/>
    <col min="14" max="14" width="21.88671875" bestFit="1" customWidth="1"/>
    <col min="15" max="15" width="26.88671875" bestFit="1" customWidth="1"/>
    <col min="16" max="16" width="28.88671875" bestFit="1" customWidth="1"/>
  </cols>
  <sheetData>
    <row r="1" spans="1:16" ht="15.6">
      <c r="A1" s="2" t="s">
        <v>1034</v>
      </c>
      <c r="B1" s="3" t="s">
        <v>1035</v>
      </c>
      <c r="C1" s="4" t="s">
        <v>1066</v>
      </c>
      <c r="E1" s="12" t="s">
        <v>1067</v>
      </c>
      <c r="F1" s="12" t="s">
        <v>1080</v>
      </c>
      <c r="G1" s="12" t="s">
        <v>1068</v>
      </c>
      <c r="H1" s="12" t="s">
        <v>1069</v>
      </c>
      <c r="I1" s="12" t="s">
        <v>1081</v>
      </c>
      <c r="J1" s="12" t="s">
        <v>1070</v>
      </c>
      <c r="K1" s="12" t="s">
        <v>1071</v>
      </c>
      <c r="L1" s="12" t="s">
        <v>1073</v>
      </c>
      <c r="M1" s="12" t="s">
        <v>1074</v>
      </c>
      <c r="N1" s="12" t="s">
        <v>1075</v>
      </c>
      <c r="O1" s="12" t="s">
        <v>1076</v>
      </c>
      <c r="P1" s="12" t="s">
        <v>1077</v>
      </c>
    </row>
    <row r="2" spans="1:16">
      <c r="A2" s="5">
        <v>1</v>
      </c>
      <c r="B2" s="6" t="s">
        <v>1036</v>
      </c>
      <c r="C2" s="17">
        <f>SUM(Sheet1!J2:J1001)</f>
        <v>322966.74900000007</v>
      </c>
      <c r="E2" s="13" t="str" cm="1">
        <f t="array" ref="E2:E1001">LEFT(Sheet1!A2:A1001,3)</f>
        <v>750</v>
      </c>
      <c r="F2" s="13" t="str" cm="1">
        <f t="array" ref="F2:F1001">RIGHT(Sheet1!A2:A1001,4)</f>
        <v>8428</v>
      </c>
      <c r="G2" s="13" t="str" cm="1">
        <f t="array" ref="G2:G1001">MID(Sheet1!A2:A1001,5,2)</f>
        <v>67</v>
      </c>
      <c r="H2" s="13" t="str">
        <f>_xlfn.CONCAT(Sheet1!A2," --&gt; ",Sheet1!J2)</f>
        <v>750-67-8428 --&gt; 548.9715</v>
      </c>
      <c r="I2" s="13" t="str">
        <f>_xlfn.CONCAT(Sheet1!C2,"_",TEXT(Sheet1!K2, "m/d/yyyy"))</f>
        <v>Yangon_1/5/2019</v>
      </c>
      <c r="J2" s="13" t="str">
        <f>IF(Sheet1!I2=Sheet1!N2*0.05,"Valid","Error")</f>
        <v>Valid</v>
      </c>
      <c r="K2" s="13" t="str">
        <f>IF(Sheet1!N2=Sheet1!G2*Sheet1!H2,"True","False")</f>
        <v>True</v>
      </c>
      <c r="L2" s="13" t="b" cm="1">
        <f t="array" ref="L2:L1001">ISTEXT(Sheet1!C2:C1001)</f>
        <v>1</v>
      </c>
      <c r="M2" s="9" t="b">
        <f>ISNUMBER(Sheet1!J2)</f>
        <v>1</v>
      </c>
      <c r="N2" s="13" t="str">
        <f>IF(Sheet1!B2="A","Branch A",IF(Sheet1!B2="B","Branch B","Other Branch"))</f>
        <v>Branch A</v>
      </c>
      <c r="O2" s="13" t="str">
        <f>IF(Sheet1!M2="Credit card","Credit Payment","Other")</f>
        <v>Other</v>
      </c>
      <c r="P2" s="13" t="str">
        <f>IF(Sheet1!O2&gt;7,"Yes","No")</f>
        <v>Yes</v>
      </c>
    </row>
    <row r="3" spans="1:16">
      <c r="A3" s="5">
        <v>2</v>
      </c>
      <c r="B3" s="6" t="s">
        <v>1037</v>
      </c>
      <c r="C3" s="14">
        <f>SUM(Sheet1!H2:H1001)</f>
        <v>5510</v>
      </c>
      <c r="E3" s="13" t="str">
        <v>226</v>
      </c>
      <c r="F3" s="13" t="str">
        <v>3081</v>
      </c>
      <c r="G3" s="13" t="str">
        <v>31</v>
      </c>
      <c r="H3" s="13" t="str">
        <f>_xlfn.CONCAT(Sheet1!A3," --&gt; ",Sheet1!J3)</f>
        <v>226-31-3081 --&gt; 80.22</v>
      </c>
      <c r="I3" s="13" t="str">
        <f>_xlfn.CONCAT(Sheet1!C3,"_",TEXT(Sheet1!K3, "m/d/yyyy"))</f>
        <v>Naypyitaw_3/8/2019</v>
      </c>
      <c r="J3" s="13" t="str">
        <f>IF(Sheet1!I3=Sheet1!N3*0.05,"Valid","Error")</f>
        <v>Valid</v>
      </c>
      <c r="K3" s="13" t="str">
        <f>IF(Sheet1!N3=Sheet1!G3*Sheet1!H3,"True","False")</f>
        <v>True</v>
      </c>
      <c r="L3" s="13" t="b">
        <v>1</v>
      </c>
      <c r="M3" s="9" t="b">
        <f>ISNUMBER(Sheet1!J3)</f>
        <v>1</v>
      </c>
      <c r="N3" s="13" t="str">
        <f>IF(Sheet1!B3="A","Branch A",IF(Sheet1!B3="B","Branch B","Other Branch"))</f>
        <v>Other Branch</v>
      </c>
      <c r="O3" s="13" t="str">
        <f>IF(Sheet1!M3="Credit card","Credit Payment","Other")</f>
        <v>Other</v>
      </c>
      <c r="P3" s="13" t="str">
        <f>IF(Sheet1!O3&gt;7,"Yes","No")</f>
        <v>Yes</v>
      </c>
    </row>
    <row r="4" spans="1:16">
      <c r="A4" s="5">
        <v>3</v>
      </c>
      <c r="B4" s="6" t="s">
        <v>1038</v>
      </c>
      <c r="C4" s="18">
        <f>MIN(Sheet1!G2:G1001)</f>
        <v>10.08</v>
      </c>
      <c r="E4" s="13" t="str">
        <v>631</v>
      </c>
      <c r="F4" s="13" t="str">
        <v>3108</v>
      </c>
      <c r="G4" s="13" t="str">
        <v>41</v>
      </c>
      <c r="H4" s="13" t="str">
        <f>_xlfn.CONCAT(Sheet1!A4," --&gt; ",Sheet1!J4)</f>
        <v>631-41-3108 --&gt; 340.5255</v>
      </c>
      <c r="I4" s="13" t="str">
        <f>_xlfn.CONCAT(Sheet1!C4,"_",TEXT(Sheet1!K4, "m/d/yyyy"))</f>
        <v>Yangon_3/3/2019</v>
      </c>
      <c r="J4" s="13" t="str">
        <f>IF(Sheet1!I4=Sheet1!N4*0.05,"Valid","Error")</f>
        <v>Valid</v>
      </c>
      <c r="K4" s="13" t="str">
        <f>IF(Sheet1!N4=Sheet1!G4*Sheet1!H4,"True","False")</f>
        <v>True</v>
      </c>
      <c r="L4" s="13" t="b">
        <v>1</v>
      </c>
      <c r="M4" s="9" t="b">
        <f>ISNUMBER(Sheet1!J4)</f>
        <v>1</v>
      </c>
      <c r="N4" s="13" t="str">
        <f>IF(Sheet1!B4="A","Branch A",IF(Sheet1!B4="B","Branch B","Other Branch"))</f>
        <v>Branch A</v>
      </c>
      <c r="O4" s="13" t="str">
        <f>IF(Sheet1!M4="Credit card","Credit Payment","Other")</f>
        <v>Credit Payment</v>
      </c>
      <c r="P4" s="13" t="str">
        <f>IF(Sheet1!O4&gt;7,"Yes","No")</f>
        <v>Yes</v>
      </c>
    </row>
    <row r="5" spans="1:16">
      <c r="A5" s="5">
        <v>4</v>
      </c>
      <c r="B5" s="6" t="s">
        <v>1039</v>
      </c>
      <c r="C5" s="14">
        <f>MAX(Sheet1!O2:O1001)</f>
        <v>10</v>
      </c>
      <c r="E5" s="13" t="str">
        <v>123</v>
      </c>
      <c r="F5" s="13" t="str">
        <v>1176</v>
      </c>
      <c r="G5" s="13" t="str">
        <v>19</v>
      </c>
      <c r="H5" s="13" t="str">
        <f>_xlfn.CONCAT(Sheet1!A5," --&gt; ",Sheet1!J5)</f>
        <v>123-19-1176 --&gt; 489.048</v>
      </c>
      <c r="I5" s="13" t="str">
        <f>_xlfn.CONCAT(Sheet1!C5,"_",TEXT(Sheet1!K5, "m/d/yyyy"))</f>
        <v>Yangon_1/27/2019</v>
      </c>
      <c r="J5" s="13" t="str">
        <f>IF(Sheet1!I5=Sheet1!N5*0.05,"Valid","Error")</f>
        <v>Valid</v>
      </c>
      <c r="K5" s="13" t="str">
        <f>IF(Sheet1!N5=Sheet1!G5*Sheet1!H5,"True","False")</f>
        <v>True</v>
      </c>
      <c r="L5" s="13" t="b">
        <v>1</v>
      </c>
      <c r="M5" s="9" t="b">
        <f>ISNUMBER(Sheet1!J5)</f>
        <v>1</v>
      </c>
      <c r="N5" s="13" t="str">
        <f>IF(Sheet1!B5="A","Branch A",IF(Sheet1!B5="B","Branch B","Other Branch"))</f>
        <v>Branch A</v>
      </c>
      <c r="O5" s="13" t="str">
        <f>IF(Sheet1!M5="Credit card","Credit Payment","Other")</f>
        <v>Other</v>
      </c>
      <c r="P5" s="13" t="str">
        <f>IF(Sheet1!O5&gt;7,"Yes","No")</f>
        <v>Yes</v>
      </c>
    </row>
    <row r="6" spans="1:16">
      <c r="A6" s="5">
        <v>5</v>
      </c>
      <c r="B6" s="6" t="s">
        <v>1040</v>
      </c>
      <c r="C6" s="18">
        <f>AVERAGE(Sheet1!J2:J1001)</f>
        <v>322.96674900000005</v>
      </c>
      <c r="E6" s="13" t="str">
        <v>373</v>
      </c>
      <c r="F6" s="13" t="str">
        <v>7910</v>
      </c>
      <c r="G6" s="13" t="str">
        <v>73</v>
      </c>
      <c r="H6" s="13" t="str">
        <f>_xlfn.CONCAT(Sheet1!A6," --&gt; ",Sheet1!J6)</f>
        <v>373-73-7910 --&gt; 634.3785</v>
      </c>
      <c r="I6" s="13" t="str">
        <f>_xlfn.CONCAT(Sheet1!C6,"_",TEXT(Sheet1!K6, "m/d/yyyy"))</f>
        <v>Yangon_2/8/2019</v>
      </c>
      <c r="J6" s="13" t="str">
        <f>IF(Sheet1!I6=Sheet1!N6*0.05,"Valid","Error")</f>
        <v>Valid</v>
      </c>
      <c r="K6" s="13" t="str">
        <f>IF(Sheet1!N6=Sheet1!G6*Sheet1!H6,"True","False")</f>
        <v>True</v>
      </c>
      <c r="L6" s="13" t="b">
        <v>1</v>
      </c>
      <c r="M6" s="9" t="b">
        <f>ISNUMBER(Sheet1!J6)</f>
        <v>1</v>
      </c>
      <c r="N6" s="13" t="str">
        <f>IF(Sheet1!B6="A","Branch A",IF(Sheet1!B6="B","Branch B","Other Branch"))</f>
        <v>Branch A</v>
      </c>
      <c r="O6" s="13" t="str">
        <f>IF(Sheet1!M6="Credit card","Credit Payment","Other")</f>
        <v>Other</v>
      </c>
      <c r="P6" s="13" t="str">
        <f>IF(Sheet1!O6&gt;7,"Yes","No")</f>
        <v>No</v>
      </c>
    </row>
    <row r="7" spans="1:16">
      <c r="A7" s="5">
        <v>6</v>
      </c>
      <c r="B7" s="6" t="s">
        <v>1041</v>
      </c>
      <c r="C7" s="18">
        <f>AVERAGE(Sheet1!N2:N1001)</f>
        <v>307.58738000000034</v>
      </c>
      <c r="E7" s="13" t="str">
        <v>699</v>
      </c>
      <c r="F7" s="13" t="str">
        <v>3026</v>
      </c>
      <c r="G7" s="13" t="str">
        <v>14</v>
      </c>
      <c r="H7" s="13" t="str">
        <f>_xlfn.CONCAT(Sheet1!A7," --&gt; ",Sheet1!J7)</f>
        <v>699-14-3026 --&gt; 627.6165</v>
      </c>
      <c r="I7" s="13" t="str">
        <f>_xlfn.CONCAT(Sheet1!C7,"_",TEXT(Sheet1!K7, "m/d/yyyy"))</f>
        <v>Naypyitaw_3/25/2019</v>
      </c>
      <c r="J7" s="13" t="str">
        <f>IF(Sheet1!I7=Sheet1!N7*0.05,"Valid","Error")</f>
        <v>Valid</v>
      </c>
      <c r="K7" s="13" t="str">
        <f>IF(Sheet1!N7=Sheet1!G7*Sheet1!H7,"True","False")</f>
        <v>True</v>
      </c>
      <c r="L7" s="13" t="b">
        <v>1</v>
      </c>
      <c r="M7" s="9" t="b">
        <f>ISNUMBER(Sheet1!J7)</f>
        <v>1</v>
      </c>
      <c r="N7" s="13" t="str">
        <f>IF(Sheet1!B7="A","Branch A",IF(Sheet1!B7="B","Branch B","Other Branch"))</f>
        <v>Other Branch</v>
      </c>
      <c r="O7" s="13" t="str">
        <f>IF(Sheet1!M7="Credit card","Credit Payment","Other")</f>
        <v>Other</v>
      </c>
      <c r="P7" s="13" t="str">
        <f>IF(Sheet1!O7&gt;7,"Yes","No")</f>
        <v>No</v>
      </c>
    </row>
    <row r="8" spans="1:16">
      <c r="A8" s="5">
        <v>7</v>
      </c>
      <c r="B8" s="6" t="s">
        <v>1042</v>
      </c>
      <c r="C8" s="18">
        <f>SUMIF(Sheet1!C2:C1001,"Yangon",Sheet1!J2:J1001)</f>
        <v>106200.37050000011</v>
      </c>
      <c r="E8" s="13" t="str">
        <v>355</v>
      </c>
      <c r="F8" s="13" t="str">
        <v>5943</v>
      </c>
      <c r="G8" s="13" t="str">
        <v>53</v>
      </c>
      <c r="H8" s="13" t="str">
        <f>_xlfn.CONCAT(Sheet1!A8," --&gt; ",Sheet1!J8)</f>
        <v>355-53-5943 --&gt; 433.692</v>
      </c>
      <c r="I8" s="13" t="str">
        <f>_xlfn.CONCAT(Sheet1!C8,"_",TEXT(Sheet1!K8, "m/d/yyyy"))</f>
        <v>Yangon_2/25/2019</v>
      </c>
      <c r="J8" s="13" t="str">
        <f>IF(Sheet1!I8=Sheet1!N8*0.05,"Valid","Error")</f>
        <v>Valid</v>
      </c>
      <c r="K8" s="13" t="str">
        <f>IF(Sheet1!N8=Sheet1!G8*Sheet1!H8,"True","False")</f>
        <v>True</v>
      </c>
      <c r="L8" s="13" t="b">
        <v>1</v>
      </c>
      <c r="M8" s="9" t="b">
        <f>ISNUMBER(Sheet1!J8)</f>
        <v>1</v>
      </c>
      <c r="N8" s="13" t="str">
        <f>IF(Sheet1!B8="A","Branch A",IF(Sheet1!B8="B","Branch B","Other Branch"))</f>
        <v>Branch A</v>
      </c>
      <c r="O8" s="13" t="str">
        <f>IF(Sheet1!M8="Credit card","Credit Payment","Other")</f>
        <v>Other</v>
      </c>
      <c r="P8" s="13" t="str">
        <f>IF(Sheet1!O8&gt;7,"Yes","No")</f>
        <v>No</v>
      </c>
    </row>
    <row r="9" spans="1:16">
      <c r="A9" s="5">
        <v>8</v>
      </c>
      <c r="B9" s="6" t="s">
        <v>1043</v>
      </c>
      <c r="C9" s="14">
        <f>SUMIF(Sheet1!F2:F1001,"Health and beauty",Sheet1!H2:H1001)</f>
        <v>854</v>
      </c>
      <c r="E9" s="13" t="str">
        <v>315</v>
      </c>
      <c r="F9" s="13" t="str">
        <v>5665</v>
      </c>
      <c r="G9" s="13" t="str">
        <v>22</v>
      </c>
      <c r="H9" s="13" t="str">
        <f>_xlfn.CONCAT(Sheet1!A9," --&gt; ",Sheet1!J9)</f>
        <v>315-22-5665 --&gt; 772.38</v>
      </c>
      <c r="I9" s="13" t="str">
        <f>_xlfn.CONCAT(Sheet1!C9,"_",TEXT(Sheet1!K9, "m/d/yyyy"))</f>
        <v>Naypyitaw_2/24/2019</v>
      </c>
      <c r="J9" s="13" t="str">
        <f>IF(Sheet1!I9=Sheet1!N9*0.05,"Valid","Error")</f>
        <v>Valid</v>
      </c>
      <c r="K9" s="13" t="str">
        <f>IF(Sheet1!N9=Sheet1!G9*Sheet1!H9,"True","False")</f>
        <v>True</v>
      </c>
      <c r="L9" s="13" t="b">
        <v>1</v>
      </c>
      <c r="M9" s="9" t="b">
        <f>ISNUMBER(Sheet1!J9)</f>
        <v>1</v>
      </c>
      <c r="N9" s="13" t="str">
        <f>IF(Sheet1!B9="A","Branch A",IF(Sheet1!B9="B","Branch B","Other Branch"))</f>
        <v>Other Branch</v>
      </c>
      <c r="O9" s="13" t="str">
        <f>IF(Sheet1!M9="Credit card","Credit Payment","Other")</f>
        <v>Other</v>
      </c>
      <c r="P9" s="13" t="str">
        <f>IF(Sheet1!O9&gt;7,"Yes","No")</f>
        <v>Yes</v>
      </c>
    </row>
    <row r="10" spans="1:16">
      <c r="A10" s="5">
        <v>9</v>
      </c>
      <c r="B10" s="6" t="s">
        <v>1044</v>
      </c>
      <c r="C10" s="14">
        <f>COUNTIF(Sheet1!M2:M1001, "Cash")</f>
        <v>344</v>
      </c>
      <c r="E10" s="13" t="str">
        <v>665</v>
      </c>
      <c r="F10" s="13" t="str">
        <v>9167</v>
      </c>
      <c r="G10" s="13" t="str">
        <v>32</v>
      </c>
      <c r="H10" s="13" t="str">
        <f>_xlfn.CONCAT(Sheet1!A10," --&gt; ",Sheet1!J10)</f>
        <v>665-32-9167 --&gt; 76.146</v>
      </c>
      <c r="I10" s="13" t="str">
        <f>_xlfn.CONCAT(Sheet1!C10,"_",TEXT(Sheet1!K10, "m/d/yyyy"))</f>
        <v>Yangon_1/10/2019</v>
      </c>
      <c r="J10" s="13" t="str">
        <f>IF(Sheet1!I10=Sheet1!N10*0.05,"Valid","Error")</f>
        <v>Valid</v>
      </c>
      <c r="K10" s="13" t="str">
        <f>IF(Sheet1!N10=Sheet1!G10*Sheet1!H10,"True","False")</f>
        <v>True</v>
      </c>
      <c r="L10" s="13" t="b">
        <v>1</v>
      </c>
      <c r="M10" s="9" t="b">
        <f>ISNUMBER(Sheet1!J10)</f>
        <v>1</v>
      </c>
      <c r="N10" s="13" t="str">
        <f>IF(Sheet1!B10="A","Branch A",IF(Sheet1!B10="B","Branch B","Other Branch"))</f>
        <v>Branch A</v>
      </c>
      <c r="O10" s="13" t="str">
        <f>IF(Sheet1!M10="Credit card","Credit Payment","Other")</f>
        <v>Credit Payment</v>
      </c>
      <c r="P10" s="13" t="str">
        <f>IF(Sheet1!O10&gt;7,"Yes","No")</f>
        <v>Yes</v>
      </c>
    </row>
    <row r="11" spans="1:16">
      <c r="A11" s="5">
        <v>10</v>
      </c>
      <c r="B11" s="6" t="s">
        <v>1045</v>
      </c>
      <c r="C11" s="14">
        <f>COUNTIF(Sheet1!O2:O1001,"&gt;8")</f>
        <v>308</v>
      </c>
      <c r="E11" s="13" t="str">
        <v>692</v>
      </c>
      <c r="F11" s="13" t="str">
        <v>5582</v>
      </c>
      <c r="G11" s="13" t="str">
        <v>92</v>
      </c>
      <c r="H11" s="13" t="str">
        <f>_xlfn.CONCAT(Sheet1!A11," --&gt; ",Sheet1!J11)</f>
        <v>692-92-5582 --&gt; 172.746</v>
      </c>
      <c r="I11" s="13" t="str">
        <f>_xlfn.CONCAT(Sheet1!C11,"_",TEXT(Sheet1!K11, "m/d/yyyy"))</f>
        <v>Mandalay_2/20/2019</v>
      </c>
      <c r="J11" s="13" t="str">
        <f>IF(Sheet1!I11=Sheet1!N11*0.05,"Valid","Error")</f>
        <v>Valid</v>
      </c>
      <c r="K11" s="13" t="str">
        <f>IF(Sheet1!N11=Sheet1!G11*Sheet1!H11,"True","False")</f>
        <v>True</v>
      </c>
      <c r="L11" s="13" t="b">
        <v>1</v>
      </c>
      <c r="M11" s="9" t="b">
        <f>ISNUMBER(Sheet1!J11)</f>
        <v>1</v>
      </c>
      <c r="N11" s="13" t="str">
        <f>IF(Sheet1!B11="A","Branch A",IF(Sheet1!B11="B","Branch B","Other Branch"))</f>
        <v>Branch B</v>
      </c>
      <c r="O11" s="13" t="str">
        <f>IF(Sheet1!M11="Credit card","Credit Payment","Other")</f>
        <v>Credit Payment</v>
      </c>
      <c r="P11" s="13" t="str">
        <f>IF(Sheet1!O11&gt;7,"Yes","No")</f>
        <v>No</v>
      </c>
    </row>
    <row r="12" spans="1:16">
      <c r="A12" s="5">
        <v>11</v>
      </c>
      <c r="B12" s="6" t="s">
        <v>1046</v>
      </c>
      <c r="C12" s="17">
        <f>AVERAGEIF(Sheet1!F2:F1001,"Electronic accessories",Sheet1!G2:G1001)</f>
        <v>53.551588235294155</v>
      </c>
      <c r="E12" s="13" t="str">
        <v>351</v>
      </c>
      <c r="F12" s="13" t="str">
        <v>0822</v>
      </c>
      <c r="G12" s="13" t="str">
        <v>62</v>
      </c>
      <c r="H12" s="13" t="str">
        <f>_xlfn.CONCAT(Sheet1!A12," --&gt; ",Sheet1!J12)</f>
        <v>351-62-0822 --&gt; 60.816</v>
      </c>
      <c r="I12" s="13" t="str">
        <f>_xlfn.CONCAT(Sheet1!C12,"_",TEXT(Sheet1!K12, "m/d/yyyy"))</f>
        <v>Mandalay_2/6/2019</v>
      </c>
      <c r="J12" s="13" t="str">
        <f>IF(Sheet1!I12=Sheet1!N12*0.05,"Valid","Error")</f>
        <v>Valid</v>
      </c>
      <c r="K12" s="13" t="str">
        <f>IF(Sheet1!N12=Sheet1!G12*Sheet1!H12,"True","False")</f>
        <v>True</v>
      </c>
      <c r="L12" s="13" t="b">
        <v>1</v>
      </c>
      <c r="M12" s="9" t="b">
        <f>ISNUMBER(Sheet1!J12)</f>
        <v>1</v>
      </c>
      <c r="N12" s="13" t="str">
        <f>IF(Sheet1!B12="A","Branch A",IF(Sheet1!B12="B","Branch B","Other Branch"))</f>
        <v>Branch B</v>
      </c>
      <c r="O12" s="13" t="str">
        <f>IF(Sheet1!M12="Credit card","Credit Payment","Other")</f>
        <v>Other</v>
      </c>
      <c r="P12" s="13" t="str">
        <f>IF(Sheet1!O12&gt;7,"Yes","No")</f>
        <v>No</v>
      </c>
    </row>
    <row r="13" spans="1:16">
      <c r="A13" s="5">
        <v>12</v>
      </c>
      <c r="B13" s="6" t="s">
        <v>1047</v>
      </c>
      <c r="C13" s="17">
        <f>AVERAGEIF(Sheet1!C2:C1001,"Mandalay",Sheet1!N2:N1001)</f>
        <v>304.6404819277106</v>
      </c>
      <c r="E13" s="13" t="str">
        <v>529</v>
      </c>
      <c r="F13" s="13" t="str">
        <v>3974</v>
      </c>
      <c r="G13" s="13" t="str">
        <v>56</v>
      </c>
      <c r="H13" s="13" t="str">
        <f>_xlfn.CONCAT(Sheet1!A13," --&gt; ",Sheet1!J13)</f>
        <v>529-56-3974 --&gt; 107.142</v>
      </c>
      <c r="I13" s="13" t="str">
        <f>_xlfn.CONCAT(Sheet1!C13,"_",TEXT(Sheet1!K13, "m/d/yyyy"))</f>
        <v>Mandalay_3/9/2019</v>
      </c>
      <c r="J13" s="13" t="str">
        <f>IF(Sheet1!I13=Sheet1!N13*0.05,"Valid","Error")</f>
        <v>Valid</v>
      </c>
      <c r="K13" s="13" t="str">
        <f>IF(Sheet1!N13=Sheet1!G13*Sheet1!H13,"True","False")</f>
        <v>True</v>
      </c>
      <c r="L13" s="13" t="b">
        <v>1</v>
      </c>
      <c r="M13" s="9" t="b">
        <f>ISNUMBER(Sheet1!J13)</f>
        <v>1</v>
      </c>
      <c r="N13" s="13" t="str">
        <f>IF(Sheet1!B13="A","Branch A",IF(Sheet1!B13="B","Branch B","Other Branch"))</f>
        <v>Branch B</v>
      </c>
      <c r="O13" s="13" t="str">
        <f>IF(Sheet1!M13="Credit card","Credit Payment","Other")</f>
        <v>Other</v>
      </c>
      <c r="P13" s="13" t="str">
        <f>IF(Sheet1!O13&gt;7,"Yes","No")</f>
        <v>No</v>
      </c>
    </row>
    <row r="14" spans="1:16">
      <c r="A14" s="5">
        <v>13</v>
      </c>
      <c r="B14" s="6" t="s">
        <v>1048</v>
      </c>
      <c r="C14" s="17">
        <f>LARGE(_xlfn.UNIQUE(Sheet1!J2:J1001),3)</f>
        <v>1034.46</v>
      </c>
      <c r="E14" s="13" t="str">
        <v>365</v>
      </c>
      <c r="F14" s="13" t="str">
        <v>0515</v>
      </c>
      <c r="G14" s="13" t="str">
        <v>64</v>
      </c>
      <c r="H14" s="13" t="str">
        <f>_xlfn.CONCAT(Sheet1!A14," --&gt; ",Sheet1!J14)</f>
        <v>365-64-0515 --&gt; 246.4875</v>
      </c>
      <c r="I14" s="13" t="str">
        <f>_xlfn.CONCAT(Sheet1!C14,"_",TEXT(Sheet1!K14, "m/d/yyyy"))</f>
        <v>Yangon_2/12/2019</v>
      </c>
      <c r="J14" s="13" t="str">
        <f>IF(Sheet1!I14=Sheet1!N14*0.05,"Valid","Error")</f>
        <v>Valid</v>
      </c>
      <c r="K14" s="13" t="str">
        <f>IF(Sheet1!N14=Sheet1!G14*Sheet1!H14,"True","False")</f>
        <v>True</v>
      </c>
      <c r="L14" s="13" t="b">
        <v>1</v>
      </c>
      <c r="M14" s="9" t="b">
        <f>ISNUMBER(Sheet1!J14)</f>
        <v>1</v>
      </c>
      <c r="N14" s="13" t="str">
        <f>IF(Sheet1!B14="A","Branch A",IF(Sheet1!B14="B","Branch B","Other Branch"))</f>
        <v>Branch A</v>
      </c>
      <c r="O14" s="13" t="str">
        <f>IF(Sheet1!M14="Credit card","Credit Payment","Other")</f>
        <v>Other</v>
      </c>
      <c r="P14" s="13" t="str">
        <f>IF(Sheet1!O14&gt;7,"Yes","No")</f>
        <v>Yes</v>
      </c>
    </row>
    <row r="15" spans="1:16">
      <c r="A15" s="5">
        <v>14</v>
      </c>
      <c r="B15" s="6" t="s">
        <v>1049</v>
      </c>
      <c r="C15" s="14">
        <f>SMALL(_xlfn.UNIQUE(Sheet1!H2:H1001),2)</f>
        <v>2</v>
      </c>
      <c r="E15" s="13" t="str">
        <v>252</v>
      </c>
      <c r="F15" s="13" t="str">
        <v>2699</v>
      </c>
      <c r="G15" s="13" t="str">
        <v>56</v>
      </c>
      <c r="H15" s="13" t="str">
        <f>_xlfn.CONCAT(Sheet1!A15," --&gt; ",Sheet1!J15)</f>
        <v>252-56-2699 --&gt; 453.495</v>
      </c>
      <c r="I15" s="13" t="str">
        <f>_xlfn.CONCAT(Sheet1!C15,"_",TEXT(Sheet1!K15, "m/d/yyyy"))</f>
        <v>Yangon_2/7/2019</v>
      </c>
      <c r="J15" s="13" t="str">
        <f>IF(Sheet1!I15=Sheet1!N15*0.05,"Valid","Error")</f>
        <v>Valid</v>
      </c>
      <c r="K15" s="13" t="str">
        <f>IF(Sheet1!N15=Sheet1!G15*Sheet1!H15,"True","False")</f>
        <v>True</v>
      </c>
      <c r="L15" s="13" t="b">
        <v>1</v>
      </c>
      <c r="M15" s="9" t="b">
        <f>ISNUMBER(Sheet1!J15)</f>
        <v>1</v>
      </c>
      <c r="N15" s="13" t="str">
        <f>IF(Sheet1!B15="A","Branch A",IF(Sheet1!B15="B","Branch B","Other Branch"))</f>
        <v>Branch A</v>
      </c>
      <c r="O15" s="13" t="str">
        <f>IF(Sheet1!M15="Credit card","Credit Payment","Other")</f>
        <v>Other</v>
      </c>
      <c r="P15" s="13" t="str">
        <f>IF(Sheet1!O15&gt;7,"Yes","No")</f>
        <v>Yes</v>
      </c>
    </row>
    <row r="16" spans="1:16">
      <c r="A16" s="5">
        <v>15</v>
      </c>
      <c r="B16" s="6" t="s">
        <v>1050</v>
      </c>
      <c r="C16" s="15"/>
      <c r="E16" s="13" t="str">
        <v>829</v>
      </c>
      <c r="F16" s="13" t="str">
        <v>3910</v>
      </c>
      <c r="G16" s="13" t="str">
        <v>34</v>
      </c>
      <c r="H16" s="13" t="str">
        <f>_xlfn.CONCAT(Sheet1!A16," --&gt; ",Sheet1!J16)</f>
        <v>829-34-3910 --&gt; 749.49</v>
      </c>
      <c r="I16" s="13" t="str">
        <f>_xlfn.CONCAT(Sheet1!C16,"_",TEXT(Sheet1!K16, "m/d/yyyy"))</f>
        <v>Yangon_3/29/2019</v>
      </c>
      <c r="J16" s="13" t="str">
        <f>IF(Sheet1!I16=Sheet1!N16*0.05,"Valid","Error")</f>
        <v>Valid</v>
      </c>
      <c r="K16" s="13" t="str">
        <f>IF(Sheet1!N16=Sheet1!G16*Sheet1!H16,"True","False")</f>
        <v>True</v>
      </c>
      <c r="L16" s="13" t="b">
        <v>1</v>
      </c>
      <c r="M16" s="9" t="b">
        <f>ISNUMBER(Sheet1!J16)</f>
        <v>1</v>
      </c>
      <c r="N16" s="13" t="str">
        <f>IF(Sheet1!B16="A","Branch A",IF(Sheet1!B16="B","Branch B","Other Branch"))</f>
        <v>Branch A</v>
      </c>
      <c r="O16" s="13" t="str">
        <f>IF(Sheet1!M16="Credit card","Credit Payment","Other")</f>
        <v>Other</v>
      </c>
      <c r="P16" s="13" t="str">
        <f>IF(Sheet1!O16&gt;7,"Yes","No")</f>
        <v>No</v>
      </c>
    </row>
    <row r="17" spans="1:16">
      <c r="A17" s="5">
        <v>16</v>
      </c>
      <c r="B17" s="6" t="s">
        <v>1051</v>
      </c>
      <c r="C17" s="15"/>
      <c r="E17" s="13" t="str">
        <v>299</v>
      </c>
      <c r="F17" s="13" t="str">
        <v>1805</v>
      </c>
      <c r="G17" s="13" t="str">
        <v>46</v>
      </c>
      <c r="H17" s="13" t="str">
        <f>_xlfn.CONCAT(Sheet1!A17," --&gt; ",Sheet1!J17)</f>
        <v>299-46-1805 --&gt; 590.436</v>
      </c>
      <c r="I17" s="13" t="str">
        <f>_xlfn.CONCAT(Sheet1!C17,"_",TEXT(Sheet1!K17, "m/d/yyyy"))</f>
        <v>Mandalay_1/15/2019</v>
      </c>
      <c r="J17" s="13" t="str">
        <f>IF(Sheet1!I17=Sheet1!N17*0.05,"Valid","Error")</f>
        <v>Valid</v>
      </c>
      <c r="K17" s="13" t="str">
        <f>IF(Sheet1!N17=Sheet1!G17*Sheet1!H17,"True","False")</f>
        <v>True</v>
      </c>
      <c r="L17" s="13" t="b">
        <v>1</v>
      </c>
      <c r="M17" s="9" t="b">
        <f>ISNUMBER(Sheet1!J17)</f>
        <v>1</v>
      </c>
      <c r="N17" s="13" t="str">
        <f>IF(Sheet1!B17="A","Branch A",IF(Sheet1!B17="B","Branch B","Other Branch"))</f>
        <v>Branch B</v>
      </c>
      <c r="O17" s="13" t="str">
        <f>IF(Sheet1!M17="Credit card","Credit Payment","Other")</f>
        <v>Other</v>
      </c>
      <c r="P17" s="13" t="str">
        <f>IF(Sheet1!O17&gt;7,"Yes","No")</f>
        <v>No</v>
      </c>
    </row>
    <row r="18" spans="1:16">
      <c r="A18" s="5">
        <v>17</v>
      </c>
      <c r="B18" s="6" t="s">
        <v>1052</v>
      </c>
      <c r="C18" s="15"/>
      <c r="E18" s="13" t="str">
        <v>656</v>
      </c>
      <c r="F18" s="13" t="str">
        <v>9349</v>
      </c>
      <c r="G18" s="13" t="str">
        <v>95</v>
      </c>
      <c r="H18" s="13" t="str">
        <f>_xlfn.CONCAT(Sheet1!A18," --&gt; ",Sheet1!J18)</f>
        <v>656-95-9349 --&gt; 506.6355</v>
      </c>
      <c r="I18" s="13" t="str">
        <f>_xlfn.CONCAT(Sheet1!C18,"_",TEXT(Sheet1!K18, "m/d/yyyy"))</f>
        <v>Yangon_3/11/2019</v>
      </c>
      <c r="J18" s="13" t="str">
        <f>IF(Sheet1!I18=Sheet1!N18*0.05,"Valid","Error")</f>
        <v>Valid</v>
      </c>
      <c r="K18" s="13" t="str">
        <f>IF(Sheet1!N18=Sheet1!G18*Sheet1!H18,"True","False")</f>
        <v>True</v>
      </c>
      <c r="L18" s="13" t="b">
        <v>1</v>
      </c>
      <c r="M18" s="9" t="b">
        <f>ISNUMBER(Sheet1!J18)</f>
        <v>1</v>
      </c>
      <c r="N18" s="13" t="str">
        <f>IF(Sheet1!B18="A","Branch A",IF(Sheet1!B18="B","Branch B","Other Branch"))</f>
        <v>Branch A</v>
      </c>
      <c r="O18" s="13" t="str">
        <f>IF(Sheet1!M18="Credit card","Credit Payment","Other")</f>
        <v>Credit Payment</v>
      </c>
      <c r="P18" s="13" t="str">
        <f>IF(Sheet1!O18&gt;7,"Yes","No")</f>
        <v>No</v>
      </c>
    </row>
    <row r="19" spans="1:16">
      <c r="A19" s="5">
        <v>18</v>
      </c>
      <c r="B19" s="6" t="s">
        <v>1054</v>
      </c>
      <c r="C19" s="14">
        <f>COUNTBLANK(Sheet1!M2:M1001)</f>
        <v>0</v>
      </c>
      <c r="E19" s="13" t="str">
        <v>765</v>
      </c>
      <c r="F19" s="13" t="str">
        <v>6951</v>
      </c>
      <c r="G19" s="13" t="str">
        <v>26</v>
      </c>
      <c r="H19" s="13" t="str">
        <f>_xlfn.CONCAT(Sheet1!A19," --&gt; ",Sheet1!J19)</f>
        <v>765-26-6951 --&gt; 457.443</v>
      </c>
      <c r="I19" s="13" t="str">
        <f>_xlfn.CONCAT(Sheet1!C19,"_",TEXT(Sheet1!K19, "m/d/yyyy"))</f>
        <v>Yangon_1/1/2019</v>
      </c>
      <c r="J19" s="13" t="str">
        <f>IF(Sheet1!I19=Sheet1!N19*0.05,"Valid","Error")</f>
        <v>Valid</v>
      </c>
      <c r="K19" s="13" t="str">
        <f>IF(Sheet1!N19=Sheet1!G19*Sheet1!H19,"True","False")</f>
        <v>True</v>
      </c>
      <c r="L19" s="13" t="b">
        <v>1</v>
      </c>
      <c r="M19" s="9" t="b">
        <f>ISNUMBER(Sheet1!J19)</f>
        <v>1</v>
      </c>
      <c r="N19" s="13" t="str">
        <f>IF(Sheet1!B19="A","Branch A",IF(Sheet1!B19="B","Branch B","Other Branch"))</f>
        <v>Branch A</v>
      </c>
      <c r="O19" s="13" t="str">
        <f>IF(Sheet1!M19="Credit card","Credit Payment","Other")</f>
        <v>Credit Payment</v>
      </c>
      <c r="P19" s="13" t="str">
        <f>IF(Sheet1!O19&gt;7,"Yes","No")</f>
        <v>No</v>
      </c>
    </row>
    <row r="20" spans="1:16">
      <c r="A20" s="5">
        <v>19</v>
      </c>
      <c r="B20" s="6" t="s">
        <v>1053</v>
      </c>
      <c r="C20" s="15"/>
      <c r="E20" s="13" t="str">
        <v>329</v>
      </c>
      <c r="F20" s="13" t="str">
        <v>1586</v>
      </c>
      <c r="G20" s="13" t="str">
        <v>62</v>
      </c>
      <c r="H20" s="13" t="str">
        <f>_xlfn.CONCAT(Sheet1!A20," --&gt; ",Sheet1!J20)</f>
        <v>329-62-1586 --&gt; 172.2105</v>
      </c>
      <c r="I20" s="13" t="str">
        <f>_xlfn.CONCAT(Sheet1!C20,"_",TEXT(Sheet1!K20, "m/d/yyyy"))</f>
        <v>Yangon_1/21/2019</v>
      </c>
      <c r="J20" s="13" t="str">
        <f>IF(Sheet1!I20=Sheet1!N20*0.05,"Valid","Error")</f>
        <v>Valid</v>
      </c>
      <c r="K20" s="13" t="str">
        <f>IF(Sheet1!N20=Sheet1!G20*Sheet1!H20,"True","False")</f>
        <v>True</v>
      </c>
      <c r="L20" s="13" t="b">
        <v>1</v>
      </c>
      <c r="M20" s="9" t="b">
        <f>ISNUMBER(Sheet1!J20)</f>
        <v>1</v>
      </c>
      <c r="N20" s="13" t="str">
        <f>IF(Sheet1!B20="A","Branch A",IF(Sheet1!B20="B","Branch B","Other Branch"))</f>
        <v>Branch A</v>
      </c>
      <c r="O20" s="13" t="str">
        <f>IF(Sheet1!M20="Credit card","Credit Payment","Other")</f>
        <v>Credit Payment</v>
      </c>
      <c r="P20" s="13" t="str">
        <f>IF(Sheet1!O20&gt;7,"Yes","No")</f>
        <v>Yes</v>
      </c>
    </row>
    <row r="21" spans="1:16">
      <c r="A21" s="5">
        <v>20</v>
      </c>
      <c r="B21" s="6" t="s">
        <v>1055</v>
      </c>
      <c r="C21" s="16"/>
      <c r="D21" s="7"/>
      <c r="E21" s="13" t="str">
        <v>319</v>
      </c>
      <c r="F21" s="13" t="str">
        <v>3348</v>
      </c>
      <c r="G21" s="13" t="str">
        <v>50</v>
      </c>
      <c r="H21" s="13" t="str">
        <f>_xlfn.CONCAT(Sheet1!A21," --&gt; ",Sheet1!J21)</f>
        <v>319-50-3348 --&gt; 84.63</v>
      </c>
      <c r="I21" s="13" t="str">
        <f>_xlfn.CONCAT(Sheet1!C21,"_",TEXT(Sheet1!K21, "m/d/yyyy"))</f>
        <v>Mandalay_3/11/2019</v>
      </c>
      <c r="J21" s="13" t="str">
        <f>IF(Sheet1!I21=Sheet1!N21*0.05,"Valid","Error")</f>
        <v>Valid</v>
      </c>
      <c r="K21" s="13" t="str">
        <f>IF(Sheet1!N21=Sheet1!G21*Sheet1!H21,"True","False")</f>
        <v>True</v>
      </c>
      <c r="L21" s="13" t="b">
        <v>1</v>
      </c>
      <c r="M21" s="9" t="b">
        <f>ISNUMBER(Sheet1!J21)</f>
        <v>1</v>
      </c>
      <c r="N21" s="13" t="str">
        <f>IF(Sheet1!B21="A","Branch A",IF(Sheet1!B21="B","Branch B","Other Branch"))</f>
        <v>Branch B</v>
      </c>
      <c r="O21" s="13" t="str">
        <f>IF(Sheet1!M21="Credit card","Credit Payment","Other")</f>
        <v>Other</v>
      </c>
      <c r="P21" s="13" t="str">
        <f>IF(Sheet1!O21&gt;7,"Yes","No")</f>
        <v>No</v>
      </c>
    </row>
    <row r="22" spans="1:16">
      <c r="A22" s="5">
        <v>21</v>
      </c>
      <c r="B22" s="6" t="s">
        <v>1056</v>
      </c>
      <c r="C22" s="14">
        <f>COUNTIF(Sheet1!O2:O1001,"&gt;9")</f>
        <v>151</v>
      </c>
      <c r="E22" s="13" t="str">
        <v>300</v>
      </c>
      <c r="F22" s="13" t="str">
        <v>4605</v>
      </c>
      <c r="G22" s="13" t="str">
        <v>71</v>
      </c>
      <c r="H22" s="13" t="str">
        <f>_xlfn.CONCAT(Sheet1!A22," --&gt; ",Sheet1!J22)</f>
        <v>300-71-4605 --&gt; 451.71</v>
      </c>
      <c r="I22" s="13" t="str">
        <f>_xlfn.CONCAT(Sheet1!C22,"_",TEXT(Sheet1!K22, "m/d/yyyy"))</f>
        <v>Naypyitaw_2/25/2019</v>
      </c>
      <c r="J22" s="13" t="str">
        <f>IF(Sheet1!I22=Sheet1!N22*0.05,"Valid","Error")</f>
        <v>Valid</v>
      </c>
      <c r="K22" s="13" t="str">
        <f>IF(Sheet1!N22=Sheet1!G22*Sheet1!H22,"True","False")</f>
        <v>True</v>
      </c>
      <c r="L22" s="13" t="b">
        <v>1</v>
      </c>
      <c r="M22" s="9" t="b">
        <f>ISNUMBER(Sheet1!J22)</f>
        <v>1</v>
      </c>
      <c r="N22" s="13" t="str">
        <f>IF(Sheet1!B22="A","Branch A",IF(Sheet1!B22="B","Branch B","Other Branch"))</f>
        <v>Other Branch</v>
      </c>
      <c r="O22" s="13" t="str">
        <f>IF(Sheet1!M22="Credit card","Credit Payment","Other")</f>
        <v>Other</v>
      </c>
      <c r="P22" s="13" t="str">
        <f>IF(Sheet1!O22&gt;7,"Yes","No")</f>
        <v>No</v>
      </c>
    </row>
    <row r="23" spans="1:16">
      <c r="A23" s="5">
        <v>22</v>
      </c>
      <c r="B23" s="6" t="s">
        <v>1057</v>
      </c>
      <c r="C23" s="15"/>
      <c r="E23" s="13" t="str">
        <v>371</v>
      </c>
      <c r="F23" s="13" t="str">
        <v>5789</v>
      </c>
      <c r="G23" s="13" t="str">
        <v>85</v>
      </c>
      <c r="H23" s="13" t="str">
        <f>_xlfn.CONCAT(Sheet1!A23," --&gt; ",Sheet1!J23)</f>
        <v>371-85-5789 --&gt; 277.137</v>
      </c>
      <c r="I23" s="13" t="str">
        <f>_xlfn.CONCAT(Sheet1!C23,"_",TEXT(Sheet1!K23, "m/d/yyyy"))</f>
        <v>Mandalay_3/5/2019</v>
      </c>
      <c r="J23" s="13" t="str">
        <f>IF(Sheet1!I23=Sheet1!N23*0.05,"Valid","Error")</f>
        <v>Valid</v>
      </c>
      <c r="K23" s="13" t="str">
        <f>IF(Sheet1!N23=Sheet1!G23*Sheet1!H23,"True","False")</f>
        <v>True</v>
      </c>
      <c r="L23" s="13" t="b">
        <v>1</v>
      </c>
      <c r="M23" s="9" t="b">
        <f>ISNUMBER(Sheet1!J23)</f>
        <v>1</v>
      </c>
      <c r="N23" s="13" t="str">
        <f>IF(Sheet1!B23="A","Branch A",IF(Sheet1!B23="B","Branch B","Other Branch"))</f>
        <v>Branch B</v>
      </c>
      <c r="O23" s="13" t="str">
        <f>IF(Sheet1!M23="Credit card","Credit Payment","Other")</f>
        <v>Other</v>
      </c>
      <c r="P23" s="13" t="str">
        <f>IF(Sheet1!O23&gt;7,"Yes","No")</f>
        <v>No</v>
      </c>
    </row>
    <row r="24" spans="1:16">
      <c r="A24" s="5">
        <v>23</v>
      </c>
      <c r="B24" s="6" t="s">
        <v>1058</v>
      </c>
      <c r="C24" s="17">
        <f>SUMIF(Sheet1!F2:F1001,"Fashion accessories",Sheet1!J2:J1001)</f>
        <v>54305.894999999997</v>
      </c>
      <c r="E24" s="13" t="str">
        <v>273</v>
      </c>
      <c r="F24" s="13" t="str">
        <v>6619</v>
      </c>
      <c r="G24" s="13" t="str">
        <v>16</v>
      </c>
      <c r="H24" s="13" t="str">
        <f>_xlfn.CONCAT(Sheet1!A24," --&gt; ",Sheet1!J24)</f>
        <v>273-16-6619 --&gt; 69.72</v>
      </c>
      <c r="I24" s="13" t="str">
        <f>_xlfn.CONCAT(Sheet1!C24,"_",TEXT(Sheet1!K24, "m/d/yyyy"))</f>
        <v>Mandalay_3/15/2019</v>
      </c>
      <c r="J24" s="13" t="str">
        <f>IF(Sheet1!I24=Sheet1!N24*0.05,"Valid","Error")</f>
        <v>Valid</v>
      </c>
      <c r="K24" s="13" t="str">
        <f>IF(Sheet1!N24=Sheet1!G24*Sheet1!H24,"True","False")</f>
        <v>True</v>
      </c>
      <c r="L24" s="13" t="b">
        <v>1</v>
      </c>
      <c r="M24" s="9" t="b">
        <f>ISNUMBER(Sheet1!J24)</f>
        <v>1</v>
      </c>
      <c r="N24" s="13" t="str">
        <f>IF(Sheet1!B24="A","Branch A",IF(Sheet1!B24="B","Branch B","Other Branch"))</f>
        <v>Branch B</v>
      </c>
      <c r="O24" s="13" t="str">
        <f>IF(Sheet1!M24="Credit card","Credit Payment","Other")</f>
        <v>Credit Payment</v>
      </c>
      <c r="P24" s="13" t="str">
        <f>IF(Sheet1!O24&gt;7,"Yes","No")</f>
        <v>No</v>
      </c>
    </row>
    <row r="25" spans="1:16">
      <c r="A25" s="5">
        <v>24</v>
      </c>
      <c r="B25" s="6" t="s">
        <v>1059</v>
      </c>
      <c r="C25" s="17">
        <f>AVERAGEIF(Sheet1!B2:B1001,"B",Sheet1!O2:O1001)</f>
        <v>6.8180722891566266</v>
      </c>
      <c r="E25" s="13" t="str">
        <v>636</v>
      </c>
      <c r="F25" s="13" t="str">
        <v>8204</v>
      </c>
      <c r="G25" s="13" t="str">
        <v>48</v>
      </c>
      <c r="H25" s="13" t="str">
        <f>_xlfn.CONCAT(Sheet1!A25," --&gt; ",Sheet1!J25)</f>
        <v>636-48-8204 --&gt; 181.44</v>
      </c>
      <c r="I25" s="13" t="str">
        <f>_xlfn.CONCAT(Sheet1!C25,"_",TEXT(Sheet1!K25, "m/d/yyyy"))</f>
        <v>Yangon_2/17/2019</v>
      </c>
      <c r="J25" s="13" t="str">
        <f>IF(Sheet1!I25=Sheet1!N25*0.05,"Valid","Error")</f>
        <v>Valid</v>
      </c>
      <c r="K25" s="13" t="str">
        <f>IF(Sheet1!N25=Sheet1!G25*Sheet1!H25,"True","False")</f>
        <v>True</v>
      </c>
      <c r="L25" s="13" t="b">
        <v>1</v>
      </c>
      <c r="M25" s="9" t="b">
        <f>ISNUMBER(Sheet1!J25)</f>
        <v>1</v>
      </c>
      <c r="N25" s="13" t="str">
        <f>IF(Sheet1!B25="A","Branch A",IF(Sheet1!B25="B","Branch B","Other Branch"))</f>
        <v>Branch A</v>
      </c>
      <c r="O25" s="13" t="str">
        <f>IF(Sheet1!M25="Credit card","Credit Payment","Other")</f>
        <v>Other</v>
      </c>
      <c r="P25" s="13" t="str">
        <f>IF(Sheet1!O25&gt;7,"Yes","No")</f>
        <v>Yes</v>
      </c>
    </row>
    <row r="26" spans="1:16">
      <c r="A26" s="5">
        <v>25</v>
      </c>
      <c r="B26" s="6" t="s">
        <v>1060</v>
      </c>
      <c r="C26" s="14">
        <f>COUNTIF(Sheet1!D2:D1001,"Member")</f>
        <v>501</v>
      </c>
      <c r="E26" s="13" t="str">
        <v>549</v>
      </c>
      <c r="F26" s="13" t="str">
        <v>1358</v>
      </c>
      <c r="G26" s="13" t="str">
        <v>59</v>
      </c>
      <c r="H26" s="13" t="str">
        <f>_xlfn.CONCAT(Sheet1!A26," --&gt; ",Sheet1!J26)</f>
        <v>549-59-1358 --&gt; 279.1845</v>
      </c>
      <c r="I26" s="13" t="str">
        <f>_xlfn.CONCAT(Sheet1!C26,"_",TEXT(Sheet1!K26, "m/d/yyyy"))</f>
        <v>Yangon_3/2/2019</v>
      </c>
      <c r="J26" s="13" t="str">
        <f>IF(Sheet1!I26=Sheet1!N26*0.05,"Valid","Error")</f>
        <v>Valid</v>
      </c>
      <c r="K26" s="13" t="str">
        <f>IF(Sheet1!N26=Sheet1!G26*Sheet1!H26,"True","False")</f>
        <v>True</v>
      </c>
      <c r="L26" s="13" t="b">
        <v>1</v>
      </c>
      <c r="M26" s="9" t="b">
        <f>ISNUMBER(Sheet1!J26)</f>
        <v>1</v>
      </c>
      <c r="N26" s="13" t="str">
        <f>IF(Sheet1!B26="A","Branch A",IF(Sheet1!B26="B","Branch B","Other Branch"))</f>
        <v>Branch A</v>
      </c>
      <c r="O26" s="13" t="str">
        <f>IF(Sheet1!M26="Credit card","Credit Payment","Other")</f>
        <v>Other</v>
      </c>
      <c r="P26" s="13" t="str">
        <f>IF(Sheet1!O26&gt;7,"Yes","No")</f>
        <v>No</v>
      </c>
    </row>
    <row r="27" spans="1:16">
      <c r="A27" s="5">
        <v>26</v>
      </c>
      <c r="B27" s="6" t="s">
        <v>1061</v>
      </c>
      <c r="C27" s="17">
        <f>SUMIF(Sheet1!E2:E1001,"Female",Sheet1!N2:N1001)</f>
        <v>159888.49999999977</v>
      </c>
      <c r="E27" s="13" t="str">
        <v>227</v>
      </c>
      <c r="F27" s="13" t="str">
        <v>5010</v>
      </c>
      <c r="G27" s="13" t="str">
        <v>03</v>
      </c>
      <c r="H27" s="13" t="str">
        <f>_xlfn.CONCAT(Sheet1!A27," --&gt; ",Sheet1!J27)</f>
        <v>227-03-5010 --&gt; 441.756</v>
      </c>
      <c r="I27" s="13" t="str">
        <f>_xlfn.CONCAT(Sheet1!C27,"_",TEXT(Sheet1!K27, "m/d/yyyy"))</f>
        <v>Yangon_3/22/2019</v>
      </c>
      <c r="J27" s="13" t="str">
        <f>IF(Sheet1!I27=Sheet1!N27*0.05,"Valid","Error")</f>
        <v>Valid</v>
      </c>
      <c r="K27" s="13" t="str">
        <f>IF(Sheet1!N27=Sheet1!G27*Sheet1!H27,"True","False")</f>
        <v>True</v>
      </c>
      <c r="L27" s="13" t="b">
        <v>1</v>
      </c>
      <c r="M27" s="9" t="b">
        <f>ISNUMBER(Sheet1!J27)</f>
        <v>1</v>
      </c>
      <c r="N27" s="13" t="str">
        <f>IF(Sheet1!B27="A","Branch A",IF(Sheet1!B27="B","Branch B","Other Branch"))</f>
        <v>Branch A</v>
      </c>
      <c r="O27" s="13" t="str">
        <f>IF(Sheet1!M27="Credit card","Credit Payment","Other")</f>
        <v>Credit Payment</v>
      </c>
      <c r="P27" s="13" t="str">
        <f>IF(Sheet1!O27&gt;7,"Yes","No")</f>
        <v>Yes</v>
      </c>
    </row>
    <row r="28" spans="1:16">
      <c r="A28" s="5">
        <v>27</v>
      </c>
      <c r="B28" s="6" t="s">
        <v>1062</v>
      </c>
      <c r="C28" s="15"/>
      <c r="E28" s="13" t="str">
        <v>649</v>
      </c>
      <c r="F28" s="13" t="str">
        <v>6775</v>
      </c>
      <c r="G28" s="13" t="str">
        <v>29</v>
      </c>
      <c r="H28" s="13" t="str">
        <f>_xlfn.CONCAT(Sheet1!A28," --&gt; ",Sheet1!J28)</f>
        <v>649-29-6775 --&gt; 35.196</v>
      </c>
      <c r="I28" s="13" t="str">
        <f>_xlfn.CONCAT(Sheet1!C28,"_",TEXT(Sheet1!K28, "m/d/yyyy"))</f>
        <v>Mandalay_2/8/2019</v>
      </c>
      <c r="J28" s="13" t="str">
        <f>IF(Sheet1!I28=Sheet1!N28*0.05,"Valid","Error")</f>
        <v>Valid</v>
      </c>
      <c r="K28" s="13" t="str">
        <f>IF(Sheet1!N28=Sheet1!G28*Sheet1!H28,"True","False")</f>
        <v>True</v>
      </c>
      <c r="L28" s="13" t="b">
        <v>1</v>
      </c>
      <c r="M28" s="9" t="b">
        <f>ISNUMBER(Sheet1!J28)</f>
        <v>1</v>
      </c>
      <c r="N28" s="13" t="str">
        <f>IF(Sheet1!B28="A","Branch A",IF(Sheet1!B28="B","Branch B","Other Branch"))</f>
        <v>Branch B</v>
      </c>
      <c r="O28" s="13" t="str">
        <f>IF(Sheet1!M28="Credit card","Credit Payment","Other")</f>
        <v>Other</v>
      </c>
      <c r="P28" s="13" t="str">
        <f>IF(Sheet1!O28&gt;7,"Yes","No")</f>
        <v>No</v>
      </c>
    </row>
    <row r="29" spans="1:16">
      <c r="A29" s="5">
        <v>28</v>
      </c>
      <c r="B29" s="6" t="s">
        <v>1063</v>
      </c>
      <c r="C29" s="15"/>
      <c r="E29" s="13" t="str">
        <v>189</v>
      </c>
      <c r="F29" s="13" t="str">
        <v>4241</v>
      </c>
      <c r="G29" s="13" t="str">
        <v>17</v>
      </c>
      <c r="H29" s="13" t="str">
        <f>_xlfn.CONCAT(Sheet1!A29," --&gt; ",Sheet1!J29)</f>
        <v>189-17-4241 --&gt; 184.107</v>
      </c>
      <c r="I29" s="13" t="str">
        <f>_xlfn.CONCAT(Sheet1!C29,"_",TEXT(Sheet1!K29, "m/d/yyyy"))</f>
        <v>Yangon_3/10/2019</v>
      </c>
      <c r="J29" s="13" t="str">
        <f>IF(Sheet1!I29=Sheet1!N29*0.05,"Valid","Error")</f>
        <v>Valid</v>
      </c>
      <c r="K29" s="13" t="str">
        <f>IF(Sheet1!N29=Sheet1!G29*Sheet1!H29,"True","False")</f>
        <v>True</v>
      </c>
      <c r="L29" s="13" t="b">
        <v>1</v>
      </c>
      <c r="M29" s="9" t="b">
        <f>ISNUMBER(Sheet1!J29)</f>
        <v>1</v>
      </c>
      <c r="N29" s="13" t="str">
        <f>IF(Sheet1!B29="A","Branch A",IF(Sheet1!B29="B","Branch B","Other Branch"))</f>
        <v>Branch A</v>
      </c>
      <c r="O29" s="13" t="str">
        <f>IF(Sheet1!M29="Credit card","Credit Payment","Other")</f>
        <v>Credit Payment</v>
      </c>
      <c r="P29" s="13" t="str">
        <f>IF(Sheet1!O29&gt;7,"Yes","No")</f>
        <v>Yes</v>
      </c>
    </row>
    <row r="30" spans="1:16">
      <c r="A30" s="5">
        <v>29</v>
      </c>
      <c r="B30" s="6" t="s">
        <v>1072</v>
      </c>
      <c r="C30" s="15"/>
      <c r="E30" s="13" t="str">
        <v>145</v>
      </c>
      <c r="F30" s="13" t="str">
        <v>9061</v>
      </c>
      <c r="G30" s="13" t="str">
        <v>94</v>
      </c>
      <c r="H30" s="13" t="str">
        <f>_xlfn.CONCAT(Sheet1!A30," --&gt; ",Sheet1!J30)</f>
        <v>145-94-9061 --&gt; 463.89</v>
      </c>
      <c r="I30" s="13" t="str">
        <f>_xlfn.CONCAT(Sheet1!C30,"_",TEXT(Sheet1!K30, "m/d/yyyy"))</f>
        <v>Mandalay_1/25/2019</v>
      </c>
      <c r="J30" s="13" t="str">
        <f>IF(Sheet1!I30=Sheet1!N30*0.05,"Valid","Error")</f>
        <v>Valid</v>
      </c>
      <c r="K30" s="13" t="str">
        <f>IF(Sheet1!N30=Sheet1!G30*Sheet1!H30,"True","False")</f>
        <v>True</v>
      </c>
      <c r="L30" s="13" t="b">
        <v>1</v>
      </c>
      <c r="M30" s="9" t="b">
        <f>ISNUMBER(Sheet1!J30)</f>
        <v>1</v>
      </c>
      <c r="N30" s="13" t="str">
        <f>IF(Sheet1!B30="A","Branch A",IF(Sheet1!B30="B","Branch B","Other Branch"))</f>
        <v>Branch B</v>
      </c>
      <c r="O30" s="13" t="str">
        <f>IF(Sheet1!M30="Credit card","Credit Payment","Other")</f>
        <v>Other</v>
      </c>
      <c r="P30" s="13" t="str">
        <f>IF(Sheet1!O30&gt;7,"Yes","No")</f>
        <v>Yes</v>
      </c>
    </row>
    <row r="31" spans="1:16">
      <c r="A31" s="5">
        <v>30</v>
      </c>
      <c r="B31" s="6" t="s">
        <v>1064</v>
      </c>
      <c r="C31" s="14">
        <f>COUNT(Sheet1!J2:J1001)</f>
        <v>1000</v>
      </c>
      <c r="E31" s="13" t="str">
        <v>848</v>
      </c>
      <c r="F31" s="13" t="str">
        <v>7243</v>
      </c>
      <c r="G31" s="13" t="str">
        <v>62</v>
      </c>
      <c r="H31" s="13" t="str">
        <f>_xlfn.CONCAT(Sheet1!A31," --&gt; ",Sheet1!J31)</f>
        <v>848-62-7243 --&gt; 235.2105</v>
      </c>
      <c r="I31" s="13" t="str">
        <f>_xlfn.CONCAT(Sheet1!C31,"_",TEXT(Sheet1!K31, "m/d/yyyy"))</f>
        <v>Yangon_3/15/2019</v>
      </c>
      <c r="J31" s="13" t="str">
        <f>IF(Sheet1!I31=Sheet1!N31*0.05,"Valid","Error")</f>
        <v>Valid</v>
      </c>
      <c r="K31" s="13" t="str">
        <f>IF(Sheet1!N31=Sheet1!G31*Sheet1!H31,"True","False")</f>
        <v>True</v>
      </c>
      <c r="L31" s="13" t="b">
        <v>1</v>
      </c>
      <c r="M31" s="9" t="b">
        <f>ISNUMBER(Sheet1!J31)</f>
        <v>1</v>
      </c>
      <c r="N31" s="13" t="str">
        <f>IF(Sheet1!B31="A","Branch A",IF(Sheet1!B31="B","Branch B","Other Branch"))</f>
        <v>Branch A</v>
      </c>
      <c r="O31" s="13" t="str">
        <f>IF(Sheet1!M31="Credit card","Credit Payment","Other")</f>
        <v>Other</v>
      </c>
      <c r="P31" s="13" t="str">
        <f>IF(Sheet1!O31&gt;7,"Yes","No")</f>
        <v>Yes</v>
      </c>
    </row>
    <row r="32" spans="1:16">
      <c r="A32" s="5">
        <v>31</v>
      </c>
      <c r="B32" s="6" t="s">
        <v>1078</v>
      </c>
      <c r="C32" s="15"/>
      <c r="E32" s="13" t="str">
        <v>871</v>
      </c>
      <c r="F32" s="13" t="str">
        <v>8483</v>
      </c>
      <c r="G32" s="13" t="str">
        <v>79</v>
      </c>
      <c r="H32" s="13" t="str">
        <f>_xlfn.CONCAT(Sheet1!A32," --&gt; ",Sheet1!J32)</f>
        <v>871-79-8483 --&gt; 494.1825</v>
      </c>
      <c r="I32" s="13" t="str">
        <f>_xlfn.CONCAT(Sheet1!C32,"_",TEXT(Sheet1!K32, "m/d/yyyy"))</f>
        <v>Mandalay_2/25/2019</v>
      </c>
      <c r="J32" s="13" t="str">
        <f>IF(Sheet1!I32=Sheet1!N32*0.05,"Valid","Error")</f>
        <v>Valid</v>
      </c>
      <c r="K32" s="13" t="str">
        <f>IF(Sheet1!N32=Sheet1!G32*Sheet1!H32,"True","False")</f>
        <v>True</v>
      </c>
      <c r="L32" s="13" t="b">
        <v>1</v>
      </c>
      <c r="M32" s="9" t="b">
        <f>ISNUMBER(Sheet1!J32)</f>
        <v>1</v>
      </c>
      <c r="N32" s="13" t="str">
        <f>IF(Sheet1!B32="A","Branch A",IF(Sheet1!B32="B","Branch B","Other Branch"))</f>
        <v>Branch B</v>
      </c>
      <c r="O32" s="13" t="str">
        <f>IF(Sheet1!M32="Credit card","Credit Payment","Other")</f>
        <v>Credit Payment</v>
      </c>
      <c r="P32" s="13" t="str">
        <f>IF(Sheet1!O32&gt;7,"Yes","No")</f>
        <v>No</v>
      </c>
    </row>
    <row r="33" spans="1:16">
      <c r="A33" s="5">
        <v>32</v>
      </c>
      <c r="B33" s="6" t="s">
        <v>1079</v>
      </c>
      <c r="C33" s="15"/>
      <c r="E33" s="13" t="str">
        <v>149</v>
      </c>
      <c r="F33" s="13" t="str">
        <v>6266</v>
      </c>
      <c r="G33" s="13" t="str">
        <v>71</v>
      </c>
      <c r="H33" s="13" t="str">
        <f>_xlfn.CONCAT(Sheet1!A33," --&gt; ",Sheet1!J33)</f>
        <v>149-71-6266 --&gt; 737.7615</v>
      </c>
      <c r="I33" s="13" t="str">
        <f>_xlfn.CONCAT(Sheet1!C33,"_",TEXT(Sheet1!K33, "m/d/yyyy"))</f>
        <v>Mandalay_1/28/2019</v>
      </c>
      <c r="J33" s="13" t="str">
        <f>IF(Sheet1!I33=Sheet1!N33*0.05,"Valid","Error")</f>
        <v>Valid</v>
      </c>
      <c r="K33" s="13" t="str">
        <f>IF(Sheet1!N33=Sheet1!G33*Sheet1!H33,"True","False")</f>
        <v>True</v>
      </c>
      <c r="L33" s="13" t="b">
        <v>1</v>
      </c>
      <c r="M33" s="9" t="b">
        <f>ISNUMBER(Sheet1!J33)</f>
        <v>1</v>
      </c>
      <c r="N33" s="13" t="str">
        <f>IF(Sheet1!B33="A","Branch A",IF(Sheet1!B33="B","Branch B","Other Branch"))</f>
        <v>Branch B</v>
      </c>
      <c r="O33" s="13" t="str">
        <f>IF(Sheet1!M33="Credit card","Credit Payment","Other")</f>
        <v>Other</v>
      </c>
      <c r="P33" s="13" t="str">
        <f>IF(Sheet1!O33&gt;7,"Yes","No")</f>
        <v>No</v>
      </c>
    </row>
    <row r="34" spans="1:16">
      <c r="A34" s="5">
        <v>33</v>
      </c>
      <c r="B34" s="6" t="s">
        <v>1065</v>
      </c>
      <c r="C34" s="15"/>
      <c r="E34" s="13" t="str">
        <v>640</v>
      </c>
      <c r="F34" s="13" t="str">
        <v>2076</v>
      </c>
      <c r="G34" s="13" t="str">
        <v>49</v>
      </c>
      <c r="H34" s="13" t="str">
        <f>_xlfn.CONCAT(Sheet1!A34," --&gt; ",Sheet1!J34)</f>
        <v>640-49-2076 --&gt; 703.752</v>
      </c>
      <c r="I34" s="13" t="str">
        <f>_xlfn.CONCAT(Sheet1!C34,"_",TEXT(Sheet1!K34, "m/d/yyyy"))</f>
        <v>Mandalay_1/10/2019</v>
      </c>
      <c r="J34" s="13" t="str">
        <f>IF(Sheet1!I34=Sheet1!N34*0.05,"Valid","Error")</f>
        <v>Valid</v>
      </c>
      <c r="K34" s="13" t="str">
        <f>IF(Sheet1!N34=Sheet1!G34*Sheet1!H34,"True","False")</f>
        <v>True</v>
      </c>
      <c r="L34" s="13" t="b">
        <v>1</v>
      </c>
      <c r="M34" s="9" t="b">
        <f>ISNUMBER(Sheet1!J34)</f>
        <v>1</v>
      </c>
      <c r="N34" s="13" t="str">
        <f>IF(Sheet1!B34="A","Branch A",IF(Sheet1!B34="B","Branch B","Other Branch"))</f>
        <v>Branch B</v>
      </c>
      <c r="O34" s="13" t="str">
        <f>IF(Sheet1!M34="Credit card","Credit Payment","Other")</f>
        <v>Other</v>
      </c>
      <c r="P34" s="13" t="str">
        <f>IF(Sheet1!O34&gt;7,"Yes","No")</f>
        <v>No</v>
      </c>
    </row>
    <row r="35" spans="1:16">
      <c r="A35" s="1"/>
      <c r="E35" s="13" t="str">
        <v>595</v>
      </c>
      <c r="F35" s="13" t="str">
        <v>5460</v>
      </c>
      <c r="G35" s="13" t="str">
        <v>11</v>
      </c>
      <c r="H35" s="13" t="str">
        <f>_xlfn.CONCAT(Sheet1!A35," --&gt; ",Sheet1!J35)</f>
        <v>595-11-5460 --&gt; 202.818</v>
      </c>
      <c r="I35" s="13" t="str">
        <f>_xlfn.CONCAT(Sheet1!C35,"_",TEXT(Sheet1!K35, "m/d/yyyy"))</f>
        <v>Yangon_3/15/2019</v>
      </c>
      <c r="J35" s="13" t="str">
        <f>IF(Sheet1!I35=Sheet1!N35*0.05,"Valid","Error")</f>
        <v>Valid</v>
      </c>
      <c r="K35" s="13" t="str">
        <f>IF(Sheet1!N35=Sheet1!G35*Sheet1!H35,"True","False")</f>
        <v>True</v>
      </c>
      <c r="L35" s="13" t="b">
        <v>1</v>
      </c>
      <c r="M35" s="9" t="b">
        <f>ISNUMBER(Sheet1!J35)</f>
        <v>1</v>
      </c>
      <c r="N35" s="13" t="str">
        <f>IF(Sheet1!B35="A","Branch A",IF(Sheet1!B35="B","Branch B","Other Branch"))</f>
        <v>Branch A</v>
      </c>
      <c r="O35" s="13" t="str">
        <f>IF(Sheet1!M35="Credit card","Credit Payment","Other")</f>
        <v>Credit Payment</v>
      </c>
      <c r="P35" s="13" t="str">
        <f>IF(Sheet1!O35&gt;7,"Yes","No")</f>
        <v>No</v>
      </c>
    </row>
    <row r="36" spans="1:16">
      <c r="A36" s="1"/>
      <c r="E36" s="13" t="str">
        <v>183</v>
      </c>
      <c r="F36" s="13" t="str">
        <v>6882</v>
      </c>
      <c r="G36" s="13" t="str">
        <v>56</v>
      </c>
      <c r="H36" s="13" t="str">
        <f>_xlfn.CONCAT(Sheet1!A36," --&gt; ",Sheet1!J36)</f>
        <v>183-56-6882 --&gt; 417.564</v>
      </c>
      <c r="I36" s="13" t="str">
        <f>_xlfn.CONCAT(Sheet1!C36,"_",TEXT(Sheet1!K36, "m/d/yyyy"))</f>
        <v>Naypyitaw_2/6/2019</v>
      </c>
      <c r="J36" s="13" t="str">
        <f>IF(Sheet1!I36=Sheet1!N36*0.05,"Valid","Error")</f>
        <v>Valid</v>
      </c>
      <c r="K36" s="13" t="str">
        <f>IF(Sheet1!N36=Sheet1!G36*Sheet1!H36,"True","False")</f>
        <v>True</v>
      </c>
      <c r="L36" s="13" t="b">
        <v>1</v>
      </c>
      <c r="M36" s="9" t="b">
        <f>ISNUMBER(Sheet1!J36)</f>
        <v>1</v>
      </c>
      <c r="N36" s="13" t="str">
        <f>IF(Sheet1!B36="A","Branch A",IF(Sheet1!B36="B","Branch B","Other Branch"))</f>
        <v>Other Branch</v>
      </c>
      <c r="O36" s="13" t="str">
        <f>IF(Sheet1!M36="Credit card","Credit Payment","Other")</f>
        <v>Other</v>
      </c>
      <c r="P36" s="13" t="str">
        <f>IF(Sheet1!O36&gt;7,"Yes","No")</f>
        <v>Yes</v>
      </c>
    </row>
    <row r="37" spans="1:16">
      <c r="A37" s="1"/>
      <c r="E37" s="13" t="str">
        <v>232</v>
      </c>
      <c r="F37" s="13" t="str">
        <v>2483</v>
      </c>
      <c r="G37" s="13" t="str">
        <v>16</v>
      </c>
      <c r="H37" s="13" t="str">
        <f>_xlfn.CONCAT(Sheet1!A37," --&gt; ",Sheet1!J37)</f>
        <v>232-16-2483 --&gt; 71.526</v>
      </c>
      <c r="I37" s="13" t="str">
        <f>_xlfn.CONCAT(Sheet1!C37,"_",TEXT(Sheet1!K37, "m/d/yyyy"))</f>
        <v>Naypyitaw_1/7/2019</v>
      </c>
      <c r="J37" s="13" t="str">
        <f>IF(Sheet1!I37=Sheet1!N37*0.05,"Valid","Error")</f>
        <v>Valid</v>
      </c>
      <c r="K37" s="13" t="str">
        <f>IF(Sheet1!N37=Sheet1!G37*Sheet1!H37,"True","False")</f>
        <v>True</v>
      </c>
      <c r="L37" s="13" t="b">
        <v>1</v>
      </c>
      <c r="M37" s="9" t="b">
        <f>ISNUMBER(Sheet1!J37)</f>
        <v>1</v>
      </c>
      <c r="N37" s="13" t="str">
        <f>IF(Sheet1!B37="A","Branch A",IF(Sheet1!B37="B","Branch B","Other Branch"))</f>
        <v>Other Branch</v>
      </c>
      <c r="O37" s="13" t="str">
        <f>IF(Sheet1!M37="Credit card","Credit Payment","Other")</f>
        <v>Other</v>
      </c>
      <c r="P37" s="13" t="str">
        <f>IF(Sheet1!O37&gt;7,"Yes","No")</f>
        <v>No</v>
      </c>
    </row>
    <row r="38" spans="1:16">
      <c r="A38" s="1"/>
      <c r="E38" s="13" t="str">
        <v>129</v>
      </c>
      <c r="F38" s="13" t="str">
        <v>8530</v>
      </c>
      <c r="G38" s="13" t="str">
        <v>29</v>
      </c>
      <c r="H38" s="13" t="str">
        <f>_xlfn.CONCAT(Sheet1!A38," --&gt; ",Sheet1!J38)</f>
        <v>129-29-8530 --&gt; 328.755</v>
      </c>
      <c r="I38" s="13" t="str">
        <f>_xlfn.CONCAT(Sheet1!C38,"_",TEXT(Sheet1!K38, "m/d/yyyy"))</f>
        <v>Yangon_3/10/2019</v>
      </c>
      <c r="J38" s="13" t="str">
        <f>IF(Sheet1!I38=Sheet1!N38*0.05,"Valid","Error")</f>
        <v>Valid</v>
      </c>
      <c r="K38" s="13" t="str">
        <f>IF(Sheet1!N38=Sheet1!G38*Sheet1!H38,"True","False")</f>
        <v>True</v>
      </c>
      <c r="L38" s="13" t="b">
        <v>1</v>
      </c>
      <c r="M38" s="9" t="b">
        <f>ISNUMBER(Sheet1!J38)</f>
        <v>1</v>
      </c>
      <c r="N38" s="13" t="str">
        <f>IF(Sheet1!B38="A","Branch A",IF(Sheet1!B38="B","Branch B","Other Branch"))</f>
        <v>Branch A</v>
      </c>
      <c r="O38" s="13" t="str">
        <f>IF(Sheet1!M38="Credit card","Credit Payment","Other")</f>
        <v>Other</v>
      </c>
      <c r="P38" s="13" t="str">
        <f>IF(Sheet1!O38&gt;7,"Yes","No")</f>
        <v>No</v>
      </c>
    </row>
    <row r="39" spans="1:16">
      <c r="A39" s="1"/>
      <c r="E39" s="13" t="str">
        <v>272</v>
      </c>
      <c r="F39" s="13" t="str">
        <v>1806</v>
      </c>
      <c r="G39" s="13" t="str">
        <v>65</v>
      </c>
      <c r="H39" s="13" t="str">
        <f>_xlfn.CONCAT(Sheet1!A39," --&gt; ",Sheet1!J39)</f>
        <v>272-65-1806 --&gt; 575.316</v>
      </c>
      <c r="I39" s="13" t="str">
        <f>_xlfn.CONCAT(Sheet1!C39,"_",TEXT(Sheet1!K39, "m/d/yyyy"))</f>
        <v>Yangon_1/15/2019</v>
      </c>
      <c r="J39" s="13" t="str">
        <f>IF(Sheet1!I39=Sheet1!N39*0.05,"Valid","Error")</f>
        <v>Valid</v>
      </c>
      <c r="K39" s="13" t="str">
        <f>IF(Sheet1!N39=Sheet1!G39*Sheet1!H39,"True","False")</f>
        <v>True</v>
      </c>
      <c r="L39" s="13" t="b">
        <v>1</v>
      </c>
      <c r="M39" s="9" t="b">
        <f>ISNUMBER(Sheet1!J39)</f>
        <v>1</v>
      </c>
      <c r="N39" s="13" t="str">
        <f>IF(Sheet1!B39="A","Branch A",IF(Sheet1!B39="B","Branch B","Other Branch"))</f>
        <v>Branch A</v>
      </c>
      <c r="O39" s="13" t="str">
        <f>IF(Sheet1!M39="Credit card","Credit Payment","Other")</f>
        <v>Other</v>
      </c>
      <c r="P39" s="13" t="str">
        <f>IF(Sheet1!O39&gt;7,"Yes","No")</f>
        <v>No</v>
      </c>
    </row>
    <row r="40" spans="1:16">
      <c r="A40" s="1"/>
      <c r="E40" s="13" t="str">
        <v>333</v>
      </c>
      <c r="F40" s="13" t="str">
        <v>7901</v>
      </c>
      <c r="G40" s="13" t="str">
        <v>73</v>
      </c>
      <c r="H40" s="13" t="str">
        <f>_xlfn.CONCAT(Sheet1!A40," --&gt; ",Sheet1!J40)</f>
        <v>333-73-7901 --&gt; 461.328</v>
      </c>
      <c r="I40" s="13" t="str">
        <f>_xlfn.CONCAT(Sheet1!C40,"_",TEXT(Sheet1!K40, "m/d/yyyy"))</f>
        <v>Naypyitaw_3/23/2019</v>
      </c>
      <c r="J40" s="13" t="str">
        <f>IF(Sheet1!I40=Sheet1!N40*0.05,"Valid","Error")</f>
        <v>Valid</v>
      </c>
      <c r="K40" s="13" t="str">
        <f>IF(Sheet1!N40=Sheet1!G40*Sheet1!H40,"True","False")</f>
        <v>True</v>
      </c>
      <c r="L40" s="13" t="b">
        <v>1</v>
      </c>
      <c r="M40" s="9" t="b">
        <f>ISNUMBER(Sheet1!J40)</f>
        <v>1</v>
      </c>
      <c r="N40" s="13" t="str">
        <f>IF(Sheet1!B40="A","Branch A",IF(Sheet1!B40="B","Branch B","Other Branch"))</f>
        <v>Other Branch</v>
      </c>
      <c r="O40" s="13" t="str">
        <f>IF(Sheet1!M40="Credit card","Credit Payment","Other")</f>
        <v>Other</v>
      </c>
      <c r="P40" s="13" t="str">
        <f>IF(Sheet1!O40&gt;7,"Yes","No")</f>
        <v>Yes</v>
      </c>
    </row>
    <row r="41" spans="1:16">
      <c r="A41" s="1"/>
      <c r="E41" s="13" t="str">
        <v>777</v>
      </c>
      <c r="F41" s="13" t="str">
        <v>7220</v>
      </c>
      <c r="G41" s="13" t="str">
        <v>82</v>
      </c>
      <c r="H41" s="13" t="str">
        <f>_xlfn.CONCAT(Sheet1!A41," --&gt; ",Sheet1!J41)</f>
        <v>777-82-7220 --&gt; 253.008</v>
      </c>
      <c r="I41" s="13" t="str">
        <f>_xlfn.CONCAT(Sheet1!C41,"_",TEXT(Sheet1!K41, "m/d/yyyy"))</f>
        <v>Mandalay_3/3/2019</v>
      </c>
      <c r="J41" s="13" t="str">
        <f>IF(Sheet1!I41=Sheet1!N41*0.05,"Valid","Error")</f>
        <v>Valid</v>
      </c>
      <c r="K41" s="13" t="str">
        <f>IF(Sheet1!N41=Sheet1!G41*Sheet1!H41,"True","False")</f>
        <v>True</v>
      </c>
      <c r="L41" s="13" t="b">
        <v>1</v>
      </c>
      <c r="M41" s="9" t="b">
        <f>ISNUMBER(Sheet1!J41)</f>
        <v>1</v>
      </c>
      <c r="N41" s="13" t="str">
        <f>IF(Sheet1!B41="A","Branch A",IF(Sheet1!B41="B","Branch B","Other Branch"))</f>
        <v>Branch B</v>
      </c>
      <c r="O41" s="13" t="str">
        <f>IF(Sheet1!M41="Credit card","Credit Payment","Other")</f>
        <v>Other</v>
      </c>
      <c r="P41" s="13" t="str">
        <f>IF(Sheet1!O41&gt;7,"Yes","No")</f>
        <v>Yes</v>
      </c>
    </row>
    <row r="42" spans="1:16">
      <c r="A42" s="1"/>
      <c r="E42" s="13" t="str">
        <v>280</v>
      </c>
      <c r="F42" s="13" t="str">
        <v>5823</v>
      </c>
      <c r="G42" s="13" t="str">
        <v>35</v>
      </c>
      <c r="H42" s="13" t="str">
        <f>_xlfn.CONCAT(Sheet1!A42," --&gt; ",Sheet1!J42)</f>
        <v>280-35-5823 --&gt; 91.056</v>
      </c>
      <c r="I42" s="13" t="str">
        <f>_xlfn.CONCAT(Sheet1!C42,"_",TEXT(Sheet1!K42, "m/d/yyyy"))</f>
        <v>Mandalay_1/17/2019</v>
      </c>
      <c r="J42" s="13" t="str">
        <f>IF(Sheet1!I42=Sheet1!N42*0.05,"Valid","Error")</f>
        <v>Valid</v>
      </c>
      <c r="K42" s="13" t="str">
        <f>IF(Sheet1!N42=Sheet1!G42*Sheet1!H42,"True","False")</f>
        <v>True</v>
      </c>
      <c r="L42" s="13" t="b">
        <v>1</v>
      </c>
      <c r="M42" s="9" t="b">
        <f>ISNUMBER(Sheet1!J42)</f>
        <v>1</v>
      </c>
      <c r="N42" s="13" t="str">
        <f>IF(Sheet1!B42="A","Branch A",IF(Sheet1!B42="B","Branch B","Other Branch"))</f>
        <v>Branch B</v>
      </c>
      <c r="O42" s="13" t="str">
        <f>IF(Sheet1!M42="Credit card","Credit Payment","Other")</f>
        <v>Other</v>
      </c>
      <c r="P42" s="13" t="str">
        <f>IF(Sheet1!O42&gt;7,"Yes","No")</f>
        <v>Yes</v>
      </c>
    </row>
    <row r="43" spans="1:16">
      <c r="A43" s="1"/>
      <c r="E43" s="13" t="str">
        <v>554</v>
      </c>
      <c r="F43" s="13" t="str">
        <v>8700</v>
      </c>
      <c r="G43" s="13" t="str">
        <v>53</v>
      </c>
      <c r="H43" s="13" t="str">
        <f>_xlfn.CONCAT(Sheet1!A43," --&gt; ",Sheet1!J43)</f>
        <v>554-53-8700 --&gt; 117.831</v>
      </c>
      <c r="I43" s="13" t="str">
        <f>_xlfn.CONCAT(Sheet1!C43,"_",TEXT(Sheet1!K43, "m/d/yyyy"))</f>
        <v>Naypyitaw_2/2/2019</v>
      </c>
      <c r="J43" s="13" t="str">
        <f>IF(Sheet1!I43=Sheet1!N43*0.05,"Valid","Error")</f>
        <v>Valid</v>
      </c>
      <c r="K43" s="13" t="str">
        <f>IF(Sheet1!N43=Sheet1!G43*Sheet1!H43,"True","False")</f>
        <v>True</v>
      </c>
      <c r="L43" s="13" t="b">
        <v>1</v>
      </c>
      <c r="M43" s="9" t="b">
        <f>ISNUMBER(Sheet1!J43)</f>
        <v>1</v>
      </c>
      <c r="N43" s="13" t="str">
        <f>IF(Sheet1!B43="A","Branch A",IF(Sheet1!B43="B","Branch B","Other Branch"))</f>
        <v>Other Branch</v>
      </c>
      <c r="O43" s="13" t="str">
        <f>IF(Sheet1!M43="Credit card","Credit Payment","Other")</f>
        <v>Other</v>
      </c>
      <c r="P43" s="13" t="str">
        <f>IF(Sheet1!O43&gt;7,"Yes","No")</f>
        <v>No</v>
      </c>
    </row>
    <row r="44" spans="1:16">
      <c r="A44" s="1"/>
      <c r="E44" s="13" t="str">
        <v>354</v>
      </c>
      <c r="F44" s="13" t="str">
        <v>5821</v>
      </c>
      <c r="G44" s="13" t="str">
        <v>25</v>
      </c>
      <c r="H44" s="13" t="str">
        <f>_xlfn.CONCAT(Sheet1!A44," --&gt; ",Sheet1!J44)</f>
        <v>354-25-5821 --&gt; 435.456</v>
      </c>
      <c r="I44" s="13" t="str">
        <f>_xlfn.CONCAT(Sheet1!C44,"_",TEXT(Sheet1!K44, "m/d/yyyy"))</f>
        <v>Mandalay_2/8/2019</v>
      </c>
      <c r="J44" s="13" t="str">
        <f>IF(Sheet1!I44=Sheet1!N44*0.05,"Valid","Error")</f>
        <v>Valid</v>
      </c>
      <c r="K44" s="13" t="str">
        <f>IF(Sheet1!N44=Sheet1!G44*Sheet1!H44,"True","False")</f>
        <v>True</v>
      </c>
      <c r="L44" s="13" t="b">
        <v>1</v>
      </c>
      <c r="M44" s="9" t="b">
        <f>ISNUMBER(Sheet1!J44)</f>
        <v>1</v>
      </c>
      <c r="N44" s="13" t="str">
        <f>IF(Sheet1!B44="A","Branch A",IF(Sheet1!B44="B","Branch B","Other Branch"))</f>
        <v>Branch B</v>
      </c>
      <c r="O44" s="13" t="str">
        <f>IF(Sheet1!M44="Credit card","Credit Payment","Other")</f>
        <v>Other</v>
      </c>
      <c r="P44" s="13" t="str">
        <f>IF(Sheet1!O44&gt;7,"Yes","No")</f>
        <v>No</v>
      </c>
    </row>
    <row r="45" spans="1:16">
      <c r="A45" s="1"/>
      <c r="E45" s="13" t="str">
        <v>228</v>
      </c>
      <c r="F45" s="13" t="str">
        <v>1411</v>
      </c>
      <c r="G45" s="13" t="str">
        <v>96</v>
      </c>
      <c r="H45" s="13" t="str">
        <f>_xlfn.CONCAT(Sheet1!A45," --&gt; ",Sheet1!J45)</f>
        <v>228-96-1411 --&gt; 829.08</v>
      </c>
      <c r="I45" s="13" t="str">
        <f>_xlfn.CONCAT(Sheet1!C45,"_",TEXT(Sheet1!K45, "m/d/yyyy"))</f>
        <v>Naypyitaw_3/4/2019</v>
      </c>
      <c r="J45" s="13" t="str">
        <f>IF(Sheet1!I45=Sheet1!N45*0.05,"Valid","Error")</f>
        <v>Valid</v>
      </c>
      <c r="K45" s="13" t="str">
        <f>IF(Sheet1!N45=Sheet1!G45*Sheet1!H45,"True","False")</f>
        <v>True</v>
      </c>
      <c r="L45" s="13" t="b">
        <v>1</v>
      </c>
      <c r="M45" s="9" t="b">
        <f>ISNUMBER(Sheet1!J45)</f>
        <v>1</v>
      </c>
      <c r="N45" s="13" t="str">
        <f>IF(Sheet1!B45="A","Branch A",IF(Sheet1!B45="B","Branch B","Other Branch"))</f>
        <v>Other Branch</v>
      </c>
      <c r="O45" s="13" t="str">
        <f>IF(Sheet1!M45="Credit card","Credit Payment","Other")</f>
        <v>Other</v>
      </c>
      <c r="P45" s="13" t="str">
        <f>IF(Sheet1!O45&gt;7,"Yes","No")</f>
        <v>Yes</v>
      </c>
    </row>
    <row r="46" spans="1:16">
      <c r="A46" s="1"/>
      <c r="E46" s="13" t="str">
        <v>617</v>
      </c>
      <c r="F46" s="13" t="str">
        <v>4209</v>
      </c>
      <c r="G46" s="13" t="str">
        <v>15</v>
      </c>
      <c r="H46" s="13" t="str">
        <f>_xlfn.CONCAT(Sheet1!A46," --&gt; ",Sheet1!J46)</f>
        <v>617-15-4209 --&gt; 32.277</v>
      </c>
      <c r="I46" s="13" t="str">
        <f>_xlfn.CONCAT(Sheet1!C46,"_",TEXT(Sheet1!K46, "m/d/yyyy"))</f>
        <v>Naypyitaw_3/16/2019</v>
      </c>
      <c r="J46" s="13" t="str">
        <f>IF(Sheet1!I46=Sheet1!N46*0.05,"Valid","Error")</f>
        <v>Valid</v>
      </c>
      <c r="K46" s="13" t="str">
        <f>IF(Sheet1!N46=Sheet1!G46*Sheet1!H46,"True","False")</f>
        <v>True</v>
      </c>
      <c r="L46" s="13" t="b">
        <v>1</v>
      </c>
      <c r="M46" s="9" t="b">
        <f>ISNUMBER(Sheet1!J46)</f>
        <v>1</v>
      </c>
      <c r="N46" s="13" t="str">
        <f>IF(Sheet1!B46="A","Branch A",IF(Sheet1!B46="B","Branch B","Other Branch"))</f>
        <v>Other Branch</v>
      </c>
      <c r="O46" s="13" t="str">
        <f>IF(Sheet1!M46="Credit card","Credit Payment","Other")</f>
        <v>Other</v>
      </c>
      <c r="P46" s="13" t="str">
        <f>IF(Sheet1!O46&gt;7,"Yes","No")</f>
        <v>Yes</v>
      </c>
    </row>
    <row r="47" spans="1:16">
      <c r="A47" s="1"/>
      <c r="E47" s="13" t="str">
        <v>132</v>
      </c>
      <c r="F47" s="13" t="str">
        <v>9879</v>
      </c>
      <c r="G47" s="13" t="str">
        <v>32</v>
      </c>
      <c r="H47" s="13" t="str">
        <f>_xlfn.CONCAT(Sheet1!A47," --&gt; ",Sheet1!J47)</f>
        <v>132-32-9879 --&gt; 394.632</v>
      </c>
      <c r="I47" s="13" t="str">
        <f>_xlfn.CONCAT(Sheet1!C47,"_",TEXT(Sheet1!K47, "m/d/yyyy"))</f>
        <v>Mandalay_3/9/2019</v>
      </c>
      <c r="J47" s="13" t="str">
        <f>IF(Sheet1!I47=Sheet1!N47*0.05,"Valid","Error")</f>
        <v>Valid</v>
      </c>
      <c r="K47" s="13" t="str">
        <f>IF(Sheet1!N47=Sheet1!G47*Sheet1!H47,"True","False")</f>
        <v>True</v>
      </c>
      <c r="L47" s="13" t="b">
        <v>1</v>
      </c>
      <c r="M47" s="9" t="b">
        <f>ISNUMBER(Sheet1!J47)</f>
        <v>1</v>
      </c>
      <c r="N47" s="13" t="str">
        <f>IF(Sheet1!B47="A","Branch A",IF(Sheet1!B47="B","Branch B","Other Branch"))</f>
        <v>Branch B</v>
      </c>
      <c r="O47" s="13" t="str">
        <f>IF(Sheet1!M47="Credit card","Credit Payment","Other")</f>
        <v>Other</v>
      </c>
      <c r="P47" s="13" t="str">
        <f>IF(Sheet1!O47&gt;7,"Yes","No")</f>
        <v>Yes</v>
      </c>
    </row>
    <row r="48" spans="1:16">
      <c r="A48" s="1"/>
      <c r="E48" s="13" t="str">
        <v>370</v>
      </c>
      <c r="F48" s="13" t="str">
        <v>7321</v>
      </c>
      <c r="G48" s="13" t="str">
        <v>41</v>
      </c>
      <c r="H48" s="13" t="str">
        <f>_xlfn.CONCAT(Sheet1!A48," --&gt; ",Sheet1!J48)</f>
        <v>370-41-7321 --&gt; 535.7205</v>
      </c>
      <c r="I48" s="13" t="str">
        <f>_xlfn.CONCAT(Sheet1!C48,"_",TEXT(Sheet1!K48, "m/d/yyyy"))</f>
        <v>Mandalay_2/27/2019</v>
      </c>
      <c r="J48" s="13" t="str">
        <f>IF(Sheet1!I48=Sheet1!N48*0.05,"Valid","Error")</f>
        <v>Valid</v>
      </c>
      <c r="K48" s="13" t="str">
        <f>IF(Sheet1!N48=Sheet1!G48*Sheet1!H48,"True","False")</f>
        <v>True</v>
      </c>
      <c r="L48" s="13" t="b">
        <v>1</v>
      </c>
      <c r="M48" s="9" t="b">
        <f>ISNUMBER(Sheet1!J48)</f>
        <v>1</v>
      </c>
      <c r="N48" s="13" t="str">
        <f>IF(Sheet1!B48="A","Branch A",IF(Sheet1!B48="B","Branch B","Other Branch"))</f>
        <v>Branch B</v>
      </c>
      <c r="O48" s="13" t="str">
        <f>IF(Sheet1!M48="Credit card","Credit Payment","Other")</f>
        <v>Credit Payment</v>
      </c>
      <c r="P48" s="13" t="str">
        <f>IF(Sheet1!O48&gt;7,"Yes","No")</f>
        <v>Yes</v>
      </c>
    </row>
    <row r="49" spans="1:16">
      <c r="A49" s="1"/>
      <c r="E49" s="13" t="str">
        <v>727</v>
      </c>
      <c r="F49" s="13" t="str">
        <v>3608</v>
      </c>
      <c r="G49" s="13" t="str">
        <v>46</v>
      </c>
      <c r="H49" s="13" t="str">
        <f>_xlfn.CONCAT(Sheet1!A49," --&gt; ",Sheet1!J49)</f>
        <v>727-46-3608 --&gt; 189.0945</v>
      </c>
      <c r="I49" s="13" t="str">
        <f>_xlfn.CONCAT(Sheet1!C49,"_",TEXT(Sheet1!K49, "m/d/yyyy"))</f>
        <v>Mandalay_2/6/2019</v>
      </c>
      <c r="J49" s="13" t="str">
        <f>IF(Sheet1!I49=Sheet1!N49*0.05,"Valid","Error")</f>
        <v>Valid</v>
      </c>
      <c r="K49" s="13" t="str">
        <f>IF(Sheet1!N49=Sheet1!G49*Sheet1!H49,"True","False")</f>
        <v>True</v>
      </c>
      <c r="L49" s="13" t="b">
        <v>1</v>
      </c>
      <c r="M49" s="9" t="b">
        <f>ISNUMBER(Sheet1!J49)</f>
        <v>1</v>
      </c>
      <c r="N49" s="13" t="str">
        <f>IF(Sheet1!B49="A","Branch A",IF(Sheet1!B49="B","Branch B","Other Branch"))</f>
        <v>Branch B</v>
      </c>
      <c r="O49" s="13" t="str">
        <f>IF(Sheet1!M49="Credit card","Credit Payment","Other")</f>
        <v>Other</v>
      </c>
      <c r="P49" s="13" t="str">
        <f>IF(Sheet1!O49&gt;7,"Yes","No")</f>
        <v>No</v>
      </c>
    </row>
    <row r="50" spans="1:16">
      <c r="A50" s="1"/>
      <c r="E50" s="13" t="str">
        <v>669</v>
      </c>
      <c r="F50" s="13" t="str">
        <v>1719</v>
      </c>
      <c r="G50" s="13" t="str">
        <v>54</v>
      </c>
      <c r="H50" s="13" t="str">
        <f>_xlfn.CONCAT(Sheet1!A50," --&gt; ",Sheet1!J50)</f>
        <v>669-54-1719 --&gt; 119.259</v>
      </c>
      <c r="I50" s="13" t="str">
        <f>_xlfn.CONCAT(Sheet1!C50,"_",TEXT(Sheet1!K50, "m/d/yyyy"))</f>
        <v>Mandalay_2/10/2019</v>
      </c>
      <c r="J50" s="13" t="str">
        <f>IF(Sheet1!I50=Sheet1!N50*0.05,"Valid","Error")</f>
        <v>Valid</v>
      </c>
      <c r="K50" s="13" t="str">
        <f>IF(Sheet1!N50=Sheet1!G50*Sheet1!H50,"True","False")</f>
        <v>True</v>
      </c>
      <c r="L50" s="13" t="b">
        <v>1</v>
      </c>
      <c r="M50" s="9" t="b">
        <f>ISNUMBER(Sheet1!J50)</f>
        <v>1</v>
      </c>
      <c r="N50" s="13" t="str">
        <f>IF(Sheet1!B50="A","Branch A",IF(Sheet1!B50="B","Branch B","Other Branch"))</f>
        <v>Branch B</v>
      </c>
      <c r="O50" s="13" t="str">
        <f>IF(Sheet1!M50="Credit card","Credit Payment","Other")</f>
        <v>Credit Payment</v>
      </c>
      <c r="P50" s="13" t="str">
        <f>IF(Sheet1!O50&gt;7,"Yes","No")</f>
        <v>Yes</v>
      </c>
    </row>
    <row r="51" spans="1:16">
      <c r="A51" s="1"/>
      <c r="E51" s="13" t="str">
        <v>574</v>
      </c>
      <c r="F51" s="13" t="str">
        <v>5561</v>
      </c>
      <c r="G51" s="13" t="str">
        <v>22</v>
      </c>
      <c r="H51" s="13" t="str">
        <f>_xlfn.CONCAT(Sheet1!A51," --&gt; ",Sheet1!J51)</f>
        <v>574-22-5561 --&gt; 867.615</v>
      </c>
      <c r="I51" s="13" t="str">
        <f>_xlfn.CONCAT(Sheet1!C51,"_",TEXT(Sheet1!K51, "m/d/yyyy"))</f>
        <v>Naypyitaw_3/19/2019</v>
      </c>
      <c r="J51" s="13" t="str">
        <f>IF(Sheet1!I51=Sheet1!N51*0.05,"Valid","Error")</f>
        <v>Valid</v>
      </c>
      <c r="K51" s="13" t="str">
        <f>IF(Sheet1!N51=Sheet1!G51*Sheet1!H51,"True","False")</f>
        <v>True</v>
      </c>
      <c r="L51" s="13" t="b">
        <v>1</v>
      </c>
      <c r="M51" s="9" t="b">
        <f>ISNUMBER(Sheet1!J51)</f>
        <v>1</v>
      </c>
      <c r="N51" s="13" t="str">
        <f>IF(Sheet1!B51="A","Branch A",IF(Sheet1!B51="B","Branch B","Other Branch"))</f>
        <v>Other Branch</v>
      </c>
      <c r="O51" s="13" t="str">
        <f>IF(Sheet1!M51="Credit card","Credit Payment","Other")</f>
        <v>Other</v>
      </c>
      <c r="P51" s="13" t="str">
        <f>IF(Sheet1!O51&gt;7,"Yes","No")</f>
        <v>Yes</v>
      </c>
    </row>
    <row r="52" spans="1:16">
      <c r="A52" s="1"/>
      <c r="E52" s="13" t="str">
        <v>326</v>
      </c>
      <c r="F52" s="13" t="str">
        <v>5178</v>
      </c>
      <c r="G52" s="13" t="str">
        <v>78</v>
      </c>
      <c r="H52" s="13" t="str">
        <f>_xlfn.CONCAT(Sheet1!A52," --&gt; ",Sheet1!J52)</f>
        <v>326-78-5178 --&gt; 671.79</v>
      </c>
      <c r="I52" s="13" t="str">
        <f>_xlfn.CONCAT(Sheet1!C52,"_",TEXT(Sheet1!K52, "m/d/yyyy"))</f>
        <v>Naypyitaw_2/3/2019</v>
      </c>
      <c r="J52" s="13" t="str">
        <f>IF(Sheet1!I52=Sheet1!N52*0.05,"Valid","Error")</f>
        <v>Valid</v>
      </c>
      <c r="K52" s="13" t="str">
        <f>IF(Sheet1!N52=Sheet1!G52*Sheet1!H52,"True","False")</f>
        <v>True</v>
      </c>
      <c r="L52" s="13" t="b">
        <v>1</v>
      </c>
      <c r="M52" s="9" t="b">
        <f>ISNUMBER(Sheet1!J52)</f>
        <v>1</v>
      </c>
      <c r="N52" s="13" t="str">
        <f>IF(Sheet1!B52="A","Branch A",IF(Sheet1!B52="B","Branch B","Other Branch"))</f>
        <v>Other Branch</v>
      </c>
      <c r="O52" s="13" t="str">
        <f>IF(Sheet1!M52="Credit card","Credit Payment","Other")</f>
        <v>Other</v>
      </c>
      <c r="P52" s="13" t="str">
        <f>IF(Sheet1!O52&gt;7,"Yes","No")</f>
        <v>Yes</v>
      </c>
    </row>
    <row r="53" spans="1:16">
      <c r="A53" s="1"/>
      <c r="E53" s="13" t="str">
        <v>162</v>
      </c>
      <c r="F53" s="13" t="str">
        <v>8011</v>
      </c>
      <c r="G53" s="13" t="str">
        <v>48</v>
      </c>
      <c r="H53" s="13" t="str">
        <f>_xlfn.CONCAT(Sheet1!A53," --&gt; ",Sheet1!J53)</f>
        <v>162-48-8011 --&gt; 234.0975</v>
      </c>
      <c r="I53" s="13" t="str">
        <f>_xlfn.CONCAT(Sheet1!C53,"_",TEXT(Sheet1!K53, "m/d/yyyy"))</f>
        <v>Yangon_2/10/2019</v>
      </c>
      <c r="J53" s="13" t="str">
        <f>IF(Sheet1!I53=Sheet1!N53*0.05,"Valid","Error")</f>
        <v>Valid</v>
      </c>
      <c r="K53" s="13" t="str">
        <f>IF(Sheet1!N53=Sheet1!G53*Sheet1!H53,"True","False")</f>
        <v>True</v>
      </c>
      <c r="L53" s="13" t="b">
        <v>1</v>
      </c>
      <c r="M53" s="9" t="b">
        <f>ISNUMBER(Sheet1!J53)</f>
        <v>1</v>
      </c>
      <c r="N53" s="13" t="str">
        <f>IF(Sheet1!B53="A","Branch A",IF(Sheet1!B53="B","Branch B","Other Branch"))</f>
        <v>Branch A</v>
      </c>
      <c r="O53" s="13" t="str">
        <f>IF(Sheet1!M53="Credit card","Credit Payment","Other")</f>
        <v>Other</v>
      </c>
      <c r="P53" s="13" t="str">
        <f>IF(Sheet1!O53&gt;7,"Yes","No")</f>
        <v>Yes</v>
      </c>
    </row>
    <row r="54" spans="1:16">
      <c r="A54" s="1"/>
      <c r="E54" s="13" t="str">
        <v>616</v>
      </c>
      <c r="F54" s="13" t="str">
        <v>2851</v>
      </c>
      <c r="G54" s="13" t="str">
        <v>24</v>
      </c>
      <c r="H54" s="13" t="str">
        <f>_xlfn.CONCAT(Sheet1!A54," --&gt; ",Sheet1!J54)</f>
        <v>616-24-2851 --&gt; 75.054</v>
      </c>
      <c r="I54" s="13" t="str">
        <f>_xlfn.CONCAT(Sheet1!C54,"_",TEXT(Sheet1!K54, "m/d/yyyy"))</f>
        <v>Mandalay_3/22/2019</v>
      </c>
      <c r="J54" s="13" t="str">
        <f>IF(Sheet1!I54=Sheet1!N54*0.05,"Valid","Error")</f>
        <v>Valid</v>
      </c>
      <c r="K54" s="13" t="str">
        <f>IF(Sheet1!N54=Sheet1!G54*Sheet1!H54,"True","False")</f>
        <v>True</v>
      </c>
      <c r="L54" s="13" t="b">
        <v>1</v>
      </c>
      <c r="M54" s="9" t="b">
        <f>ISNUMBER(Sheet1!J54)</f>
        <v>1</v>
      </c>
      <c r="N54" s="13" t="str">
        <f>IF(Sheet1!B54="A","Branch A",IF(Sheet1!B54="B","Branch B","Other Branch"))</f>
        <v>Branch B</v>
      </c>
      <c r="O54" s="13" t="str">
        <f>IF(Sheet1!M54="Credit card","Credit Payment","Other")</f>
        <v>Other</v>
      </c>
      <c r="P54" s="13" t="str">
        <f>IF(Sheet1!O54&gt;7,"Yes","No")</f>
        <v>No</v>
      </c>
    </row>
    <row r="55" spans="1:16">
      <c r="A55" s="1"/>
      <c r="E55" s="13" t="str">
        <v>778</v>
      </c>
      <c r="F55" s="13" t="str">
        <v>5554</v>
      </c>
      <c r="G55" s="13" t="str">
        <v>71</v>
      </c>
      <c r="H55" s="13" t="str">
        <f>_xlfn.CONCAT(Sheet1!A55," --&gt; ",Sheet1!J55)</f>
        <v>778-71-5554 --&gt; 16.2015</v>
      </c>
      <c r="I55" s="13" t="str">
        <f>_xlfn.CONCAT(Sheet1!C55,"_",TEXT(Sheet1!K55, "m/d/yyyy"))</f>
        <v>Naypyitaw_1/25/2019</v>
      </c>
      <c r="J55" s="13" t="str">
        <f>IF(Sheet1!I55=Sheet1!N55*0.05,"Valid","Error")</f>
        <v>Valid</v>
      </c>
      <c r="K55" s="13" t="str">
        <f>IF(Sheet1!N55=Sheet1!G55*Sheet1!H55,"True","False")</f>
        <v>True</v>
      </c>
      <c r="L55" s="13" t="b">
        <v>1</v>
      </c>
      <c r="M55" s="9" t="b">
        <f>ISNUMBER(Sheet1!J55)</f>
        <v>1</v>
      </c>
      <c r="N55" s="13" t="str">
        <f>IF(Sheet1!B55="A","Branch A",IF(Sheet1!B55="B","Branch B","Other Branch"))</f>
        <v>Other Branch</v>
      </c>
      <c r="O55" s="13" t="str">
        <f>IF(Sheet1!M55="Credit card","Credit Payment","Other")</f>
        <v>Credit Payment</v>
      </c>
      <c r="P55" s="13" t="str">
        <f>IF(Sheet1!O55&gt;7,"Yes","No")</f>
        <v>No</v>
      </c>
    </row>
    <row r="56" spans="1:16">
      <c r="A56" s="1"/>
      <c r="E56" s="13" t="str">
        <v>242</v>
      </c>
      <c r="F56" s="13" t="str">
        <v>6721</v>
      </c>
      <c r="G56" s="13" t="str">
        <v>55</v>
      </c>
      <c r="H56" s="13" t="str">
        <f>_xlfn.CONCAT(Sheet1!A56," --&gt; ",Sheet1!J56)</f>
        <v>242-55-6721 --&gt; 33.936</v>
      </c>
      <c r="I56" s="13" t="str">
        <f>_xlfn.CONCAT(Sheet1!C56,"_",TEXT(Sheet1!K56, "m/d/yyyy"))</f>
        <v>Mandalay_3/7/2019</v>
      </c>
      <c r="J56" s="13" t="str">
        <f>IF(Sheet1!I56=Sheet1!N56*0.05,"Valid","Error")</f>
        <v>Valid</v>
      </c>
      <c r="K56" s="13" t="str">
        <f>IF(Sheet1!N56=Sheet1!G56*Sheet1!H56,"True","False")</f>
        <v>True</v>
      </c>
      <c r="L56" s="13" t="b">
        <v>1</v>
      </c>
      <c r="M56" s="9" t="b">
        <f>ISNUMBER(Sheet1!J56)</f>
        <v>1</v>
      </c>
      <c r="N56" s="13" t="str">
        <f>IF(Sheet1!B56="A","Branch A",IF(Sheet1!B56="B","Branch B","Other Branch"))</f>
        <v>Branch B</v>
      </c>
      <c r="O56" s="13" t="str">
        <f>IF(Sheet1!M56="Credit card","Credit Payment","Other")</f>
        <v>Other</v>
      </c>
      <c r="P56" s="13" t="str">
        <f>IF(Sheet1!O56&gt;7,"Yes","No")</f>
        <v>No</v>
      </c>
    </row>
    <row r="57" spans="1:16">
      <c r="A57" s="1"/>
      <c r="E57" s="13" t="str">
        <v>399</v>
      </c>
      <c r="F57" s="13" t="str">
        <v>5918</v>
      </c>
      <c r="G57" s="13" t="str">
        <v>46</v>
      </c>
      <c r="H57" s="13" t="str">
        <f>_xlfn.CONCAT(Sheet1!A57," --&gt; ",Sheet1!J57)</f>
        <v>399-46-5918 --&gt; 722.232</v>
      </c>
      <c r="I57" s="13" t="str">
        <f>_xlfn.CONCAT(Sheet1!C57,"_",TEXT(Sheet1!K57, "m/d/yyyy"))</f>
        <v>Naypyitaw_2/28/2019</v>
      </c>
      <c r="J57" s="13" t="str">
        <f>IF(Sheet1!I57=Sheet1!N57*0.05,"Valid","Error")</f>
        <v>Valid</v>
      </c>
      <c r="K57" s="13" t="str">
        <f>IF(Sheet1!N57=Sheet1!G57*Sheet1!H57,"True","False")</f>
        <v>True</v>
      </c>
      <c r="L57" s="13" t="b">
        <v>1</v>
      </c>
      <c r="M57" s="9" t="b">
        <f>ISNUMBER(Sheet1!J57)</f>
        <v>1</v>
      </c>
      <c r="N57" s="13" t="str">
        <f>IF(Sheet1!B57="A","Branch A",IF(Sheet1!B57="B","Branch B","Other Branch"))</f>
        <v>Other Branch</v>
      </c>
      <c r="O57" s="13" t="str">
        <f>IF(Sheet1!M57="Credit card","Credit Payment","Other")</f>
        <v>Other</v>
      </c>
      <c r="P57" s="13" t="str">
        <f>IF(Sheet1!O57&gt;7,"Yes","No")</f>
        <v>Yes</v>
      </c>
    </row>
    <row r="58" spans="1:16">
      <c r="A58" s="1"/>
      <c r="E58" s="13" t="str">
        <v>106</v>
      </c>
      <c r="F58" s="13" t="str">
        <v>6779</v>
      </c>
      <c r="G58" s="13" t="str">
        <v>35</v>
      </c>
      <c r="H58" s="13" t="str">
        <f>_xlfn.CONCAT(Sheet1!A58," --&gt; ",Sheet1!J58)</f>
        <v>106-35-6779 --&gt; 93.114</v>
      </c>
      <c r="I58" s="13" t="str">
        <f>_xlfn.CONCAT(Sheet1!C58,"_",TEXT(Sheet1!K58, "m/d/yyyy"))</f>
        <v>Yangon_3/27/2019</v>
      </c>
      <c r="J58" s="13" t="str">
        <f>IF(Sheet1!I58=Sheet1!N58*0.05,"Valid","Error")</f>
        <v>Valid</v>
      </c>
      <c r="K58" s="13" t="str">
        <f>IF(Sheet1!N58=Sheet1!G58*Sheet1!H58,"True","False")</f>
        <v>True</v>
      </c>
      <c r="L58" s="13" t="b">
        <v>1</v>
      </c>
      <c r="M58" s="9" t="b">
        <f>ISNUMBER(Sheet1!J58)</f>
        <v>1</v>
      </c>
      <c r="N58" s="13" t="str">
        <f>IF(Sheet1!B58="A","Branch A",IF(Sheet1!B58="B","Branch B","Other Branch"))</f>
        <v>Branch A</v>
      </c>
      <c r="O58" s="13" t="str">
        <f>IF(Sheet1!M58="Credit card","Credit Payment","Other")</f>
        <v>Other</v>
      </c>
      <c r="P58" s="13" t="str">
        <f>IF(Sheet1!O58&gt;7,"Yes","No")</f>
        <v>No</v>
      </c>
    </row>
    <row r="59" spans="1:16">
      <c r="A59" s="1"/>
      <c r="E59" s="13" t="str">
        <v>635</v>
      </c>
      <c r="F59" s="13" t="str">
        <v>6220</v>
      </c>
      <c r="G59" s="13" t="str">
        <v>40</v>
      </c>
      <c r="H59" s="13" t="str">
        <f>_xlfn.CONCAT(Sheet1!A59," --&gt; ",Sheet1!J59)</f>
        <v>635-40-6220 --&gt; 752.64</v>
      </c>
      <c r="I59" s="13" t="str">
        <f>_xlfn.CONCAT(Sheet1!C59,"_",TEXT(Sheet1!K59, "m/d/yyyy"))</f>
        <v>Yangon_2/7/2019</v>
      </c>
      <c r="J59" s="13" t="str">
        <f>IF(Sheet1!I59=Sheet1!N59*0.05,"Valid","Error")</f>
        <v>Valid</v>
      </c>
      <c r="K59" s="13" t="str">
        <f>IF(Sheet1!N59=Sheet1!G59*Sheet1!H59,"True","False")</f>
        <v>True</v>
      </c>
      <c r="L59" s="13" t="b">
        <v>1</v>
      </c>
      <c r="M59" s="9" t="b">
        <f>ISNUMBER(Sheet1!J59)</f>
        <v>1</v>
      </c>
      <c r="N59" s="13" t="str">
        <f>IF(Sheet1!B59="A","Branch A",IF(Sheet1!B59="B","Branch B","Other Branch"))</f>
        <v>Branch A</v>
      </c>
      <c r="O59" s="13" t="str">
        <f>IF(Sheet1!M59="Credit card","Credit Payment","Other")</f>
        <v>Other</v>
      </c>
      <c r="P59" s="13" t="str">
        <f>IF(Sheet1!O59&gt;7,"Yes","No")</f>
        <v>No</v>
      </c>
    </row>
    <row r="60" spans="1:16">
      <c r="A60" s="1"/>
      <c r="E60" s="13" t="str">
        <v>817</v>
      </c>
      <c r="F60" s="13" t="str">
        <v>8732</v>
      </c>
      <c r="G60" s="13" t="str">
        <v>48</v>
      </c>
      <c r="H60" s="13" t="str">
        <f>_xlfn.CONCAT(Sheet1!A60," --&gt; ",Sheet1!J60)</f>
        <v>817-48-8732 --&gt; 759.675</v>
      </c>
      <c r="I60" s="13" t="str">
        <f>_xlfn.CONCAT(Sheet1!C60,"_",TEXT(Sheet1!K60, "m/d/yyyy"))</f>
        <v>Yangon_1/20/2019</v>
      </c>
      <c r="J60" s="13" t="str">
        <f>IF(Sheet1!I60=Sheet1!N60*0.05,"Valid","Error")</f>
        <v>Valid</v>
      </c>
      <c r="K60" s="13" t="str">
        <f>IF(Sheet1!N60=Sheet1!G60*Sheet1!H60,"True","False")</f>
        <v>True</v>
      </c>
      <c r="L60" s="13" t="b">
        <v>1</v>
      </c>
      <c r="M60" s="9" t="b">
        <f>ISNUMBER(Sheet1!J60)</f>
        <v>1</v>
      </c>
      <c r="N60" s="13" t="str">
        <f>IF(Sheet1!B60="A","Branch A",IF(Sheet1!B60="B","Branch B","Other Branch"))</f>
        <v>Branch A</v>
      </c>
      <c r="O60" s="13" t="str">
        <f>IF(Sheet1!M60="Credit card","Credit Payment","Other")</f>
        <v>Other</v>
      </c>
      <c r="P60" s="13" t="str">
        <f>IF(Sheet1!O60&gt;7,"Yes","No")</f>
        <v>No</v>
      </c>
    </row>
    <row r="61" spans="1:16">
      <c r="A61" s="1"/>
      <c r="E61" s="13" t="str">
        <v>120</v>
      </c>
      <c r="F61" s="13" t="str">
        <v>4233</v>
      </c>
      <c r="G61" s="13" t="str">
        <v>06</v>
      </c>
      <c r="H61" s="13" t="str">
        <f>_xlfn.CONCAT(Sheet1!A61," --&gt; ",Sheet1!J61)</f>
        <v>120-06-4233 --&gt; 192.843</v>
      </c>
      <c r="I61" s="13" t="str">
        <f>_xlfn.CONCAT(Sheet1!C61,"_",TEXT(Sheet1!K61, "m/d/yyyy"))</f>
        <v>Naypyitaw_3/12/2019</v>
      </c>
      <c r="J61" s="13" t="str">
        <f>IF(Sheet1!I61=Sheet1!N61*0.05,"Valid","Error")</f>
        <v>Valid</v>
      </c>
      <c r="K61" s="13" t="str">
        <f>IF(Sheet1!N61=Sheet1!G61*Sheet1!H61,"True","False")</f>
        <v>True</v>
      </c>
      <c r="L61" s="13" t="b">
        <v>1</v>
      </c>
      <c r="M61" s="9" t="b">
        <f>ISNUMBER(Sheet1!J61)</f>
        <v>1</v>
      </c>
      <c r="N61" s="13" t="str">
        <f>IF(Sheet1!B61="A","Branch A",IF(Sheet1!B61="B","Branch B","Other Branch"))</f>
        <v>Other Branch</v>
      </c>
      <c r="O61" s="13" t="str">
        <f>IF(Sheet1!M61="Credit card","Credit Payment","Other")</f>
        <v>Other</v>
      </c>
      <c r="P61" s="13" t="str">
        <f>IF(Sheet1!O61&gt;7,"Yes","No")</f>
        <v>Yes</v>
      </c>
    </row>
    <row r="62" spans="1:16">
      <c r="A62" s="1"/>
      <c r="E62" s="13" t="str">
        <v>285</v>
      </c>
      <c r="F62" s="13" t="str">
        <v>5083</v>
      </c>
      <c r="G62" s="13" t="str">
        <v>68</v>
      </c>
      <c r="H62" s="13" t="str">
        <f>_xlfn.CONCAT(Sheet1!A62," --&gt; ",Sheet1!J62)</f>
        <v>285-68-5083 --&gt; 77.931</v>
      </c>
      <c r="I62" s="13" t="str">
        <f>_xlfn.CONCAT(Sheet1!C62,"_",TEXT(Sheet1!K62, "m/d/yyyy"))</f>
        <v>Naypyitaw_2/15/2019</v>
      </c>
      <c r="J62" s="13" t="str">
        <f>IF(Sheet1!I62=Sheet1!N62*0.05,"Valid","Error")</f>
        <v>Valid</v>
      </c>
      <c r="K62" s="13" t="str">
        <f>IF(Sheet1!N62=Sheet1!G62*Sheet1!H62,"True","False")</f>
        <v>True</v>
      </c>
      <c r="L62" s="13" t="b">
        <v>1</v>
      </c>
      <c r="M62" s="9" t="b">
        <f>ISNUMBER(Sheet1!J62)</f>
        <v>1</v>
      </c>
      <c r="N62" s="13" t="str">
        <f>IF(Sheet1!B62="A","Branch A",IF(Sheet1!B62="B","Branch B","Other Branch"))</f>
        <v>Other Branch</v>
      </c>
      <c r="O62" s="13" t="str">
        <f>IF(Sheet1!M62="Credit card","Credit Payment","Other")</f>
        <v>Credit Payment</v>
      </c>
      <c r="P62" s="13" t="str">
        <f>IF(Sheet1!O62&gt;7,"Yes","No")</f>
        <v>Yes</v>
      </c>
    </row>
    <row r="63" spans="1:16">
      <c r="A63" s="1"/>
      <c r="E63" s="13" t="str">
        <v>803</v>
      </c>
      <c r="F63" s="13" t="str">
        <v>5989</v>
      </c>
      <c r="G63" s="13" t="str">
        <v>83</v>
      </c>
      <c r="H63" s="13" t="str">
        <f>_xlfn.CONCAT(Sheet1!A63," --&gt; ",Sheet1!J63)</f>
        <v>803-83-5989 --&gt; 351.099</v>
      </c>
      <c r="I63" s="13" t="str">
        <f>_xlfn.CONCAT(Sheet1!C63,"_",TEXT(Sheet1!K63, "m/d/yyyy"))</f>
        <v>Naypyitaw_2/24/2019</v>
      </c>
      <c r="J63" s="13" t="str">
        <f>IF(Sheet1!I63=Sheet1!N63*0.05,"Valid","Error")</f>
        <v>Valid</v>
      </c>
      <c r="K63" s="13" t="str">
        <f>IF(Sheet1!N63=Sheet1!G63*Sheet1!H63,"True","False")</f>
        <v>True</v>
      </c>
      <c r="L63" s="13" t="b">
        <v>1</v>
      </c>
      <c r="M63" s="9" t="b">
        <f>ISNUMBER(Sheet1!J63)</f>
        <v>1</v>
      </c>
      <c r="N63" s="13" t="str">
        <f>IF(Sheet1!B63="A","Branch A",IF(Sheet1!B63="B","Branch B","Other Branch"))</f>
        <v>Other Branch</v>
      </c>
      <c r="O63" s="13" t="str">
        <f>IF(Sheet1!M63="Credit card","Credit Payment","Other")</f>
        <v>Other</v>
      </c>
      <c r="P63" s="13" t="str">
        <f>IF(Sheet1!O63&gt;7,"Yes","No")</f>
        <v>No</v>
      </c>
    </row>
    <row r="64" spans="1:16">
      <c r="A64" s="1"/>
      <c r="E64" s="13" t="str">
        <v>347</v>
      </c>
      <c r="F64" s="13" t="str">
        <v>2234</v>
      </c>
      <c r="G64" s="13" t="str">
        <v>34</v>
      </c>
      <c r="H64" s="13" t="str">
        <f>_xlfn.CONCAT(Sheet1!A64," --&gt; ",Sheet1!J64)</f>
        <v>347-34-2234 --&gt; 520.4115</v>
      </c>
      <c r="I64" s="13" t="str">
        <f>_xlfn.CONCAT(Sheet1!C64,"_",TEXT(Sheet1!K64, "m/d/yyyy"))</f>
        <v>Mandalay_2/3/2019</v>
      </c>
      <c r="J64" s="13" t="str">
        <f>IF(Sheet1!I64=Sheet1!N64*0.05,"Valid","Error")</f>
        <v>Valid</v>
      </c>
      <c r="K64" s="13" t="str">
        <f>IF(Sheet1!N64=Sheet1!G64*Sheet1!H64,"True","False")</f>
        <v>True</v>
      </c>
      <c r="L64" s="13" t="b">
        <v>1</v>
      </c>
      <c r="M64" s="9" t="b">
        <f>ISNUMBER(Sheet1!J64)</f>
        <v>1</v>
      </c>
      <c r="N64" s="13" t="str">
        <f>IF(Sheet1!B64="A","Branch A",IF(Sheet1!B64="B","Branch B","Other Branch"))</f>
        <v>Branch B</v>
      </c>
      <c r="O64" s="13" t="str">
        <f>IF(Sheet1!M64="Credit card","Credit Payment","Other")</f>
        <v>Other</v>
      </c>
      <c r="P64" s="13" t="str">
        <f>IF(Sheet1!O64&gt;7,"Yes","No")</f>
        <v>Yes</v>
      </c>
    </row>
    <row r="65" spans="1:16">
      <c r="A65" s="1"/>
      <c r="E65" s="13" t="str">
        <v>199</v>
      </c>
      <c r="F65" s="13" t="str">
        <v>8169</v>
      </c>
      <c r="G65" s="13" t="str">
        <v>75</v>
      </c>
      <c r="H65" s="13" t="str">
        <f>_xlfn.CONCAT(Sheet1!A65," --&gt; ",Sheet1!J65)</f>
        <v>199-75-8169 --&gt; 166.005</v>
      </c>
      <c r="I65" s="13" t="str">
        <f>_xlfn.CONCAT(Sheet1!C65,"_",TEXT(Sheet1!K65, "m/d/yyyy"))</f>
        <v>Yangon_3/6/2019</v>
      </c>
      <c r="J65" s="13" t="str">
        <f>IF(Sheet1!I65=Sheet1!N65*0.05,"Valid","Error")</f>
        <v>Valid</v>
      </c>
      <c r="K65" s="13" t="str">
        <f>IF(Sheet1!N65=Sheet1!G65*Sheet1!H65,"True","False")</f>
        <v>True</v>
      </c>
      <c r="L65" s="13" t="b">
        <v>1</v>
      </c>
      <c r="M65" s="9" t="b">
        <f>ISNUMBER(Sheet1!J65)</f>
        <v>1</v>
      </c>
      <c r="N65" s="13" t="str">
        <f>IF(Sheet1!B65="A","Branch A",IF(Sheet1!B65="B","Branch B","Other Branch"))</f>
        <v>Branch A</v>
      </c>
      <c r="O65" s="13" t="str">
        <f>IF(Sheet1!M65="Credit card","Credit Payment","Other")</f>
        <v>Credit Payment</v>
      </c>
      <c r="P65" s="13" t="str">
        <f>IF(Sheet1!O65&gt;7,"Yes","No")</f>
        <v>Yes</v>
      </c>
    </row>
    <row r="66" spans="1:16">
      <c r="A66" s="1"/>
      <c r="E66" s="13" t="str">
        <v>853</v>
      </c>
      <c r="F66" s="13" t="str">
        <v>2453</v>
      </c>
      <c r="G66" s="13" t="str">
        <v>23</v>
      </c>
      <c r="H66" s="13" t="str">
        <f>_xlfn.CONCAT(Sheet1!A66," --&gt; ",Sheet1!J66)</f>
        <v>853-23-2453 --&gt; 318.108</v>
      </c>
      <c r="I66" s="13" t="str">
        <f>_xlfn.CONCAT(Sheet1!C66,"_",TEXT(Sheet1!K66, "m/d/yyyy"))</f>
        <v>Mandalay_2/14/2019</v>
      </c>
      <c r="J66" s="13" t="str">
        <f>IF(Sheet1!I66=Sheet1!N66*0.05,"Valid","Error")</f>
        <v>Valid</v>
      </c>
      <c r="K66" s="13" t="str">
        <f>IF(Sheet1!N66=Sheet1!G66*Sheet1!H66,"True","False")</f>
        <v>True</v>
      </c>
      <c r="L66" s="13" t="b">
        <v>1</v>
      </c>
      <c r="M66" s="9" t="b">
        <f>ISNUMBER(Sheet1!J66)</f>
        <v>1</v>
      </c>
      <c r="N66" s="13" t="str">
        <f>IF(Sheet1!B66="A","Branch A",IF(Sheet1!B66="B","Branch B","Other Branch"))</f>
        <v>Branch B</v>
      </c>
      <c r="O66" s="13" t="str">
        <f>IF(Sheet1!M66="Credit card","Credit Payment","Other")</f>
        <v>Other</v>
      </c>
      <c r="P66" s="13" t="str">
        <f>IF(Sheet1!O66&gt;7,"Yes","No")</f>
        <v>Yes</v>
      </c>
    </row>
    <row r="67" spans="1:16">
      <c r="A67" s="1"/>
      <c r="E67" s="13" t="str">
        <v>877</v>
      </c>
      <c r="F67" s="13" t="str">
        <v>3308</v>
      </c>
      <c r="G67" s="13" t="str">
        <v>22</v>
      </c>
      <c r="H67" s="13" t="str">
        <f>_xlfn.CONCAT(Sheet1!A67," --&gt; ",Sheet1!J67)</f>
        <v>877-22-3308 --&gt; 166.635</v>
      </c>
      <c r="I67" s="13" t="str">
        <f>_xlfn.CONCAT(Sheet1!C67,"_",TEXT(Sheet1!K67, "m/d/yyyy"))</f>
        <v>Yangon_3/13/2019</v>
      </c>
      <c r="J67" s="13" t="str">
        <f>IF(Sheet1!I67=Sheet1!N67*0.05,"Valid","Error")</f>
        <v>Valid</v>
      </c>
      <c r="K67" s="13" t="str">
        <f>IF(Sheet1!N67=Sheet1!G67*Sheet1!H67,"True","False")</f>
        <v>True</v>
      </c>
      <c r="L67" s="13" t="b">
        <v>1</v>
      </c>
      <c r="M67" s="9" t="b">
        <f>ISNUMBER(Sheet1!J67)</f>
        <v>1</v>
      </c>
      <c r="N67" s="13" t="str">
        <f>IF(Sheet1!B67="A","Branch A",IF(Sheet1!B67="B","Branch B","Other Branch"))</f>
        <v>Branch A</v>
      </c>
      <c r="O67" s="13" t="str">
        <f>IF(Sheet1!M67="Credit card","Credit Payment","Other")</f>
        <v>Other</v>
      </c>
      <c r="P67" s="13" t="str">
        <f>IF(Sheet1!O67&gt;7,"Yes","No")</f>
        <v>No</v>
      </c>
    </row>
    <row r="68" spans="1:16">
      <c r="A68" s="1"/>
      <c r="E68" s="13" t="str">
        <v>838</v>
      </c>
      <c r="F68" s="13" t="str">
        <v>4295</v>
      </c>
      <c r="G68" s="13" t="str">
        <v>78</v>
      </c>
      <c r="H68" s="13" t="str">
        <f>_xlfn.CONCAT(Sheet1!A68," --&gt; ",Sheet1!J68)</f>
        <v>838-78-4295 --&gt; 70.287</v>
      </c>
      <c r="I68" s="13" t="str">
        <f>_xlfn.CONCAT(Sheet1!C68,"_",TEXT(Sheet1!K68, "m/d/yyyy"))</f>
        <v>Naypyitaw_2/10/2019</v>
      </c>
      <c r="J68" s="13" t="str">
        <f>IF(Sheet1!I68=Sheet1!N68*0.05,"Valid","Error")</f>
        <v>Valid</v>
      </c>
      <c r="K68" s="13" t="str">
        <f>IF(Sheet1!N68=Sheet1!G68*Sheet1!H68,"True","False")</f>
        <v>True</v>
      </c>
      <c r="L68" s="13" t="b">
        <v>1</v>
      </c>
      <c r="M68" s="9" t="b">
        <f>ISNUMBER(Sheet1!J68)</f>
        <v>1</v>
      </c>
      <c r="N68" s="13" t="str">
        <f>IF(Sheet1!B68="A","Branch A",IF(Sheet1!B68="B","Branch B","Other Branch"))</f>
        <v>Other Branch</v>
      </c>
      <c r="O68" s="13" t="str">
        <f>IF(Sheet1!M68="Credit card","Credit Payment","Other")</f>
        <v>Other</v>
      </c>
      <c r="P68" s="13" t="str">
        <f>IF(Sheet1!O68&gt;7,"Yes","No")</f>
        <v>No</v>
      </c>
    </row>
    <row r="69" spans="1:16">
      <c r="A69" s="1"/>
      <c r="E69" s="13" t="str">
        <v>109</v>
      </c>
      <c r="F69" s="13" t="str">
        <v>2512</v>
      </c>
      <c r="G69" s="13" t="str">
        <v>28</v>
      </c>
      <c r="H69" s="13" t="str">
        <f>_xlfn.CONCAT(Sheet1!A69," --&gt; ",Sheet1!J69)</f>
        <v>109-28-2512 --&gt; 614.943</v>
      </c>
      <c r="I69" s="13" t="str">
        <f>_xlfn.CONCAT(Sheet1!C69,"_",TEXT(Sheet1!K69, "m/d/yyyy"))</f>
        <v>Mandalay_1/7/2019</v>
      </c>
      <c r="J69" s="13" t="str">
        <f>IF(Sheet1!I69=Sheet1!N69*0.05,"Valid","Error")</f>
        <v>Valid</v>
      </c>
      <c r="K69" s="13" t="str">
        <f>IF(Sheet1!N69=Sheet1!G69*Sheet1!H69,"True","False")</f>
        <v>True</v>
      </c>
      <c r="L69" s="13" t="b">
        <v>1</v>
      </c>
      <c r="M69" s="9" t="b">
        <f>ISNUMBER(Sheet1!J69)</f>
        <v>1</v>
      </c>
      <c r="N69" s="13" t="str">
        <f>IF(Sheet1!B69="A","Branch A",IF(Sheet1!B69="B","Branch B","Other Branch"))</f>
        <v>Branch B</v>
      </c>
      <c r="O69" s="13" t="str">
        <f>IF(Sheet1!M69="Credit card","Credit Payment","Other")</f>
        <v>Other</v>
      </c>
      <c r="P69" s="13" t="str">
        <f>IF(Sheet1!O69&gt;7,"Yes","No")</f>
        <v>Yes</v>
      </c>
    </row>
    <row r="70" spans="1:16">
      <c r="A70" s="1"/>
      <c r="E70" s="13" t="str">
        <v>232</v>
      </c>
      <c r="F70" s="13" t="str">
        <v>3025</v>
      </c>
      <c r="G70" s="13" t="str">
        <v>11</v>
      </c>
      <c r="H70" s="13" t="str">
        <f>_xlfn.CONCAT(Sheet1!A70," --&gt; ",Sheet1!J70)</f>
        <v>232-11-3025 --&gt; 827.085</v>
      </c>
      <c r="I70" s="13" t="str">
        <f>_xlfn.CONCAT(Sheet1!C70,"_",TEXT(Sheet1!K70, "m/d/yyyy"))</f>
        <v>Yangon_1/24/2019</v>
      </c>
      <c r="J70" s="13" t="str">
        <f>IF(Sheet1!I70=Sheet1!N70*0.05,"Valid","Error")</f>
        <v>Valid</v>
      </c>
      <c r="K70" s="13" t="str">
        <f>IF(Sheet1!N70=Sheet1!G70*Sheet1!H70,"True","False")</f>
        <v>True</v>
      </c>
      <c r="L70" s="13" t="b">
        <v>1</v>
      </c>
      <c r="M70" s="9" t="b">
        <f>ISNUMBER(Sheet1!J70)</f>
        <v>1</v>
      </c>
      <c r="N70" s="13" t="str">
        <f>IF(Sheet1!B70="A","Branch A",IF(Sheet1!B70="B","Branch B","Other Branch"))</f>
        <v>Branch A</v>
      </c>
      <c r="O70" s="13" t="str">
        <f>IF(Sheet1!M70="Credit card","Credit Payment","Other")</f>
        <v>Other</v>
      </c>
      <c r="P70" s="13" t="str">
        <f>IF(Sheet1!O70&gt;7,"Yes","No")</f>
        <v>No</v>
      </c>
    </row>
    <row r="71" spans="1:16">
      <c r="A71" s="1"/>
      <c r="E71" s="13" t="str">
        <v>382</v>
      </c>
      <c r="F71" s="13" t="str">
        <v>4532</v>
      </c>
      <c r="G71" s="13" t="str">
        <v>03</v>
      </c>
      <c r="H71" s="13" t="str">
        <f>_xlfn.CONCAT(Sheet1!A71," --&gt; ",Sheet1!J71)</f>
        <v>382-03-4532 --&gt; 19.2465</v>
      </c>
      <c r="I71" s="13" t="str">
        <f>_xlfn.CONCAT(Sheet1!C71,"_",TEXT(Sheet1!K71, "m/d/yyyy"))</f>
        <v>Yangon_2/2/2019</v>
      </c>
      <c r="J71" s="13" t="str">
        <f>IF(Sheet1!I71=Sheet1!N71*0.05,"Valid","Error")</f>
        <v>Valid</v>
      </c>
      <c r="K71" s="13" t="str">
        <f>IF(Sheet1!N71=Sheet1!G71*Sheet1!H71,"True","False")</f>
        <v>True</v>
      </c>
      <c r="L71" s="13" t="b">
        <v>1</v>
      </c>
      <c r="M71" s="9" t="b">
        <f>ISNUMBER(Sheet1!J71)</f>
        <v>1</v>
      </c>
      <c r="N71" s="13" t="str">
        <f>IF(Sheet1!B71="A","Branch A",IF(Sheet1!B71="B","Branch B","Other Branch"))</f>
        <v>Branch A</v>
      </c>
      <c r="O71" s="13" t="str">
        <f>IF(Sheet1!M71="Credit card","Credit Payment","Other")</f>
        <v>Other</v>
      </c>
      <c r="P71" s="13" t="str">
        <f>IF(Sheet1!O71&gt;7,"Yes","No")</f>
        <v>No</v>
      </c>
    </row>
    <row r="72" spans="1:16">
      <c r="A72" s="1"/>
      <c r="E72" s="13" t="str">
        <v>393</v>
      </c>
      <c r="F72" s="13" t="str">
        <v>2792</v>
      </c>
      <c r="G72" s="13" t="str">
        <v>65</v>
      </c>
      <c r="H72" s="13" t="str">
        <f>_xlfn.CONCAT(Sheet1!A72," --&gt; ",Sheet1!J72)</f>
        <v>393-65-2792 --&gt; 939.54</v>
      </c>
      <c r="I72" s="13" t="str">
        <f>_xlfn.CONCAT(Sheet1!C72,"_",TEXT(Sheet1!K72, "m/d/yyyy"))</f>
        <v>Naypyitaw_1/6/2019</v>
      </c>
      <c r="J72" s="13" t="str">
        <f>IF(Sheet1!I72=Sheet1!N72*0.05,"Valid","Error")</f>
        <v>Valid</v>
      </c>
      <c r="K72" s="13" t="str">
        <f>IF(Sheet1!N72=Sheet1!G72*Sheet1!H72,"True","False")</f>
        <v>True</v>
      </c>
      <c r="L72" s="13" t="b">
        <v>1</v>
      </c>
      <c r="M72" s="9" t="b">
        <f>ISNUMBER(Sheet1!J72)</f>
        <v>1</v>
      </c>
      <c r="N72" s="13" t="str">
        <f>IF(Sheet1!B72="A","Branch A",IF(Sheet1!B72="B","Branch B","Other Branch"))</f>
        <v>Other Branch</v>
      </c>
      <c r="O72" s="13" t="str">
        <f>IF(Sheet1!M72="Credit card","Credit Payment","Other")</f>
        <v>Credit Payment</v>
      </c>
      <c r="P72" s="13" t="str">
        <f>IF(Sheet1!O72&gt;7,"Yes","No")</f>
        <v>Yes</v>
      </c>
    </row>
    <row r="73" spans="1:16">
      <c r="A73" s="1"/>
      <c r="E73" s="13" t="str">
        <v>796</v>
      </c>
      <c r="F73" s="13" t="str">
        <v>2025</v>
      </c>
      <c r="G73" s="13" t="str">
        <v>12</v>
      </c>
      <c r="H73" s="13" t="str">
        <f>_xlfn.CONCAT(Sheet1!A73," --&gt; ",Sheet1!J73)</f>
        <v>796-12-2025 --&gt; 652.26</v>
      </c>
      <c r="I73" s="13" t="str">
        <f>_xlfn.CONCAT(Sheet1!C73,"_",TEXT(Sheet1!K73, "m/d/yyyy"))</f>
        <v>Naypyitaw_2/11/2019</v>
      </c>
      <c r="J73" s="13" t="str">
        <f>IF(Sheet1!I73=Sheet1!N73*0.05,"Valid","Error")</f>
        <v>Valid</v>
      </c>
      <c r="K73" s="13" t="str">
        <f>IF(Sheet1!N73=Sheet1!G73*Sheet1!H73,"True","False")</f>
        <v>True</v>
      </c>
      <c r="L73" s="13" t="b">
        <v>1</v>
      </c>
      <c r="M73" s="9" t="b">
        <f>ISNUMBER(Sheet1!J73)</f>
        <v>1</v>
      </c>
      <c r="N73" s="13" t="str">
        <f>IF(Sheet1!B73="A","Branch A",IF(Sheet1!B73="B","Branch B","Other Branch"))</f>
        <v>Other Branch</v>
      </c>
      <c r="O73" s="13" t="str">
        <f>IF(Sheet1!M73="Credit card","Credit Payment","Other")</f>
        <v>Other</v>
      </c>
      <c r="P73" s="13" t="str">
        <f>IF(Sheet1!O73&gt;7,"Yes","No")</f>
        <v>No</v>
      </c>
    </row>
    <row r="74" spans="1:16">
      <c r="A74" s="1"/>
      <c r="E74" s="13" t="str">
        <v>510</v>
      </c>
      <c r="F74" s="13" t="str">
        <v>6347</v>
      </c>
      <c r="G74" s="13" t="str">
        <v>95</v>
      </c>
      <c r="H74" s="13" t="str">
        <f>_xlfn.CONCAT(Sheet1!A74," --&gt; ",Sheet1!J74)</f>
        <v>510-95-6347 --&gt; 152.838</v>
      </c>
      <c r="I74" s="13" t="str">
        <f>_xlfn.CONCAT(Sheet1!C74,"_",TEXT(Sheet1!K74, "m/d/yyyy"))</f>
        <v>Mandalay_3/5/2019</v>
      </c>
      <c r="J74" s="13" t="str">
        <f>IF(Sheet1!I74=Sheet1!N74*0.05,"Valid","Error")</f>
        <v>Valid</v>
      </c>
      <c r="K74" s="13" t="str">
        <f>IF(Sheet1!N74=Sheet1!G74*Sheet1!H74,"True","False")</f>
        <v>True</v>
      </c>
      <c r="L74" s="13" t="b">
        <v>1</v>
      </c>
      <c r="M74" s="9" t="b">
        <f>ISNUMBER(Sheet1!J74)</f>
        <v>1</v>
      </c>
      <c r="N74" s="13" t="str">
        <f>IF(Sheet1!B74="A","Branch A",IF(Sheet1!B74="B","Branch B","Other Branch"))</f>
        <v>Branch B</v>
      </c>
      <c r="O74" s="13" t="str">
        <f>IF(Sheet1!M74="Credit card","Credit Payment","Other")</f>
        <v>Other</v>
      </c>
      <c r="P74" s="13" t="str">
        <f>IF(Sheet1!O74&gt;7,"Yes","No")</f>
        <v>No</v>
      </c>
    </row>
    <row r="75" spans="1:16">
      <c r="A75" s="1"/>
      <c r="E75" s="13" t="str">
        <v>841</v>
      </c>
      <c r="F75" s="13" t="str">
        <v>6630</v>
      </c>
      <c r="G75" s="13" t="str">
        <v>35</v>
      </c>
      <c r="H75" s="13" t="str">
        <f>_xlfn.CONCAT(Sheet1!A75," --&gt; ",Sheet1!J75)</f>
        <v>841-35-6630 --&gt; 478.233</v>
      </c>
      <c r="I75" s="13" t="str">
        <f>_xlfn.CONCAT(Sheet1!C75,"_",TEXT(Sheet1!K75, "m/d/yyyy"))</f>
        <v>Naypyitaw_3/9/2019</v>
      </c>
      <c r="J75" s="13" t="str">
        <f>IF(Sheet1!I75=Sheet1!N75*0.05,"Valid","Error")</f>
        <v>Valid</v>
      </c>
      <c r="K75" s="13" t="str">
        <f>IF(Sheet1!N75=Sheet1!G75*Sheet1!H75,"True","False")</f>
        <v>True</v>
      </c>
      <c r="L75" s="13" t="b">
        <v>1</v>
      </c>
      <c r="M75" s="9" t="b">
        <f>ISNUMBER(Sheet1!J75)</f>
        <v>1</v>
      </c>
      <c r="N75" s="13" t="str">
        <f>IF(Sheet1!B75="A","Branch A",IF(Sheet1!B75="B","Branch B","Other Branch"))</f>
        <v>Other Branch</v>
      </c>
      <c r="O75" s="13" t="str">
        <f>IF(Sheet1!M75="Credit card","Credit Payment","Other")</f>
        <v>Other</v>
      </c>
      <c r="P75" s="13" t="str">
        <f>IF(Sheet1!O75&gt;7,"Yes","No")</f>
        <v>Yes</v>
      </c>
    </row>
    <row r="76" spans="1:16">
      <c r="A76" s="1"/>
      <c r="E76" s="13" t="str">
        <v>287</v>
      </c>
      <c r="F76" s="13" t="str">
        <v>9091</v>
      </c>
      <c r="G76" s="13" t="str">
        <v>21</v>
      </c>
      <c r="H76" s="13" t="str">
        <f>_xlfn.CONCAT(Sheet1!A76," --&gt; ",Sheet1!J76)</f>
        <v>287-21-9091 --&gt; 705.6315</v>
      </c>
      <c r="I76" s="13" t="str">
        <f>_xlfn.CONCAT(Sheet1!C76,"_",TEXT(Sheet1!K76, "m/d/yyyy"))</f>
        <v>Yangon_1/22/2019</v>
      </c>
      <c r="J76" s="13" t="str">
        <f>IF(Sheet1!I76=Sheet1!N76*0.05,"Valid","Error")</f>
        <v>Valid</v>
      </c>
      <c r="K76" s="13" t="str">
        <f>IF(Sheet1!N76=Sheet1!G76*Sheet1!H76,"True","False")</f>
        <v>True</v>
      </c>
      <c r="L76" s="13" t="b">
        <v>1</v>
      </c>
      <c r="M76" s="9" t="b">
        <f>ISNUMBER(Sheet1!J76)</f>
        <v>1</v>
      </c>
      <c r="N76" s="13" t="str">
        <f>IF(Sheet1!B76="A","Branch A",IF(Sheet1!B76="B","Branch B","Other Branch"))</f>
        <v>Branch A</v>
      </c>
      <c r="O76" s="13" t="str">
        <f>IF(Sheet1!M76="Credit card","Credit Payment","Other")</f>
        <v>Other</v>
      </c>
      <c r="P76" s="13" t="str">
        <f>IF(Sheet1!O76&gt;7,"Yes","No")</f>
        <v>Yes</v>
      </c>
    </row>
    <row r="77" spans="1:16">
      <c r="A77" s="1"/>
      <c r="E77" s="13" t="str">
        <v>732</v>
      </c>
      <c r="F77" s="13" t="str">
        <v>0499</v>
      </c>
      <c r="G77" s="13" t="str">
        <v>94</v>
      </c>
      <c r="H77" s="13" t="str">
        <f>_xlfn.CONCAT(Sheet1!A77," --&gt; ",Sheet1!J77)</f>
        <v>732-94-0499 --&gt; 437.325</v>
      </c>
      <c r="I77" s="13" t="str">
        <f>_xlfn.CONCAT(Sheet1!C77,"_",TEXT(Sheet1!K77, "m/d/yyyy"))</f>
        <v>Naypyitaw_1/13/2019</v>
      </c>
      <c r="J77" s="13" t="str">
        <f>IF(Sheet1!I77=Sheet1!N77*0.05,"Valid","Error")</f>
        <v>Valid</v>
      </c>
      <c r="K77" s="13" t="str">
        <f>IF(Sheet1!N77=Sheet1!G77*Sheet1!H77,"True","False")</f>
        <v>True</v>
      </c>
      <c r="L77" s="13" t="b">
        <v>1</v>
      </c>
      <c r="M77" s="9" t="b">
        <f>ISNUMBER(Sheet1!J77)</f>
        <v>1</v>
      </c>
      <c r="N77" s="13" t="str">
        <f>IF(Sheet1!B77="A","Branch A",IF(Sheet1!B77="B","Branch B","Other Branch"))</f>
        <v>Other Branch</v>
      </c>
      <c r="O77" s="13" t="str">
        <f>IF(Sheet1!M77="Credit card","Credit Payment","Other")</f>
        <v>Credit Payment</v>
      </c>
      <c r="P77" s="13" t="str">
        <f>IF(Sheet1!O77&gt;7,"Yes","No")</f>
        <v>No</v>
      </c>
    </row>
    <row r="78" spans="1:16">
      <c r="A78" s="1"/>
      <c r="E78" s="13" t="str">
        <v>263</v>
      </c>
      <c r="F78" s="13" t="str">
        <v>3913</v>
      </c>
      <c r="G78" s="13" t="str">
        <v>10</v>
      </c>
      <c r="H78" s="13" t="str">
        <f>_xlfn.CONCAT(Sheet1!A78," --&gt; ",Sheet1!J78)</f>
        <v>263-10-3913 --&gt; 463.428</v>
      </c>
      <c r="I78" s="13" t="str">
        <f>_xlfn.CONCAT(Sheet1!C78,"_",TEXT(Sheet1!K78, "m/d/yyyy"))</f>
        <v>Naypyitaw_1/9/2019</v>
      </c>
      <c r="J78" s="13" t="str">
        <f>IF(Sheet1!I78=Sheet1!N78*0.05,"Valid","Error")</f>
        <v>Valid</v>
      </c>
      <c r="K78" s="13" t="str">
        <f>IF(Sheet1!N78=Sheet1!G78*Sheet1!H78,"True","False")</f>
        <v>True</v>
      </c>
      <c r="L78" s="13" t="b">
        <v>1</v>
      </c>
      <c r="M78" s="9" t="b">
        <f>ISNUMBER(Sheet1!J78)</f>
        <v>1</v>
      </c>
      <c r="N78" s="13" t="str">
        <f>IF(Sheet1!B78="A","Branch A",IF(Sheet1!B78="B","Branch B","Other Branch"))</f>
        <v>Other Branch</v>
      </c>
      <c r="O78" s="13" t="str">
        <f>IF(Sheet1!M78="Credit card","Credit Payment","Other")</f>
        <v>Credit Payment</v>
      </c>
      <c r="P78" s="13" t="str">
        <f>IF(Sheet1!O78&gt;7,"Yes","No")</f>
        <v>Yes</v>
      </c>
    </row>
    <row r="79" spans="1:16">
      <c r="A79" s="1"/>
      <c r="E79" s="13" t="str">
        <v>381</v>
      </c>
      <c r="F79" s="13" t="str">
        <v>0914</v>
      </c>
      <c r="G79" s="13" t="str">
        <v>20</v>
      </c>
      <c r="H79" s="13" t="str">
        <f>_xlfn.CONCAT(Sheet1!A79," --&gt; ",Sheet1!J79)</f>
        <v>381-20-0914 --&gt; 189.0945</v>
      </c>
      <c r="I79" s="13" t="str">
        <f>_xlfn.CONCAT(Sheet1!C79,"_",TEXT(Sheet1!K79, "m/d/yyyy"))</f>
        <v>Yangon_1/12/2019</v>
      </c>
      <c r="J79" s="13" t="str">
        <f>IF(Sheet1!I79=Sheet1!N79*0.05,"Valid","Error")</f>
        <v>Valid</v>
      </c>
      <c r="K79" s="13" t="str">
        <f>IF(Sheet1!N79=Sheet1!G79*Sheet1!H79,"True","False")</f>
        <v>True</v>
      </c>
      <c r="L79" s="13" t="b">
        <v>1</v>
      </c>
      <c r="M79" s="9" t="b">
        <f>ISNUMBER(Sheet1!J79)</f>
        <v>1</v>
      </c>
      <c r="N79" s="13" t="str">
        <f>IF(Sheet1!B79="A","Branch A",IF(Sheet1!B79="B","Branch B","Other Branch"))</f>
        <v>Branch A</v>
      </c>
      <c r="O79" s="13" t="str">
        <f>IF(Sheet1!M79="Credit card","Credit Payment","Other")</f>
        <v>Credit Payment</v>
      </c>
      <c r="P79" s="13" t="str">
        <f>IF(Sheet1!O79&gt;7,"Yes","No")</f>
        <v>No</v>
      </c>
    </row>
    <row r="80" spans="1:16">
      <c r="A80" s="1"/>
      <c r="E80" s="13" t="str">
        <v>829</v>
      </c>
      <c r="F80" s="13" t="str">
        <v>1914</v>
      </c>
      <c r="G80" s="13" t="str">
        <v>49</v>
      </c>
      <c r="H80" s="13" t="str">
        <f>_xlfn.CONCAT(Sheet1!A80," --&gt; ",Sheet1!J80)</f>
        <v>829-49-1914 --&gt; 822.255</v>
      </c>
      <c r="I80" s="13" t="str">
        <f>_xlfn.CONCAT(Sheet1!C80,"_",TEXT(Sheet1!K80, "m/d/yyyy"))</f>
        <v>Naypyitaw_3/5/2019</v>
      </c>
      <c r="J80" s="13" t="str">
        <f>IF(Sheet1!I80=Sheet1!N80*0.05,"Valid","Error")</f>
        <v>Valid</v>
      </c>
      <c r="K80" s="13" t="str">
        <f>IF(Sheet1!N80=Sheet1!G80*Sheet1!H80,"True","False")</f>
        <v>True</v>
      </c>
      <c r="L80" s="13" t="b">
        <v>1</v>
      </c>
      <c r="M80" s="9" t="b">
        <f>ISNUMBER(Sheet1!J80)</f>
        <v>1</v>
      </c>
      <c r="N80" s="13" t="str">
        <f>IF(Sheet1!B80="A","Branch A",IF(Sheet1!B80="B","Branch B","Other Branch"))</f>
        <v>Other Branch</v>
      </c>
      <c r="O80" s="13" t="str">
        <f>IF(Sheet1!M80="Credit card","Credit Payment","Other")</f>
        <v>Other</v>
      </c>
      <c r="P80" s="13" t="str">
        <f>IF(Sheet1!O80&gt;7,"Yes","No")</f>
        <v>No</v>
      </c>
    </row>
    <row r="81" spans="1:16">
      <c r="A81" s="1"/>
      <c r="E81" s="13" t="str">
        <v>756</v>
      </c>
      <c r="F81" s="13" t="str">
        <v>7507</v>
      </c>
      <c r="G81" s="13" t="str">
        <v>01</v>
      </c>
      <c r="H81" s="13" t="str">
        <f>_xlfn.CONCAT(Sheet1!A81," --&gt; ",Sheet1!J81)</f>
        <v>756-01-7507 --&gt; 106.995</v>
      </c>
      <c r="I81" s="13" t="str">
        <f>_xlfn.CONCAT(Sheet1!C81,"_",TEXT(Sheet1!K81, "m/d/yyyy"))</f>
        <v>Naypyitaw_1/22/2019</v>
      </c>
      <c r="J81" s="13" t="str">
        <f>IF(Sheet1!I81=Sheet1!N81*0.05,"Valid","Error")</f>
        <v>Valid</v>
      </c>
      <c r="K81" s="13" t="str">
        <f>IF(Sheet1!N81=Sheet1!G81*Sheet1!H81,"True","False")</f>
        <v>True</v>
      </c>
      <c r="L81" s="13" t="b">
        <v>1</v>
      </c>
      <c r="M81" s="9" t="b">
        <f>ISNUMBER(Sheet1!J81)</f>
        <v>1</v>
      </c>
      <c r="N81" s="13" t="str">
        <f>IF(Sheet1!B81="A","Branch A",IF(Sheet1!B81="B","Branch B","Other Branch"))</f>
        <v>Other Branch</v>
      </c>
      <c r="O81" s="13" t="str">
        <f>IF(Sheet1!M81="Credit card","Credit Payment","Other")</f>
        <v>Other</v>
      </c>
      <c r="P81" s="13" t="str">
        <f>IF(Sheet1!O81&gt;7,"Yes","No")</f>
        <v>No</v>
      </c>
    </row>
    <row r="82" spans="1:16">
      <c r="A82" s="1"/>
      <c r="E82" s="13" t="str">
        <v>870</v>
      </c>
      <c r="F82" s="13" t="str">
        <v>4431</v>
      </c>
      <c r="G82" s="13" t="str">
        <v>72</v>
      </c>
      <c r="H82" s="13" t="str">
        <f>_xlfn.CONCAT(Sheet1!A82," --&gt; ",Sheet1!J82)</f>
        <v>870-72-4431 --&gt; 624.897</v>
      </c>
      <c r="I82" s="13" t="str">
        <f>_xlfn.CONCAT(Sheet1!C82,"_",TEXT(Sheet1!K82, "m/d/yyyy"))</f>
        <v>Naypyitaw_1/21/2019</v>
      </c>
      <c r="J82" s="13" t="str">
        <f>IF(Sheet1!I82=Sheet1!N82*0.05,"Valid","Error")</f>
        <v>Valid</v>
      </c>
      <c r="K82" s="13" t="str">
        <f>IF(Sheet1!N82=Sheet1!G82*Sheet1!H82,"True","False")</f>
        <v>True</v>
      </c>
      <c r="L82" s="13" t="b">
        <v>1</v>
      </c>
      <c r="M82" s="9" t="b">
        <f>ISNUMBER(Sheet1!J82)</f>
        <v>1</v>
      </c>
      <c r="N82" s="13" t="str">
        <f>IF(Sheet1!B82="A","Branch A",IF(Sheet1!B82="B","Branch B","Other Branch"))</f>
        <v>Other Branch</v>
      </c>
      <c r="O82" s="13" t="str">
        <f>IF(Sheet1!M82="Credit card","Credit Payment","Other")</f>
        <v>Credit Payment</v>
      </c>
      <c r="P82" s="13" t="str">
        <f>IF(Sheet1!O82&gt;7,"Yes","No")</f>
        <v>No</v>
      </c>
    </row>
    <row r="83" spans="1:16">
      <c r="A83" s="1"/>
      <c r="E83" s="13" t="str">
        <v>847</v>
      </c>
      <c r="F83" s="13" t="str">
        <v>7188</v>
      </c>
      <c r="G83" s="13" t="str">
        <v>38</v>
      </c>
      <c r="H83" s="13" t="str">
        <f>_xlfn.CONCAT(Sheet1!A83," --&gt; ",Sheet1!J83)</f>
        <v>847-38-7188 --&gt; 304.542</v>
      </c>
      <c r="I83" s="13" t="str">
        <f>_xlfn.CONCAT(Sheet1!C83,"_",TEXT(Sheet1!K83, "m/d/yyyy"))</f>
        <v>Mandalay_1/26/2019</v>
      </c>
      <c r="J83" s="13" t="str">
        <f>IF(Sheet1!I83=Sheet1!N83*0.05,"Valid","Error")</f>
        <v>Valid</v>
      </c>
      <c r="K83" s="13" t="str">
        <f>IF(Sheet1!N83=Sheet1!G83*Sheet1!H83,"True","False")</f>
        <v>True</v>
      </c>
      <c r="L83" s="13" t="b">
        <v>1</v>
      </c>
      <c r="M83" s="9" t="b">
        <f>ISNUMBER(Sheet1!J83)</f>
        <v>1</v>
      </c>
      <c r="N83" s="13" t="str">
        <f>IF(Sheet1!B83="A","Branch A",IF(Sheet1!B83="B","Branch B","Other Branch"))</f>
        <v>Branch B</v>
      </c>
      <c r="O83" s="13" t="str">
        <f>IF(Sheet1!M83="Credit card","Credit Payment","Other")</f>
        <v>Other</v>
      </c>
      <c r="P83" s="13" t="str">
        <f>IF(Sheet1!O83&gt;7,"Yes","No")</f>
        <v>No</v>
      </c>
    </row>
    <row r="84" spans="1:16">
      <c r="A84" s="1"/>
      <c r="E84" s="13" t="str">
        <v>480</v>
      </c>
      <c r="F84" s="13" t="str">
        <v>2856</v>
      </c>
      <c r="G84" s="13" t="str">
        <v>63</v>
      </c>
      <c r="H84" s="13" t="str">
        <f>_xlfn.CONCAT(Sheet1!A84," --&gt; ",Sheet1!J84)</f>
        <v>480-63-2856 --&gt; 161.7</v>
      </c>
      <c r="I84" s="13" t="str">
        <f>_xlfn.CONCAT(Sheet1!C84,"_",TEXT(Sheet1!K84, "m/d/yyyy"))</f>
        <v>Naypyitaw_1/23/2019</v>
      </c>
      <c r="J84" s="13" t="str">
        <f>IF(Sheet1!I84=Sheet1!N84*0.05,"Valid","Error")</f>
        <v>Valid</v>
      </c>
      <c r="K84" s="13" t="str">
        <f>IF(Sheet1!N84=Sheet1!G84*Sheet1!H84,"True","False")</f>
        <v>True</v>
      </c>
      <c r="L84" s="13" t="b">
        <v>1</v>
      </c>
      <c r="M84" s="9" t="b">
        <f>ISNUMBER(Sheet1!J84)</f>
        <v>1</v>
      </c>
      <c r="N84" s="13" t="str">
        <f>IF(Sheet1!B84="A","Branch A",IF(Sheet1!B84="B","Branch B","Other Branch"))</f>
        <v>Other Branch</v>
      </c>
      <c r="O84" s="13" t="str">
        <f>IF(Sheet1!M84="Credit card","Credit Payment","Other")</f>
        <v>Other</v>
      </c>
      <c r="P84" s="13" t="str">
        <f>IF(Sheet1!O84&gt;7,"Yes","No")</f>
        <v>No</v>
      </c>
    </row>
    <row r="85" spans="1:16">
      <c r="A85" s="1"/>
      <c r="E85" s="13" t="str">
        <v>787</v>
      </c>
      <c r="F85" s="13" t="str">
        <v>0757</v>
      </c>
      <c r="G85" s="13" t="str">
        <v>56</v>
      </c>
      <c r="H85" s="13" t="str">
        <f>_xlfn.CONCAT(Sheet1!A85," --&gt; ",Sheet1!J85)</f>
        <v>787-56-0757 --&gt; 337.512</v>
      </c>
      <c r="I85" s="13" t="str">
        <f>_xlfn.CONCAT(Sheet1!C85,"_",TEXT(Sheet1!K85, "m/d/yyyy"))</f>
        <v>Naypyitaw_2/23/2019</v>
      </c>
      <c r="J85" s="13" t="str">
        <f>IF(Sheet1!I85=Sheet1!N85*0.05,"Valid","Error")</f>
        <v>Valid</v>
      </c>
      <c r="K85" s="13" t="str">
        <f>IF(Sheet1!N85=Sheet1!G85*Sheet1!H85,"True","False")</f>
        <v>True</v>
      </c>
      <c r="L85" s="13" t="b">
        <v>1</v>
      </c>
      <c r="M85" s="9" t="b">
        <f>ISNUMBER(Sheet1!J85)</f>
        <v>1</v>
      </c>
      <c r="N85" s="13" t="str">
        <f>IF(Sheet1!B85="A","Branch A",IF(Sheet1!B85="B","Branch B","Other Branch"))</f>
        <v>Other Branch</v>
      </c>
      <c r="O85" s="13" t="str">
        <f>IF(Sheet1!M85="Credit card","Credit Payment","Other")</f>
        <v>Credit Payment</v>
      </c>
      <c r="P85" s="13" t="str">
        <f>IF(Sheet1!O85&gt;7,"Yes","No")</f>
        <v>Yes</v>
      </c>
    </row>
    <row r="86" spans="1:16">
      <c r="A86" s="1"/>
      <c r="E86" s="13" t="str">
        <v>360</v>
      </c>
      <c r="F86" s="13" t="str">
        <v>5055</v>
      </c>
      <c r="G86" s="13" t="str">
        <v>39</v>
      </c>
      <c r="H86" s="13" t="str">
        <f>_xlfn.CONCAT(Sheet1!A86," --&gt; ",Sheet1!J86)</f>
        <v>360-39-5055 --&gt; 256.7775</v>
      </c>
      <c r="I86" s="13" t="str">
        <f>_xlfn.CONCAT(Sheet1!C86,"_",TEXT(Sheet1!K86, "m/d/yyyy"))</f>
        <v>Naypyitaw_3/9/2019</v>
      </c>
      <c r="J86" s="13" t="str">
        <f>IF(Sheet1!I86=Sheet1!N86*0.05,"Valid","Error")</f>
        <v>Valid</v>
      </c>
      <c r="K86" s="13" t="str">
        <f>IF(Sheet1!N86=Sheet1!G86*Sheet1!H86,"True","False")</f>
        <v>True</v>
      </c>
      <c r="L86" s="13" t="b">
        <v>1</v>
      </c>
      <c r="M86" s="9" t="b">
        <f>ISNUMBER(Sheet1!J86)</f>
        <v>1</v>
      </c>
      <c r="N86" s="13" t="str">
        <f>IF(Sheet1!B86="A","Branch A",IF(Sheet1!B86="B","Branch B","Other Branch"))</f>
        <v>Other Branch</v>
      </c>
      <c r="O86" s="13" t="str">
        <f>IF(Sheet1!M86="Credit card","Credit Payment","Other")</f>
        <v>Other</v>
      </c>
      <c r="P86" s="13" t="str">
        <f>IF(Sheet1!O86&gt;7,"Yes","No")</f>
        <v>No</v>
      </c>
    </row>
    <row r="87" spans="1:16">
      <c r="A87" s="1"/>
      <c r="E87" s="13" t="str">
        <v>730</v>
      </c>
      <c r="F87" s="13" t="str">
        <v>9884</v>
      </c>
      <c r="G87" s="13" t="str">
        <v>50</v>
      </c>
      <c r="H87" s="13" t="str">
        <f>_xlfn.CONCAT(Sheet1!A87," --&gt; ",Sheet1!J87)</f>
        <v>730-50-9884 --&gt; 610.491</v>
      </c>
      <c r="I87" s="13" t="str">
        <f>_xlfn.CONCAT(Sheet1!C87,"_",TEXT(Sheet1!K87, "m/d/yyyy"))</f>
        <v>Naypyitaw_3/5/2019</v>
      </c>
      <c r="J87" s="13" t="str">
        <f>IF(Sheet1!I87=Sheet1!N87*0.05,"Valid","Error")</f>
        <v>Valid</v>
      </c>
      <c r="K87" s="13" t="str">
        <f>IF(Sheet1!N87=Sheet1!G87*Sheet1!H87,"True","False")</f>
        <v>True</v>
      </c>
      <c r="L87" s="13" t="b">
        <v>1</v>
      </c>
      <c r="M87" s="9" t="b">
        <f>ISNUMBER(Sheet1!J87)</f>
        <v>1</v>
      </c>
      <c r="N87" s="13" t="str">
        <f>IF(Sheet1!B87="A","Branch A",IF(Sheet1!B87="B","Branch B","Other Branch"))</f>
        <v>Other Branch</v>
      </c>
      <c r="O87" s="13" t="str">
        <f>IF(Sheet1!M87="Credit card","Credit Payment","Other")</f>
        <v>Other</v>
      </c>
      <c r="P87" s="13" t="str">
        <f>IF(Sheet1!O87&gt;7,"Yes","No")</f>
        <v>No</v>
      </c>
    </row>
    <row r="88" spans="1:16">
      <c r="A88" s="1"/>
      <c r="E88" s="13" t="str">
        <v>362</v>
      </c>
      <c r="F88" s="13" t="str">
        <v>8315</v>
      </c>
      <c r="G88" s="13" t="str">
        <v>58</v>
      </c>
      <c r="H88" s="13" t="str">
        <f>_xlfn.CONCAT(Sheet1!A88," --&gt; ",Sheet1!J88)</f>
        <v>362-58-8315 --&gt; 401.73</v>
      </c>
      <c r="I88" s="13" t="str">
        <f>_xlfn.CONCAT(Sheet1!C88,"_",TEXT(Sheet1!K88, "m/d/yyyy"))</f>
        <v>Naypyitaw_3/25/2019</v>
      </c>
      <c r="J88" s="13" t="str">
        <f>IF(Sheet1!I88=Sheet1!N88*0.05,"Valid","Error")</f>
        <v>Valid</v>
      </c>
      <c r="K88" s="13" t="str">
        <f>IF(Sheet1!N88=Sheet1!G88*Sheet1!H88,"True","False")</f>
        <v>True</v>
      </c>
      <c r="L88" s="13" t="b">
        <v>1</v>
      </c>
      <c r="M88" s="9" t="b">
        <f>ISNUMBER(Sheet1!J88)</f>
        <v>1</v>
      </c>
      <c r="N88" s="13" t="str">
        <f>IF(Sheet1!B88="A","Branch A",IF(Sheet1!B88="B","Branch B","Other Branch"))</f>
        <v>Other Branch</v>
      </c>
      <c r="O88" s="13" t="str">
        <f>IF(Sheet1!M88="Credit card","Credit Payment","Other")</f>
        <v>Other</v>
      </c>
      <c r="P88" s="13" t="str">
        <f>IF(Sheet1!O88&gt;7,"Yes","No")</f>
        <v>Yes</v>
      </c>
    </row>
    <row r="89" spans="1:16">
      <c r="A89" s="1"/>
      <c r="E89" s="13" t="str">
        <v>633</v>
      </c>
      <c r="F89" s="13" t="str">
        <v>8566</v>
      </c>
      <c r="G89" s="13" t="str">
        <v>44</v>
      </c>
      <c r="H89" s="13" t="str">
        <f>_xlfn.CONCAT(Sheet1!A89," --&gt; ",Sheet1!J89)</f>
        <v>633-44-8566 --&gt; 362.943</v>
      </c>
      <c r="I89" s="13" t="str">
        <f>_xlfn.CONCAT(Sheet1!C89,"_",TEXT(Sheet1!K89, "m/d/yyyy"))</f>
        <v>Yangon_3/27/2019</v>
      </c>
      <c r="J89" s="13" t="str">
        <f>IF(Sheet1!I89=Sheet1!N89*0.05,"Valid","Error")</f>
        <v>Valid</v>
      </c>
      <c r="K89" s="13" t="str">
        <f>IF(Sheet1!N89=Sheet1!G89*Sheet1!H89,"True","False")</f>
        <v>True</v>
      </c>
      <c r="L89" s="13" t="b">
        <v>1</v>
      </c>
      <c r="M89" s="9" t="b">
        <f>ISNUMBER(Sheet1!J89)</f>
        <v>1</v>
      </c>
      <c r="N89" s="13" t="str">
        <f>IF(Sheet1!B89="A","Branch A",IF(Sheet1!B89="B","Branch B","Other Branch"))</f>
        <v>Branch A</v>
      </c>
      <c r="O89" s="13" t="str">
        <f>IF(Sheet1!M89="Credit card","Credit Payment","Other")</f>
        <v>Credit Payment</v>
      </c>
      <c r="P89" s="13" t="str">
        <f>IF(Sheet1!O89&gt;7,"Yes","No")</f>
        <v>Yes</v>
      </c>
    </row>
    <row r="90" spans="1:16">
      <c r="A90" s="1"/>
      <c r="E90" s="13" t="str">
        <v>504</v>
      </c>
      <c r="F90" s="13" t="str">
        <v>8843</v>
      </c>
      <c r="G90" s="13" t="str">
        <v>35</v>
      </c>
      <c r="H90" s="13" t="str">
        <f>_xlfn.CONCAT(Sheet1!A90," --&gt; ",Sheet1!J90)</f>
        <v>504-35-8843 --&gt; 44.5935</v>
      </c>
      <c r="I90" s="13" t="str">
        <f>_xlfn.CONCAT(Sheet1!C90,"_",TEXT(Sheet1!K90, "m/d/yyyy"))</f>
        <v>Yangon_1/2/2019</v>
      </c>
      <c r="J90" s="13" t="str">
        <f>IF(Sheet1!I90=Sheet1!N90*0.05,"Valid","Error")</f>
        <v>Valid</v>
      </c>
      <c r="K90" s="13" t="str">
        <f>IF(Sheet1!N90=Sheet1!G90*Sheet1!H90,"True","False")</f>
        <v>True</v>
      </c>
      <c r="L90" s="13" t="b">
        <v>1</v>
      </c>
      <c r="M90" s="9" t="b">
        <f>ISNUMBER(Sheet1!J90)</f>
        <v>1</v>
      </c>
      <c r="N90" s="13" t="str">
        <f>IF(Sheet1!B90="A","Branch A",IF(Sheet1!B90="B","Branch B","Other Branch"))</f>
        <v>Branch A</v>
      </c>
      <c r="O90" s="13" t="str">
        <f>IF(Sheet1!M90="Credit card","Credit Payment","Other")</f>
        <v>Other</v>
      </c>
      <c r="P90" s="13" t="str">
        <f>IF(Sheet1!O90&gt;7,"Yes","No")</f>
        <v>No</v>
      </c>
    </row>
    <row r="91" spans="1:16">
      <c r="A91" s="1"/>
      <c r="E91" s="13" t="str">
        <v>318</v>
      </c>
      <c r="F91" s="13" t="str">
        <v>5053</v>
      </c>
      <c r="G91" s="13" t="str">
        <v>68</v>
      </c>
      <c r="H91" s="13" t="str">
        <f>_xlfn.CONCAT(Sheet1!A91," --&gt; ",Sheet1!J91)</f>
        <v>318-68-5053 --&gt; 485.037</v>
      </c>
      <c r="I91" s="13" t="str">
        <f>_xlfn.CONCAT(Sheet1!C91,"_",TEXT(Sheet1!K91, "m/d/yyyy"))</f>
        <v>Mandalay_2/27/2019</v>
      </c>
      <c r="J91" s="13" t="str">
        <f>IF(Sheet1!I91=Sheet1!N91*0.05,"Valid","Error")</f>
        <v>Valid</v>
      </c>
      <c r="K91" s="13" t="str">
        <f>IF(Sheet1!N91=Sheet1!G91*Sheet1!H91,"True","False")</f>
        <v>True</v>
      </c>
      <c r="L91" s="13" t="b">
        <v>1</v>
      </c>
      <c r="M91" s="9" t="b">
        <f>ISNUMBER(Sheet1!J91)</f>
        <v>1</v>
      </c>
      <c r="N91" s="13" t="str">
        <f>IF(Sheet1!B91="A","Branch A",IF(Sheet1!B91="B","Branch B","Other Branch"))</f>
        <v>Branch B</v>
      </c>
      <c r="O91" s="13" t="str">
        <f>IF(Sheet1!M91="Credit card","Credit Payment","Other")</f>
        <v>Other</v>
      </c>
      <c r="P91" s="13" t="str">
        <f>IF(Sheet1!O91&gt;7,"Yes","No")</f>
        <v>No</v>
      </c>
    </row>
    <row r="92" spans="1:16">
      <c r="A92" s="1"/>
      <c r="E92" s="13" t="str">
        <v>565</v>
      </c>
      <c r="F92" s="13" t="str">
        <v>5980</v>
      </c>
      <c r="G92" s="13" t="str">
        <v>80</v>
      </c>
      <c r="H92" s="13" t="str">
        <f>_xlfn.CONCAT(Sheet1!A92," --&gt; ",Sheet1!J92)</f>
        <v>565-80-5980 --&gt; 198.996</v>
      </c>
      <c r="I92" s="13" t="str">
        <f>_xlfn.CONCAT(Sheet1!C92,"_",TEXT(Sheet1!K92, "m/d/yyyy"))</f>
        <v>Naypyitaw_1/23/2019</v>
      </c>
      <c r="J92" s="13" t="str">
        <f>IF(Sheet1!I92=Sheet1!N92*0.05,"Valid","Error")</f>
        <v>Valid</v>
      </c>
      <c r="K92" s="13" t="str">
        <f>IF(Sheet1!N92=Sheet1!G92*Sheet1!H92,"True","False")</f>
        <v>True</v>
      </c>
      <c r="L92" s="13" t="b">
        <v>1</v>
      </c>
      <c r="M92" s="9" t="b">
        <f>ISNUMBER(Sheet1!J92)</f>
        <v>1</v>
      </c>
      <c r="N92" s="13" t="str">
        <f>IF(Sheet1!B92="A","Branch A",IF(Sheet1!B92="B","Branch B","Other Branch"))</f>
        <v>Other Branch</v>
      </c>
      <c r="O92" s="13" t="str">
        <f>IF(Sheet1!M92="Credit card","Credit Payment","Other")</f>
        <v>Other</v>
      </c>
      <c r="P92" s="13" t="str">
        <f>IF(Sheet1!O92&gt;7,"Yes","No")</f>
        <v>Yes</v>
      </c>
    </row>
    <row r="93" spans="1:16">
      <c r="A93" s="1"/>
      <c r="E93" s="13" t="str">
        <v>225</v>
      </c>
      <c r="F93" s="13" t="str">
        <v>0908</v>
      </c>
      <c r="G93" s="13" t="str">
        <v>32</v>
      </c>
      <c r="H93" s="13" t="str">
        <f>_xlfn.CONCAT(Sheet1!A93," --&gt; ",Sheet1!J93)</f>
        <v>225-32-0908 --&gt; 471.03</v>
      </c>
      <c r="I93" s="13" t="str">
        <f>_xlfn.CONCAT(Sheet1!C93,"_",TEXT(Sheet1!K93, "m/d/yyyy"))</f>
        <v>Naypyitaw_1/26/2019</v>
      </c>
      <c r="J93" s="13" t="str">
        <f>IF(Sheet1!I93=Sheet1!N93*0.05,"Valid","Error")</f>
        <v>Valid</v>
      </c>
      <c r="K93" s="13" t="str">
        <f>IF(Sheet1!N93=Sheet1!G93*Sheet1!H93,"True","False")</f>
        <v>True</v>
      </c>
      <c r="L93" s="13" t="b">
        <v>1</v>
      </c>
      <c r="M93" s="9" t="b">
        <f>ISNUMBER(Sheet1!J93)</f>
        <v>1</v>
      </c>
      <c r="N93" s="13" t="str">
        <f>IF(Sheet1!B93="A","Branch A",IF(Sheet1!B93="B","Branch B","Other Branch"))</f>
        <v>Other Branch</v>
      </c>
      <c r="O93" s="13" t="str">
        <f>IF(Sheet1!M93="Credit card","Credit Payment","Other")</f>
        <v>Other</v>
      </c>
      <c r="P93" s="13" t="str">
        <f>IF(Sheet1!O93&gt;7,"Yes","No")</f>
        <v>Yes</v>
      </c>
    </row>
    <row r="94" spans="1:16">
      <c r="A94" s="1"/>
      <c r="E94" s="13" t="str">
        <v>873</v>
      </c>
      <c r="F94" s="13" t="str">
        <v>0671</v>
      </c>
      <c r="G94" s="13" t="str">
        <v>51</v>
      </c>
      <c r="H94" s="13" t="str">
        <f>_xlfn.CONCAT(Sheet1!A94," --&gt; ",Sheet1!J94)</f>
        <v>873-51-0671 --&gt; 161.553</v>
      </c>
      <c r="I94" s="13" t="str">
        <f>_xlfn.CONCAT(Sheet1!C94,"_",TEXT(Sheet1!K94, "m/d/yyyy"))</f>
        <v>Yangon_1/10/2019</v>
      </c>
      <c r="J94" s="13" t="str">
        <f>IF(Sheet1!I94=Sheet1!N94*0.05,"Valid","Error")</f>
        <v>Valid</v>
      </c>
      <c r="K94" s="13" t="str">
        <f>IF(Sheet1!N94=Sheet1!G94*Sheet1!H94,"True","False")</f>
        <v>True</v>
      </c>
      <c r="L94" s="13" t="b">
        <v>1</v>
      </c>
      <c r="M94" s="9" t="b">
        <f>ISNUMBER(Sheet1!J94)</f>
        <v>1</v>
      </c>
      <c r="N94" s="13" t="str">
        <f>IF(Sheet1!B94="A","Branch A",IF(Sheet1!B94="B","Branch B","Other Branch"))</f>
        <v>Branch A</v>
      </c>
      <c r="O94" s="13" t="str">
        <f>IF(Sheet1!M94="Credit card","Credit Payment","Other")</f>
        <v>Other</v>
      </c>
      <c r="P94" s="13" t="str">
        <f>IF(Sheet1!O94&gt;7,"Yes","No")</f>
        <v>No</v>
      </c>
    </row>
    <row r="95" spans="1:16">
      <c r="A95" s="1"/>
      <c r="E95" s="13" t="str">
        <v>152</v>
      </c>
      <c r="F95" s="13" t="str">
        <v>9985</v>
      </c>
      <c r="G95" s="13" t="str">
        <v>08</v>
      </c>
      <c r="H95" s="13" t="str">
        <f>_xlfn.CONCAT(Sheet1!A95," --&gt; ",Sheet1!J95)</f>
        <v>152-08-9985 --&gt; 608.202</v>
      </c>
      <c r="I95" s="13" t="str">
        <f>_xlfn.CONCAT(Sheet1!C95,"_",TEXT(Sheet1!K95, "m/d/yyyy"))</f>
        <v>Mandalay_3/12/2019</v>
      </c>
      <c r="J95" s="13" t="str">
        <f>IF(Sheet1!I95=Sheet1!N95*0.05,"Valid","Error")</f>
        <v>Valid</v>
      </c>
      <c r="K95" s="13" t="str">
        <f>IF(Sheet1!N95=Sheet1!G95*Sheet1!H95,"True","False")</f>
        <v>True</v>
      </c>
      <c r="L95" s="13" t="b">
        <v>1</v>
      </c>
      <c r="M95" s="9" t="b">
        <f>ISNUMBER(Sheet1!J95)</f>
        <v>1</v>
      </c>
      <c r="N95" s="13" t="str">
        <f>IF(Sheet1!B95="A","Branch A",IF(Sheet1!B95="B","Branch B","Other Branch"))</f>
        <v>Branch B</v>
      </c>
      <c r="O95" s="13" t="str">
        <f>IF(Sheet1!M95="Credit card","Credit Payment","Other")</f>
        <v>Credit Payment</v>
      </c>
      <c r="P95" s="13" t="str">
        <f>IF(Sheet1!O95&gt;7,"Yes","No")</f>
        <v>Yes</v>
      </c>
    </row>
    <row r="96" spans="1:16">
      <c r="A96" s="1"/>
      <c r="E96" s="13" t="str">
        <v>512</v>
      </c>
      <c r="F96" s="13" t="str">
        <v>0811</v>
      </c>
      <c r="G96" s="13" t="str">
        <v>91</v>
      </c>
      <c r="H96" s="13" t="str">
        <f>_xlfn.CONCAT(Sheet1!A96," --&gt; ",Sheet1!J96)</f>
        <v>512-91-0811 --&gt; 94.2375</v>
      </c>
      <c r="I96" s="13" t="str">
        <f>_xlfn.CONCAT(Sheet1!C96,"_",TEXT(Sheet1!K96, "m/d/yyyy"))</f>
        <v>Naypyitaw_2/6/2019</v>
      </c>
      <c r="J96" s="13" t="str">
        <f>IF(Sheet1!I96=Sheet1!N96*0.05,"Valid","Error")</f>
        <v>Valid</v>
      </c>
      <c r="K96" s="13" t="str">
        <f>IF(Sheet1!N96=Sheet1!G96*Sheet1!H96,"True","False")</f>
        <v>True</v>
      </c>
      <c r="L96" s="13" t="b">
        <v>1</v>
      </c>
      <c r="M96" s="9" t="b">
        <f>ISNUMBER(Sheet1!J96)</f>
        <v>1</v>
      </c>
      <c r="N96" s="13" t="str">
        <f>IF(Sheet1!B96="A","Branch A",IF(Sheet1!B96="B","Branch B","Other Branch"))</f>
        <v>Other Branch</v>
      </c>
      <c r="O96" s="13" t="str">
        <f>IF(Sheet1!M96="Credit card","Credit Payment","Other")</f>
        <v>Credit Payment</v>
      </c>
      <c r="P96" s="13" t="str">
        <f>IF(Sheet1!O96&gt;7,"Yes","No")</f>
        <v>No</v>
      </c>
    </row>
    <row r="97" spans="1:16">
      <c r="A97" s="1"/>
      <c r="E97" s="13" t="str">
        <v>594</v>
      </c>
      <c r="F97" s="13" t="str">
        <v>4444</v>
      </c>
      <c r="G97" s="13" t="str">
        <v>34</v>
      </c>
      <c r="H97" s="13" t="str">
        <f>_xlfn.CONCAT(Sheet1!A97," --&gt; ",Sheet1!J97)</f>
        <v>594-34-4444 --&gt; 102.018</v>
      </c>
      <c r="I97" s="13" t="str">
        <f>_xlfn.CONCAT(Sheet1!C97,"_",TEXT(Sheet1!K97, "m/d/yyyy"))</f>
        <v>Yangon_3/8/2019</v>
      </c>
      <c r="J97" s="13" t="str">
        <f>IF(Sheet1!I97=Sheet1!N97*0.05,"Valid","Error")</f>
        <v>Valid</v>
      </c>
      <c r="K97" s="13" t="str">
        <f>IF(Sheet1!N97=Sheet1!G97*Sheet1!H97,"True","False")</f>
        <v>True</v>
      </c>
      <c r="L97" s="13" t="b">
        <v>1</v>
      </c>
      <c r="M97" s="9" t="b">
        <f>ISNUMBER(Sheet1!J97)</f>
        <v>1</v>
      </c>
      <c r="N97" s="13" t="str">
        <f>IF(Sheet1!B97="A","Branch A",IF(Sheet1!B97="B","Branch B","Other Branch"))</f>
        <v>Branch A</v>
      </c>
      <c r="O97" s="13" t="str">
        <f>IF(Sheet1!M97="Credit card","Credit Payment","Other")</f>
        <v>Other</v>
      </c>
      <c r="P97" s="13" t="str">
        <f>IF(Sheet1!O97&gt;7,"Yes","No")</f>
        <v>Yes</v>
      </c>
    </row>
    <row r="98" spans="1:16">
      <c r="A98" s="1"/>
      <c r="E98" s="13" t="str">
        <v>766</v>
      </c>
      <c r="F98" s="13" t="str">
        <v>7061</v>
      </c>
      <c r="G98" s="13" t="str">
        <v>85</v>
      </c>
      <c r="H98" s="13" t="str">
        <f>_xlfn.CONCAT(Sheet1!A98," --&gt; ",Sheet1!J98)</f>
        <v>766-85-7061 --&gt; 922.635</v>
      </c>
      <c r="I98" s="13" t="str">
        <f>_xlfn.CONCAT(Sheet1!C98,"_",TEXT(Sheet1!K98, "m/d/yyyy"))</f>
        <v>Mandalay_3/29/2019</v>
      </c>
      <c r="J98" s="13" t="str">
        <f>IF(Sheet1!I98=Sheet1!N98*0.05,"Valid","Error")</f>
        <v>Valid</v>
      </c>
      <c r="K98" s="13" t="str">
        <f>IF(Sheet1!N98=Sheet1!G98*Sheet1!H98,"True","False")</f>
        <v>True</v>
      </c>
      <c r="L98" s="13" t="b">
        <v>1</v>
      </c>
      <c r="M98" s="9" t="b">
        <f>ISNUMBER(Sheet1!J98)</f>
        <v>1</v>
      </c>
      <c r="N98" s="13" t="str">
        <f>IF(Sheet1!B98="A","Branch A",IF(Sheet1!B98="B","Branch B","Other Branch"))</f>
        <v>Branch B</v>
      </c>
      <c r="O98" s="13" t="str">
        <f>IF(Sheet1!M98="Credit card","Credit Payment","Other")</f>
        <v>Other</v>
      </c>
      <c r="P98" s="13" t="str">
        <f>IF(Sheet1!O98&gt;7,"Yes","No")</f>
        <v>No</v>
      </c>
    </row>
    <row r="99" spans="1:16">
      <c r="A99" s="1"/>
      <c r="E99" s="13" t="str">
        <v>871</v>
      </c>
      <c r="F99" s="13" t="str">
        <v>9221</v>
      </c>
      <c r="G99" s="13" t="str">
        <v>39</v>
      </c>
      <c r="H99" s="13" t="str">
        <f>_xlfn.CONCAT(Sheet1!A99," --&gt; ",Sheet1!J99)</f>
        <v>871-39-9221 --&gt; 78.435</v>
      </c>
      <c r="I99" s="13" t="str">
        <f>_xlfn.CONCAT(Sheet1!C99,"_",TEXT(Sheet1!K99, "m/d/yyyy"))</f>
        <v>Naypyitaw_2/9/2019</v>
      </c>
      <c r="J99" s="13" t="str">
        <f>IF(Sheet1!I99=Sheet1!N99*0.05,"Valid","Error")</f>
        <v>Valid</v>
      </c>
      <c r="K99" s="13" t="str">
        <f>IF(Sheet1!N99=Sheet1!G99*Sheet1!H99,"True","False")</f>
        <v>True</v>
      </c>
      <c r="L99" s="13" t="b">
        <v>1</v>
      </c>
      <c r="M99" s="9" t="b">
        <f>ISNUMBER(Sheet1!J99)</f>
        <v>1</v>
      </c>
      <c r="N99" s="13" t="str">
        <f>IF(Sheet1!B99="A","Branch A",IF(Sheet1!B99="B","Branch B","Other Branch"))</f>
        <v>Other Branch</v>
      </c>
      <c r="O99" s="13" t="str">
        <f>IF(Sheet1!M99="Credit card","Credit Payment","Other")</f>
        <v>Other</v>
      </c>
      <c r="P99" s="13" t="str">
        <f>IF(Sheet1!O99&gt;7,"Yes","No")</f>
        <v>No</v>
      </c>
    </row>
    <row r="100" spans="1:16">
      <c r="A100" s="1"/>
      <c r="E100" s="13" t="str">
        <v>865</v>
      </c>
      <c r="F100" s="13" t="str">
        <v>6136</v>
      </c>
      <c r="G100" s="13" t="str">
        <v>92</v>
      </c>
      <c r="H100" s="13" t="str">
        <f>_xlfn.CONCAT(Sheet1!A100," --&gt; ",Sheet1!J100)</f>
        <v>865-92-6136 --&gt; 166.1625</v>
      </c>
      <c r="I100" s="13" t="str">
        <f>_xlfn.CONCAT(Sheet1!C100,"_",TEXT(Sheet1!K100, "m/d/yyyy"))</f>
        <v>Yangon_3/23/2019</v>
      </c>
      <c r="J100" s="13" t="str">
        <f>IF(Sheet1!I100=Sheet1!N100*0.05,"Valid","Error")</f>
        <v>Valid</v>
      </c>
      <c r="K100" s="13" t="str">
        <f>IF(Sheet1!N100=Sheet1!G100*Sheet1!H100,"True","False")</f>
        <v>True</v>
      </c>
      <c r="L100" s="13" t="b">
        <v>1</v>
      </c>
      <c r="M100" s="9" t="b">
        <f>ISNUMBER(Sheet1!J100)</f>
        <v>1</v>
      </c>
      <c r="N100" s="13" t="str">
        <f>IF(Sheet1!B100="A","Branch A",IF(Sheet1!B100="B","Branch B","Other Branch"))</f>
        <v>Branch A</v>
      </c>
      <c r="O100" s="13" t="str">
        <f>IF(Sheet1!M100="Credit card","Credit Payment","Other")</f>
        <v>Other</v>
      </c>
      <c r="P100" s="13" t="str">
        <f>IF(Sheet1!O100&gt;7,"Yes","No")</f>
        <v>Yes</v>
      </c>
    </row>
    <row r="101" spans="1:16">
      <c r="A101" s="1"/>
      <c r="E101" s="13" t="str">
        <v>733</v>
      </c>
      <c r="F101" s="13" t="str">
        <v>9107</v>
      </c>
      <c r="G101" s="13" t="str">
        <v>01</v>
      </c>
      <c r="H101" s="13" t="str">
        <f>_xlfn.CONCAT(Sheet1!A101," --&gt; ",Sheet1!J101)</f>
        <v>733-01-9107 --&gt; 521.01</v>
      </c>
      <c r="I101" s="13" t="str">
        <f>_xlfn.CONCAT(Sheet1!C101,"_",TEXT(Sheet1!K101, "m/d/yyyy"))</f>
        <v>Mandalay_3/5/2019</v>
      </c>
      <c r="J101" s="13" t="str">
        <f>IF(Sheet1!I101=Sheet1!N101*0.05,"Valid","Error")</f>
        <v>Valid</v>
      </c>
      <c r="K101" s="13" t="str">
        <f>IF(Sheet1!N101=Sheet1!G101*Sheet1!H101,"True","False")</f>
        <v>True</v>
      </c>
      <c r="L101" s="13" t="b">
        <v>1</v>
      </c>
      <c r="M101" s="9" t="b">
        <f>ISNUMBER(Sheet1!J101)</f>
        <v>1</v>
      </c>
      <c r="N101" s="13" t="str">
        <f>IF(Sheet1!B101="A","Branch A",IF(Sheet1!B101="B","Branch B","Other Branch"))</f>
        <v>Branch B</v>
      </c>
      <c r="O101" s="13" t="str">
        <f>IF(Sheet1!M101="Credit card","Credit Payment","Other")</f>
        <v>Other</v>
      </c>
      <c r="P101" s="13" t="str">
        <f>IF(Sheet1!O101&gt;7,"Yes","No")</f>
        <v>Yes</v>
      </c>
    </row>
    <row r="102" spans="1:16">
      <c r="E102" s="13" t="str">
        <v>163</v>
      </c>
      <c r="F102" s="13" t="str">
        <v>7055</v>
      </c>
      <c r="G102" s="13" t="str">
        <v>56</v>
      </c>
      <c r="H102" s="13" t="str">
        <f>_xlfn.CONCAT(Sheet1!A102," --&gt; ",Sheet1!J102)</f>
        <v>163-56-7055 --&gt; 51.1455</v>
      </c>
      <c r="I102" s="13" t="str">
        <f>_xlfn.CONCAT(Sheet1!C102,"_",TEXT(Sheet1!K102, "m/d/yyyy"))</f>
        <v>Naypyitaw_3/26/2019</v>
      </c>
      <c r="J102" s="13" t="str">
        <f>IF(Sheet1!I102=Sheet1!N102*0.05,"Valid","Error")</f>
        <v>Valid</v>
      </c>
      <c r="K102" s="13" t="str">
        <f>IF(Sheet1!N102=Sheet1!G102*Sheet1!H102,"True","False")</f>
        <v>True</v>
      </c>
      <c r="L102" s="13" t="b">
        <v>1</v>
      </c>
      <c r="M102" s="9" t="b">
        <f>ISNUMBER(Sheet1!J102)</f>
        <v>1</v>
      </c>
      <c r="N102" s="13" t="str">
        <f>IF(Sheet1!B102="A","Branch A",IF(Sheet1!B102="B","Branch B","Other Branch"))</f>
        <v>Other Branch</v>
      </c>
      <c r="O102" s="13" t="str">
        <f>IF(Sheet1!M102="Credit card","Credit Payment","Other")</f>
        <v>Other</v>
      </c>
      <c r="P102" s="13" t="str">
        <f>IF(Sheet1!O102&gt;7,"Yes","No")</f>
        <v>No</v>
      </c>
    </row>
    <row r="103" spans="1:16">
      <c r="E103" s="13" t="str">
        <v>189</v>
      </c>
      <c r="F103" s="13" t="str">
        <v>2939</v>
      </c>
      <c r="G103" s="13" t="str">
        <v>98</v>
      </c>
      <c r="H103" s="13" t="str">
        <f>_xlfn.CONCAT(Sheet1!A103," --&gt; ",Sheet1!J103)</f>
        <v>189-98-2939 --&gt; 742.2975</v>
      </c>
      <c r="I103" s="13" t="str">
        <f>_xlfn.CONCAT(Sheet1!C103,"_",TEXT(Sheet1!K103, "m/d/yyyy"))</f>
        <v>Naypyitaw_3/1/2019</v>
      </c>
      <c r="J103" s="13" t="str">
        <f>IF(Sheet1!I103=Sheet1!N103*0.05,"Valid","Error")</f>
        <v>Valid</v>
      </c>
      <c r="K103" s="13" t="str">
        <f>IF(Sheet1!N103=Sheet1!G103*Sheet1!H103,"True","False")</f>
        <v>True</v>
      </c>
      <c r="L103" s="13" t="b">
        <v>1</v>
      </c>
      <c r="M103" s="9" t="b">
        <f>ISNUMBER(Sheet1!J103)</f>
        <v>1</v>
      </c>
      <c r="N103" s="13" t="str">
        <f>IF(Sheet1!B103="A","Branch A",IF(Sheet1!B103="B","Branch B","Other Branch"))</f>
        <v>Other Branch</v>
      </c>
      <c r="O103" s="13" t="str">
        <f>IF(Sheet1!M103="Credit card","Credit Payment","Other")</f>
        <v>Other</v>
      </c>
      <c r="P103" s="13" t="str">
        <f>IF(Sheet1!O103&gt;7,"Yes","No")</f>
        <v>Yes</v>
      </c>
    </row>
    <row r="104" spans="1:16">
      <c r="E104" s="13" t="str">
        <v>551</v>
      </c>
      <c r="F104" s="13" t="str">
        <v>3069</v>
      </c>
      <c r="G104" s="13" t="str">
        <v>21</v>
      </c>
      <c r="H104" s="13" t="str">
        <f>_xlfn.CONCAT(Sheet1!A104," --&gt; ",Sheet1!J104)</f>
        <v>551-21-3069 --&gt; 218.0115</v>
      </c>
      <c r="I104" s="13" t="str">
        <f>_xlfn.CONCAT(Sheet1!C104,"_",TEXT(Sheet1!K104, "m/d/yyyy"))</f>
        <v>Naypyitaw_2/1/2019</v>
      </c>
      <c r="J104" s="13" t="str">
        <f>IF(Sheet1!I104=Sheet1!N104*0.05,"Valid","Error")</f>
        <v>Valid</v>
      </c>
      <c r="K104" s="13" t="str">
        <f>IF(Sheet1!N104=Sheet1!G104*Sheet1!H104,"True","False")</f>
        <v>True</v>
      </c>
      <c r="L104" s="13" t="b">
        <v>1</v>
      </c>
      <c r="M104" s="9" t="b">
        <f>ISNUMBER(Sheet1!J104)</f>
        <v>1</v>
      </c>
      <c r="N104" s="13" t="str">
        <f>IF(Sheet1!B104="A","Branch A",IF(Sheet1!B104="B","Branch B","Other Branch"))</f>
        <v>Other Branch</v>
      </c>
      <c r="O104" s="13" t="str">
        <f>IF(Sheet1!M104="Credit card","Credit Payment","Other")</f>
        <v>Other</v>
      </c>
      <c r="P104" s="13" t="str">
        <f>IF(Sheet1!O104&gt;7,"Yes","No")</f>
        <v>No</v>
      </c>
    </row>
    <row r="105" spans="1:16">
      <c r="E105" s="13" t="str">
        <v>212</v>
      </c>
      <c r="F105" s="13" t="str">
        <v>1842</v>
      </c>
      <c r="G105" s="13" t="str">
        <v>62</v>
      </c>
      <c r="H105" s="13" t="str">
        <f>_xlfn.CONCAT(Sheet1!A105," --&gt; ",Sheet1!J105)</f>
        <v>212-62-1842 --&gt; 367.038</v>
      </c>
      <c r="I105" s="13" t="str">
        <f>_xlfn.CONCAT(Sheet1!C105,"_",TEXT(Sheet1!K105, "m/d/yyyy"))</f>
        <v>Yangon_3/28/2019</v>
      </c>
      <c r="J105" s="13" t="str">
        <f>IF(Sheet1!I105=Sheet1!N105*0.05,"Valid","Error")</f>
        <v>Valid</v>
      </c>
      <c r="K105" s="13" t="str">
        <f>IF(Sheet1!N105=Sheet1!G105*Sheet1!H105,"True","False")</f>
        <v>True</v>
      </c>
      <c r="L105" s="13" t="b">
        <v>1</v>
      </c>
      <c r="M105" s="9" t="b">
        <f>ISNUMBER(Sheet1!J105)</f>
        <v>1</v>
      </c>
      <c r="N105" s="13" t="str">
        <f>IF(Sheet1!B105="A","Branch A",IF(Sheet1!B105="B","Branch B","Other Branch"))</f>
        <v>Branch A</v>
      </c>
      <c r="O105" s="13" t="str">
        <f>IF(Sheet1!M105="Credit card","Credit Payment","Other")</f>
        <v>Other</v>
      </c>
      <c r="P105" s="13" t="str">
        <f>IF(Sheet1!O105&gt;7,"Yes","No")</f>
        <v>Yes</v>
      </c>
    </row>
    <row r="106" spans="1:16">
      <c r="E106" s="13" t="str">
        <v>716</v>
      </c>
      <c r="F106" s="13" t="str">
        <v>1409</v>
      </c>
      <c r="G106" s="13" t="str">
        <v>39</v>
      </c>
      <c r="H106" s="13" t="str">
        <f>_xlfn.CONCAT(Sheet1!A106," --&gt; ",Sheet1!J106)</f>
        <v>716-39-1409 --&gt; 223.0725</v>
      </c>
      <c r="I106" s="13" t="str">
        <f>_xlfn.CONCAT(Sheet1!C106,"_",TEXT(Sheet1!K106, "m/d/yyyy"))</f>
        <v>Mandalay_3/19/2019</v>
      </c>
      <c r="J106" s="13" t="str">
        <f>IF(Sheet1!I106=Sheet1!N106*0.05,"Valid","Error")</f>
        <v>Valid</v>
      </c>
      <c r="K106" s="13" t="str">
        <f>IF(Sheet1!N106=Sheet1!G106*Sheet1!H106,"True","False")</f>
        <v>True</v>
      </c>
      <c r="L106" s="13" t="b">
        <v>1</v>
      </c>
      <c r="M106" s="9" t="b">
        <f>ISNUMBER(Sheet1!J106)</f>
        <v>1</v>
      </c>
      <c r="N106" s="13" t="str">
        <f>IF(Sheet1!B106="A","Branch A",IF(Sheet1!B106="B","Branch B","Other Branch"))</f>
        <v>Branch B</v>
      </c>
      <c r="O106" s="13" t="str">
        <f>IF(Sheet1!M106="Credit card","Credit Payment","Other")</f>
        <v>Other</v>
      </c>
      <c r="P106" s="13" t="str">
        <f>IF(Sheet1!O106&gt;7,"Yes","No")</f>
        <v>Yes</v>
      </c>
    </row>
    <row r="107" spans="1:16">
      <c r="E107" s="13" t="str">
        <v>704</v>
      </c>
      <c r="F107" s="13" t="str">
        <v>3927</v>
      </c>
      <c r="G107" s="13" t="str">
        <v>48</v>
      </c>
      <c r="H107" s="13" t="str">
        <f>_xlfn.CONCAT(Sheet1!A107," --&gt; ",Sheet1!J107)</f>
        <v>704-48-3927 --&gt; 931.035</v>
      </c>
      <c r="I107" s="13" t="str">
        <f>_xlfn.CONCAT(Sheet1!C107,"_",TEXT(Sheet1!K107, "m/d/yyyy"))</f>
        <v>Yangon_1/12/2019</v>
      </c>
      <c r="J107" s="13" t="str">
        <f>IF(Sheet1!I107=Sheet1!N107*0.05,"Valid","Error")</f>
        <v>Valid</v>
      </c>
      <c r="K107" s="13" t="str">
        <f>IF(Sheet1!N107=Sheet1!G107*Sheet1!H107,"True","False")</f>
        <v>True</v>
      </c>
      <c r="L107" s="13" t="b">
        <v>1</v>
      </c>
      <c r="M107" s="9" t="b">
        <f>ISNUMBER(Sheet1!J107)</f>
        <v>1</v>
      </c>
      <c r="N107" s="13" t="str">
        <f>IF(Sheet1!B107="A","Branch A",IF(Sheet1!B107="B","Branch B","Other Branch"))</f>
        <v>Branch A</v>
      </c>
      <c r="O107" s="13" t="str">
        <f>IF(Sheet1!M107="Credit card","Credit Payment","Other")</f>
        <v>Other</v>
      </c>
      <c r="P107" s="13" t="str">
        <f>IF(Sheet1!O107&gt;7,"Yes","No")</f>
        <v>Yes</v>
      </c>
    </row>
    <row r="108" spans="1:16">
      <c r="E108" s="13" t="str">
        <v>628</v>
      </c>
      <c r="F108" s="13" t="str">
        <v>3388</v>
      </c>
      <c r="G108" s="13" t="str">
        <v>34</v>
      </c>
      <c r="H108" s="13" t="str">
        <f>_xlfn.CONCAT(Sheet1!A108," --&gt; ",Sheet1!J108)</f>
        <v>628-34-3388 --&gt; 172.494</v>
      </c>
      <c r="I108" s="13" t="str">
        <f>_xlfn.CONCAT(Sheet1!C108,"_",TEXT(Sheet1!K108, "m/d/yyyy"))</f>
        <v>Naypyitaw_1/5/2019</v>
      </c>
      <c r="J108" s="13" t="str">
        <f>IF(Sheet1!I108=Sheet1!N108*0.05,"Valid","Error")</f>
        <v>Valid</v>
      </c>
      <c r="K108" s="13" t="str">
        <f>IF(Sheet1!N108=Sheet1!G108*Sheet1!H108,"True","False")</f>
        <v>True</v>
      </c>
      <c r="L108" s="13" t="b">
        <v>1</v>
      </c>
      <c r="M108" s="9" t="b">
        <f>ISNUMBER(Sheet1!J108)</f>
        <v>1</v>
      </c>
      <c r="N108" s="13" t="str">
        <f>IF(Sheet1!B108="A","Branch A",IF(Sheet1!B108="B","Branch B","Other Branch"))</f>
        <v>Other Branch</v>
      </c>
      <c r="O108" s="13" t="str">
        <f>IF(Sheet1!M108="Credit card","Credit Payment","Other")</f>
        <v>Credit Payment</v>
      </c>
      <c r="P108" s="13" t="str">
        <f>IF(Sheet1!O108&gt;7,"Yes","No")</f>
        <v>Yes</v>
      </c>
    </row>
    <row r="109" spans="1:16">
      <c r="E109" s="13" t="str">
        <v>630</v>
      </c>
      <c r="F109" s="13" t="str">
        <v>5166</v>
      </c>
      <c r="G109" s="13" t="str">
        <v>74</v>
      </c>
      <c r="H109" s="13" t="str">
        <f>_xlfn.CONCAT(Sheet1!A109," --&gt; ",Sheet1!J109)</f>
        <v>630-74-5166 --&gt; 391.419</v>
      </c>
      <c r="I109" s="13" t="str">
        <f>_xlfn.CONCAT(Sheet1!C109,"_",TEXT(Sheet1!K109, "m/d/yyyy"))</f>
        <v>Yangon_3/22/2019</v>
      </c>
      <c r="J109" s="13" t="str">
        <f>IF(Sheet1!I109=Sheet1!N109*0.05,"Valid","Error")</f>
        <v>Valid</v>
      </c>
      <c r="K109" s="13" t="str">
        <f>IF(Sheet1!N109=Sheet1!G109*Sheet1!H109,"True","False")</f>
        <v>True</v>
      </c>
      <c r="L109" s="13" t="b">
        <v>1</v>
      </c>
      <c r="M109" s="9" t="b">
        <f>ISNUMBER(Sheet1!J109)</f>
        <v>1</v>
      </c>
      <c r="N109" s="13" t="str">
        <f>IF(Sheet1!B109="A","Branch A",IF(Sheet1!B109="B","Branch B","Other Branch"))</f>
        <v>Branch A</v>
      </c>
      <c r="O109" s="13" t="str">
        <f>IF(Sheet1!M109="Credit card","Credit Payment","Other")</f>
        <v>Other</v>
      </c>
      <c r="P109" s="13" t="str">
        <f>IF(Sheet1!O109&gt;7,"Yes","No")</f>
        <v>Yes</v>
      </c>
    </row>
    <row r="110" spans="1:16">
      <c r="E110" s="13" t="str">
        <v>588</v>
      </c>
      <c r="F110" s="13" t="str">
        <v>7461</v>
      </c>
      <c r="G110" s="13" t="str">
        <v>01</v>
      </c>
      <c r="H110" s="13" t="str">
        <f>_xlfn.CONCAT(Sheet1!A110," --&gt; ",Sheet1!J110)</f>
        <v>588-01-7461 --&gt; 321.111</v>
      </c>
      <c r="I110" s="13" t="str">
        <f>_xlfn.CONCAT(Sheet1!C110,"_",TEXT(Sheet1!K110, "m/d/yyyy"))</f>
        <v>Naypyitaw_3/24/2019</v>
      </c>
      <c r="J110" s="13" t="str">
        <f>IF(Sheet1!I110=Sheet1!N110*0.05,"Valid","Error")</f>
        <v>Valid</v>
      </c>
      <c r="K110" s="13" t="str">
        <f>IF(Sheet1!N110=Sheet1!G110*Sheet1!H110,"True","False")</f>
        <v>True</v>
      </c>
      <c r="L110" s="13" t="b">
        <v>1</v>
      </c>
      <c r="M110" s="9" t="b">
        <f>ISNUMBER(Sheet1!J110)</f>
        <v>1</v>
      </c>
      <c r="N110" s="13" t="str">
        <f>IF(Sheet1!B110="A","Branch A",IF(Sheet1!B110="B","Branch B","Other Branch"))</f>
        <v>Other Branch</v>
      </c>
      <c r="O110" s="13" t="str">
        <f>IF(Sheet1!M110="Credit card","Credit Payment","Other")</f>
        <v>Other</v>
      </c>
      <c r="P110" s="13" t="str">
        <f>IF(Sheet1!O110&gt;7,"Yes","No")</f>
        <v>No</v>
      </c>
    </row>
    <row r="111" spans="1:16">
      <c r="E111" s="13" t="str">
        <v>861</v>
      </c>
      <c r="F111" s="13" t="str">
        <v>0145</v>
      </c>
      <c r="G111" s="13" t="str">
        <v>77</v>
      </c>
      <c r="H111" s="13" t="str">
        <f>_xlfn.CONCAT(Sheet1!A111," --&gt; ",Sheet1!J111)</f>
        <v>861-77-0145 --&gt; 860.685</v>
      </c>
      <c r="I111" s="13" t="str">
        <f>_xlfn.CONCAT(Sheet1!C111,"_",TEXT(Sheet1!K111, "m/d/yyyy"))</f>
        <v>Naypyitaw_3/3/2019</v>
      </c>
      <c r="J111" s="13" t="str">
        <f>IF(Sheet1!I111=Sheet1!N111*0.05,"Valid","Error")</f>
        <v>Valid</v>
      </c>
      <c r="K111" s="13" t="str">
        <f>IF(Sheet1!N111=Sheet1!G111*Sheet1!H111,"True","False")</f>
        <v>True</v>
      </c>
      <c r="L111" s="13" t="b">
        <v>1</v>
      </c>
      <c r="M111" s="9" t="b">
        <f>ISNUMBER(Sheet1!J111)</f>
        <v>1</v>
      </c>
      <c r="N111" s="13" t="str">
        <f>IF(Sheet1!B111="A","Branch A",IF(Sheet1!B111="B","Branch B","Other Branch"))</f>
        <v>Other Branch</v>
      </c>
      <c r="O111" s="13" t="str">
        <f>IF(Sheet1!M111="Credit card","Credit Payment","Other")</f>
        <v>Other</v>
      </c>
      <c r="P111" s="13" t="str">
        <f>IF(Sheet1!O111&gt;7,"Yes","No")</f>
        <v>Yes</v>
      </c>
    </row>
    <row r="112" spans="1:16">
      <c r="E112" s="13" t="str">
        <v>479</v>
      </c>
      <c r="F112" s="13" t="str">
        <v>8945</v>
      </c>
      <c r="G112" s="13" t="str">
        <v>26</v>
      </c>
      <c r="H112" s="13" t="str">
        <f>_xlfn.CONCAT(Sheet1!A112," --&gt; ",Sheet1!J112)</f>
        <v>479-26-8945 --&gt; 34.629</v>
      </c>
      <c r="I112" s="13" t="str">
        <f>_xlfn.CONCAT(Sheet1!C112,"_",TEXT(Sheet1!K112, "m/d/yyyy"))</f>
        <v>Mandalay_2/5/2019</v>
      </c>
      <c r="J112" s="13" t="str">
        <f>IF(Sheet1!I112=Sheet1!N112*0.05,"Valid","Error")</f>
        <v>Valid</v>
      </c>
      <c r="K112" s="13" t="str">
        <f>IF(Sheet1!N112=Sheet1!G112*Sheet1!H112,"True","False")</f>
        <v>True</v>
      </c>
      <c r="L112" s="13" t="b">
        <v>1</v>
      </c>
      <c r="M112" s="9" t="b">
        <f>ISNUMBER(Sheet1!J112)</f>
        <v>1</v>
      </c>
      <c r="N112" s="13" t="str">
        <f>IF(Sheet1!B112="A","Branch A",IF(Sheet1!B112="B","Branch B","Other Branch"))</f>
        <v>Branch B</v>
      </c>
      <c r="O112" s="13" t="str">
        <f>IF(Sheet1!M112="Credit card","Credit Payment","Other")</f>
        <v>Other</v>
      </c>
      <c r="P112" s="13" t="str">
        <f>IF(Sheet1!O112&gt;7,"Yes","No")</f>
        <v>No</v>
      </c>
    </row>
    <row r="113" spans="5:16">
      <c r="E113" s="13" t="str">
        <v>210</v>
      </c>
      <c r="F113" s="13" t="str">
        <v>5886</v>
      </c>
      <c r="G113" s="13" t="str">
        <v>67</v>
      </c>
      <c r="H113" s="13" t="str">
        <f>_xlfn.CONCAT(Sheet1!A113," --&gt; ",Sheet1!J113)</f>
        <v>210-67-5886 --&gt; 309.3615</v>
      </c>
      <c r="I113" s="13" t="str">
        <f>_xlfn.CONCAT(Sheet1!C113,"_",TEXT(Sheet1!K113, "m/d/yyyy"))</f>
        <v>Naypyitaw_2/5/2019</v>
      </c>
      <c r="J113" s="13" t="str">
        <f>IF(Sheet1!I113=Sheet1!N113*0.05,"Valid","Error")</f>
        <v>Valid</v>
      </c>
      <c r="K113" s="13" t="str">
        <f>IF(Sheet1!N113=Sheet1!G113*Sheet1!H113,"True","False")</f>
        <v>True</v>
      </c>
      <c r="L113" s="13" t="b">
        <v>1</v>
      </c>
      <c r="M113" s="9" t="b">
        <f>ISNUMBER(Sheet1!J113)</f>
        <v>1</v>
      </c>
      <c r="N113" s="13" t="str">
        <f>IF(Sheet1!B113="A","Branch A",IF(Sheet1!B113="B","Branch B","Other Branch"))</f>
        <v>Other Branch</v>
      </c>
      <c r="O113" s="13" t="str">
        <f>IF(Sheet1!M113="Credit card","Credit Payment","Other")</f>
        <v>Credit Payment</v>
      </c>
      <c r="P113" s="13" t="str">
        <f>IF(Sheet1!O113&gt;7,"Yes","No")</f>
        <v>Yes</v>
      </c>
    </row>
    <row r="114" spans="5:16">
      <c r="E114" s="13" t="str">
        <v>227</v>
      </c>
      <c r="F114" s="13" t="str">
        <v>1148</v>
      </c>
      <c r="G114" s="13" t="str">
        <v>78</v>
      </c>
      <c r="H114" s="13" t="str">
        <f>_xlfn.CONCAT(Sheet1!A114," --&gt; ",Sheet1!J114)</f>
        <v>227-78-1148 --&gt; 535.374</v>
      </c>
      <c r="I114" s="13" t="str">
        <f>_xlfn.CONCAT(Sheet1!C114,"_",TEXT(Sheet1!K114, "m/d/yyyy"))</f>
        <v>Mandalay_2/15/2019</v>
      </c>
      <c r="J114" s="13" t="str">
        <f>IF(Sheet1!I114=Sheet1!N114*0.05,"Valid","Error")</f>
        <v>Valid</v>
      </c>
      <c r="K114" s="13" t="str">
        <f>IF(Sheet1!N114=Sheet1!G114*Sheet1!H114,"True","False")</f>
        <v>True</v>
      </c>
      <c r="L114" s="13" t="b">
        <v>1</v>
      </c>
      <c r="M114" s="9" t="b">
        <f>ISNUMBER(Sheet1!J114)</f>
        <v>1</v>
      </c>
      <c r="N114" s="13" t="str">
        <f>IF(Sheet1!B114="A","Branch A",IF(Sheet1!B114="B","Branch B","Other Branch"))</f>
        <v>Branch B</v>
      </c>
      <c r="O114" s="13" t="str">
        <f>IF(Sheet1!M114="Credit card","Credit Payment","Other")</f>
        <v>Other</v>
      </c>
      <c r="P114" s="13" t="str">
        <f>IF(Sheet1!O114&gt;7,"Yes","No")</f>
        <v>Yes</v>
      </c>
    </row>
    <row r="115" spans="5:16">
      <c r="E115" s="13" t="str">
        <v>645</v>
      </c>
      <c r="F115" s="13" t="str">
        <v>1170</v>
      </c>
      <c r="G115" s="13" t="str">
        <v>44</v>
      </c>
      <c r="H115" s="13" t="str">
        <f>_xlfn.CONCAT(Sheet1!A115," --&gt; ",Sheet1!J115)</f>
        <v>645-44-1170 --&gt; 548.7615</v>
      </c>
      <c r="I115" s="13" t="str">
        <f>_xlfn.CONCAT(Sheet1!C115,"_",TEXT(Sheet1!K115, "m/d/yyyy"))</f>
        <v>Yangon_1/19/2019</v>
      </c>
      <c r="J115" s="13" t="str">
        <f>IF(Sheet1!I115=Sheet1!N115*0.05,"Valid","Error")</f>
        <v>Valid</v>
      </c>
      <c r="K115" s="13" t="str">
        <f>IF(Sheet1!N115=Sheet1!G115*Sheet1!H115,"True","False")</f>
        <v>True</v>
      </c>
      <c r="L115" s="13" t="b">
        <v>1</v>
      </c>
      <c r="M115" s="9" t="b">
        <f>ISNUMBER(Sheet1!J115)</f>
        <v>1</v>
      </c>
      <c r="N115" s="13" t="str">
        <f>IF(Sheet1!B115="A","Branch A",IF(Sheet1!B115="B","Branch B","Other Branch"))</f>
        <v>Branch A</v>
      </c>
      <c r="O115" s="13" t="str">
        <f>IF(Sheet1!M115="Credit card","Credit Payment","Other")</f>
        <v>Other</v>
      </c>
      <c r="P115" s="13" t="str">
        <f>IF(Sheet1!O115&gt;7,"Yes","No")</f>
        <v>No</v>
      </c>
    </row>
    <row r="116" spans="5:16">
      <c r="E116" s="13" t="str">
        <v>237</v>
      </c>
      <c r="F116" s="13" t="str">
        <v>6122</v>
      </c>
      <c r="G116" s="13" t="str">
        <v>01</v>
      </c>
      <c r="H116" s="13" t="str">
        <f>_xlfn.CONCAT(Sheet1!A116," --&gt; ",Sheet1!J116)</f>
        <v>237-01-6122 --&gt; 763.4655</v>
      </c>
      <c r="I116" s="13" t="str">
        <f>_xlfn.CONCAT(Sheet1!C116,"_",TEXT(Sheet1!K116, "m/d/yyyy"))</f>
        <v>Naypyitaw_2/1/2019</v>
      </c>
      <c r="J116" s="13" t="str">
        <f>IF(Sheet1!I116=Sheet1!N116*0.05,"Valid","Error")</f>
        <v>Valid</v>
      </c>
      <c r="K116" s="13" t="str">
        <f>IF(Sheet1!N116=Sheet1!G116*Sheet1!H116,"True","False")</f>
        <v>True</v>
      </c>
      <c r="L116" s="13" t="b">
        <v>1</v>
      </c>
      <c r="M116" s="9" t="b">
        <f>ISNUMBER(Sheet1!J116)</f>
        <v>1</v>
      </c>
      <c r="N116" s="13" t="str">
        <f>IF(Sheet1!B116="A","Branch A",IF(Sheet1!B116="B","Branch B","Other Branch"))</f>
        <v>Other Branch</v>
      </c>
      <c r="O116" s="13" t="str">
        <f>IF(Sheet1!M116="Credit card","Credit Payment","Other")</f>
        <v>Credit Payment</v>
      </c>
      <c r="P116" s="13" t="str">
        <f>IF(Sheet1!O116&gt;7,"Yes","No")</f>
        <v>Yes</v>
      </c>
    </row>
    <row r="117" spans="5:16">
      <c r="E117" s="13" t="str">
        <v>225</v>
      </c>
      <c r="F117" s="13" t="str">
        <v>1496</v>
      </c>
      <c r="G117" s="13" t="str">
        <v>98</v>
      </c>
      <c r="H117" s="13" t="str">
        <f>_xlfn.CONCAT(Sheet1!A117," --&gt; ",Sheet1!J117)</f>
        <v>225-98-1496 --&gt; 85.113</v>
      </c>
      <c r="I117" s="13" t="str">
        <f>_xlfn.CONCAT(Sheet1!C117,"_",TEXT(Sheet1!K117, "m/d/yyyy"))</f>
        <v>Naypyitaw_3/2/2019</v>
      </c>
      <c r="J117" s="13" t="str">
        <f>IF(Sheet1!I117=Sheet1!N117*0.05,"Valid","Error")</f>
        <v>Valid</v>
      </c>
      <c r="K117" s="13" t="str">
        <f>IF(Sheet1!N117=Sheet1!G117*Sheet1!H117,"True","False")</f>
        <v>True</v>
      </c>
      <c r="L117" s="13" t="b">
        <v>1</v>
      </c>
      <c r="M117" s="9" t="b">
        <f>ISNUMBER(Sheet1!J117)</f>
        <v>1</v>
      </c>
      <c r="N117" s="13" t="str">
        <f>IF(Sheet1!B117="A","Branch A",IF(Sheet1!B117="B","Branch B","Other Branch"))</f>
        <v>Other Branch</v>
      </c>
      <c r="O117" s="13" t="str">
        <f>IF(Sheet1!M117="Credit card","Credit Payment","Other")</f>
        <v>Credit Payment</v>
      </c>
      <c r="P117" s="13" t="str">
        <f>IF(Sheet1!O117&gt;7,"Yes","No")</f>
        <v>Yes</v>
      </c>
    </row>
    <row r="118" spans="5:16">
      <c r="E118" s="13" t="str">
        <v>291</v>
      </c>
      <c r="F118" s="13" t="str">
        <v>1427</v>
      </c>
      <c r="G118" s="13" t="str">
        <v>32</v>
      </c>
      <c r="H118" s="13" t="str">
        <f>_xlfn.CONCAT(Sheet1!A118," --&gt; ",Sheet1!J118)</f>
        <v>291-32-1427 --&gt; 115.185</v>
      </c>
      <c r="I118" s="13" t="str">
        <f>_xlfn.CONCAT(Sheet1!C118,"_",TEXT(Sheet1!K118, "m/d/yyyy"))</f>
        <v>Mandalay_3/5/2019</v>
      </c>
      <c r="J118" s="13" t="str">
        <f>IF(Sheet1!I118=Sheet1!N118*0.05,"Valid","Error")</f>
        <v>Valid</v>
      </c>
      <c r="K118" s="13" t="str">
        <f>IF(Sheet1!N118=Sheet1!G118*Sheet1!H118,"True","False")</f>
        <v>True</v>
      </c>
      <c r="L118" s="13" t="b">
        <v>1</v>
      </c>
      <c r="M118" s="9" t="b">
        <f>ISNUMBER(Sheet1!J118)</f>
        <v>1</v>
      </c>
      <c r="N118" s="13" t="str">
        <f>IF(Sheet1!B118="A","Branch A",IF(Sheet1!B118="B","Branch B","Other Branch"))</f>
        <v>Branch B</v>
      </c>
      <c r="O118" s="13" t="str">
        <f>IF(Sheet1!M118="Credit card","Credit Payment","Other")</f>
        <v>Other</v>
      </c>
      <c r="P118" s="13" t="str">
        <f>IF(Sheet1!O118&gt;7,"Yes","No")</f>
        <v>No</v>
      </c>
    </row>
    <row r="119" spans="5:16">
      <c r="E119" s="13" t="str">
        <v>659</v>
      </c>
      <c r="F119" s="13" t="str">
        <v>8956</v>
      </c>
      <c r="G119" s="13" t="str">
        <v>65</v>
      </c>
      <c r="H119" s="13" t="str">
        <f>_xlfn.CONCAT(Sheet1!A119," --&gt; ",Sheet1!J119)</f>
        <v>659-65-8956 --&gt; 53.928</v>
      </c>
      <c r="I119" s="13" t="str">
        <f>_xlfn.CONCAT(Sheet1!C119,"_",TEXT(Sheet1!K119, "m/d/yyyy"))</f>
        <v>Mandalay_1/16/2019</v>
      </c>
      <c r="J119" s="13" t="str">
        <f>IF(Sheet1!I119=Sheet1!N119*0.05,"Valid","Error")</f>
        <v>Valid</v>
      </c>
      <c r="K119" s="13" t="str">
        <f>IF(Sheet1!N119=Sheet1!G119*Sheet1!H119,"True","False")</f>
        <v>True</v>
      </c>
      <c r="L119" s="13" t="b">
        <v>1</v>
      </c>
      <c r="M119" s="9" t="b">
        <f>ISNUMBER(Sheet1!J119)</f>
        <v>1</v>
      </c>
      <c r="N119" s="13" t="str">
        <f>IF(Sheet1!B119="A","Branch A",IF(Sheet1!B119="B","Branch B","Other Branch"))</f>
        <v>Branch B</v>
      </c>
      <c r="O119" s="13" t="str">
        <f>IF(Sheet1!M119="Credit card","Credit Payment","Other")</f>
        <v>Other</v>
      </c>
      <c r="P119" s="13" t="str">
        <f>IF(Sheet1!O119&gt;7,"Yes","No")</f>
        <v>No</v>
      </c>
    </row>
    <row r="120" spans="5:16">
      <c r="E120" s="13" t="str">
        <v>642</v>
      </c>
      <c r="F120" s="13" t="str">
        <v>2990</v>
      </c>
      <c r="G120" s="13" t="str">
        <v>32</v>
      </c>
      <c r="H120" s="13" t="str">
        <f>_xlfn.CONCAT(Sheet1!A120," --&gt; ",Sheet1!J120)</f>
        <v>642-32-2990 --&gt; 115.08</v>
      </c>
      <c r="I120" s="13" t="str">
        <f>_xlfn.CONCAT(Sheet1!C120,"_",TEXT(Sheet1!K120, "m/d/yyyy"))</f>
        <v>Yangon_2/2/2019</v>
      </c>
      <c r="J120" s="13" t="str">
        <f>IF(Sheet1!I120=Sheet1!N120*0.05,"Valid","Error")</f>
        <v>Valid</v>
      </c>
      <c r="K120" s="13" t="str">
        <f>IF(Sheet1!N120=Sheet1!G120*Sheet1!H120,"True","False")</f>
        <v>True</v>
      </c>
      <c r="L120" s="13" t="b">
        <v>1</v>
      </c>
      <c r="M120" s="9" t="b">
        <f>ISNUMBER(Sheet1!J120)</f>
        <v>1</v>
      </c>
      <c r="N120" s="13" t="str">
        <f>IF(Sheet1!B120="A","Branch A",IF(Sheet1!B120="B","Branch B","Other Branch"))</f>
        <v>Branch A</v>
      </c>
      <c r="O120" s="13" t="str">
        <f>IF(Sheet1!M120="Credit card","Credit Payment","Other")</f>
        <v>Other</v>
      </c>
      <c r="P120" s="13" t="str">
        <f>IF(Sheet1!O120&gt;7,"Yes","No")</f>
        <v>No</v>
      </c>
    </row>
    <row r="121" spans="5:16">
      <c r="E121" s="13" t="str">
        <v>378</v>
      </c>
      <c r="F121" s="13" t="str">
        <v>2715</v>
      </c>
      <c r="G121" s="13" t="str">
        <v>24</v>
      </c>
      <c r="H121" s="13" t="str">
        <f>_xlfn.CONCAT(Sheet1!A121," --&gt; ",Sheet1!J121)</f>
        <v>378-24-2715 --&gt; 112.224</v>
      </c>
      <c r="I121" s="13" t="str">
        <f>_xlfn.CONCAT(Sheet1!C121,"_",TEXT(Sheet1!K121, "m/d/yyyy"))</f>
        <v>Mandalay_1/20/2019</v>
      </c>
      <c r="J121" s="13" t="str">
        <f>IF(Sheet1!I121=Sheet1!N121*0.05,"Valid","Error")</f>
        <v>Valid</v>
      </c>
      <c r="K121" s="13" t="str">
        <f>IF(Sheet1!N121=Sheet1!G121*Sheet1!H121,"True","False")</f>
        <v>True</v>
      </c>
      <c r="L121" s="13" t="b">
        <v>1</v>
      </c>
      <c r="M121" s="9" t="b">
        <f>ISNUMBER(Sheet1!J121)</f>
        <v>1</v>
      </c>
      <c r="N121" s="13" t="str">
        <f>IF(Sheet1!B121="A","Branch A",IF(Sheet1!B121="B","Branch B","Other Branch"))</f>
        <v>Branch B</v>
      </c>
      <c r="O121" s="13" t="str">
        <f>IF(Sheet1!M121="Credit card","Credit Payment","Other")</f>
        <v>Other</v>
      </c>
      <c r="P121" s="13" t="str">
        <f>IF(Sheet1!O121&gt;7,"Yes","No")</f>
        <v>No</v>
      </c>
    </row>
    <row r="122" spans="5:16">
      <c r="E122" s="13" t="str">
        <v>638</v>
      </c>
      <c r="F122" s="13" t="str">
        <v>7125</v>
      </c>
      <c r="G122" s="13" t="str">
        <v>60</v>
      </c>
      <c r="H122" s="13" t="str">
        <f>_xlfn.CONCAT(Sheet1!A122," --&gt; ",Sheet1!J122)</f>
        <v>638-60-7125 --&gt; 836.304</v>
      </c>
      <c r="I122" s="13" t="str">
        <f>_xlfn.CONCAT(Sheet1!C122,"_",TEXT(Sheet1!K122, "m/d/yyyy"))</f>
        <v>Yangon_2/14/2019</v>
      </c>
      <c r="J122" s="13" t="str">
        <f>IF(Sheet1!I122=Sheet1!N122*0.05,"Valid","Error")</f>
        <v>Valid</v>
      </c>
      <c r="K122" s="13" t="str">
        <f>IF(Sheet1!N122=Sheet1!G122*Sheet1!H122,"True","False")</f>
        <v>True</v>
      </c>
      <c r="L122" s="13" t="b">
        <v>1</v>
      </c>
      <c r="M122" s="9" t="b">
        <f>ISNUMBER(Sheet1!J122)</f>
        <v>1</v>
      </c>
      <c r="N122" s="13" t="str">
        <f>IF(Sheet1!B122="A","Branch A",IF(Sheet1!B122="B","Branch B","Other Branch"))</f>
        <v>Branch A</v>
      </c>
      <c r="O122" s="13" t="str">
        <f>IF(Sheet1!M122="Credit card","Credit Payment","Other")</f>
        <v>Credit Payment</v>
      </c>
      <c r="P122" s="13" t="str">
        <f>IF(Sheet1!O122&gt;7,"Yes","No")</f>
        <v>No</v>
      </c>
    </row>
    <row r="123" spans="5:16">
      <c r="E123" s="13" t="str">
        <v>659</v>
      </c>
      <c r="F123" s="13" t="str">
        <v>1684</v>
      </c>
      <c r="G123" s="13" t="str">
        <v>36</v>
      </c>
      <c r="H123" s="13" t="str">
        <f>_xlfn.CONCAT(Sheet1!A123," --&gt; ",Sheet1!J123)</f>
        <v>659-36-1684 --&gt; 419.832</v>
      </c>
      <c r="I123" s="13" t="str">
        <f>_xlfn.CONCAT(Sheet1!C123,"_",TEXT(Sheet1!K123, "m/d/yyyy"))</f>
        <v>Naypyitaw_1/12/2019</v>
      </c>
      <c r="J123" s="13" t="str">
        <f>IF(Sheet1!I123=Sheet1!N123*0.05,"Valid","Error")</f>
        <v>Valid</v>
      </c>
      <c r="K123" s="13" t="str">
        <f>IF(Sheet1!N123=Sheet1!G123*Sheet1!H123,"True","False")</f>
        <v>True</v>
      </c>
      <c r="L123" s="13" t="b">
        <v>1</v>
      </c>
      <c r="M123" s="9" t="b">
        <f>ISNUMBER(Sheet1!J123)</f>
        <v>1</v>
      </c>
      <c r="N123" s="13" t="str">
        <f>IF(Sheet1!B123="A","Branch A",IF(Sheet1!B123="B","Branch B","Other Branch"))</f>
        <v>Other Branch</v>
      </c>
      <c r="O123" s="13" t="str">
        <f>IF(Sheet1!M123="Credit card","Credit Payment","Other")</f>
        <v>Credit Payment</v>
      </c>
      <c r="P123" s="13" t="str">
        <f>IF(Sheet1!O123&gt;7,"Yes","No")</f>
        <v>No</v>
      </c>
    </row>
    <row r="124" spans="5:16">
      <c r="E124" s="13" t="str">
        <v>219</v>
      </c>
      <c r="F124" s="13" t="str">
        <v>9386</v>
      </c>
      <c r="G124" s="13" t="str">
        <v>22</v>
      </c>
      <c r="H124" s="13" t="str">
        <f>_xlfn.CONCAT(Sheet1!A124," --&gt; ",Sheet1!J124)</f>
        <v>219-22-9386 --&gt; 944.622</v>
      </c>
      <c r="I124" s="13" t="str">
        <f>_xlfn.CONCAT(Sheet1!C124,"_",TEXT(Sheet1!K124, "m/d/yyyy"))</f>
        <v>Mandalay_3/9/2019</v>
      </c>
      <c r="J124" s="13" t="str">
        <f>IF(Sheet1!I124=Sheet1!N124*0.05,"Valid","Error")</f>
        <v>Valid</v>
      </c>
      <c r="K124" s="13" t="str">
        <f>IF(Sheet1!N124=Sheet1!G124*Sheet1!H124,"True","False")</f>
        <v>True</v>
      </c>
      <c r="L124" s="13" t="b">
        <v>1</v>
      </c>
      <c r="M124" s="9" t="b">
        <f>ISNUMBER(Sheet1!J124)</f>
        <v>1</v>
      </c>
      <c r="N124" s="13" t="str">
        <f>IF(Sheet1!B124="A","Branch A",IF(Sheet1!B124="B","Branch B","Other Branch"))</f>
        <v>Branch B</v>
      </c>
      <c r="O124" s="13" t="str">
        <f>IF(Sheet1!M124="Credit card","Credit Payment","Other")</f>
        <v>Credit Payment</v>
      </c>
      <c r="P124" s="13" t="str">
        <f>IF(Sheet1!O124&gt;7,"Yes","No")</f>
        <v>No</v>
      </c>
    </row>
    <row r="125" spans="5:16">
      <c r="E125" s="13" t="str">
        <v>336</v>
      </c>
      <c r="F125" s="13" t="str">
        <v>2147</v>
      </c>
      <c r="G125" s="13" t="str">
        <v>78</v>
      </c>
      <c r="H125" s="13" t="str">
        <f>_xlfn.CONCAT(Sheet1!A125," --&gt; ",Sheet1!J125)</f>
        <v>336-78-2147 --&gt; 536.844</v>
      </c>
      <c r="I125" s="13" t="str">
        <f>_xlfn.CONCAT(Sheet1!C125,"_",TEXT(Sheet1!K125, "m/d/yyyy"))</f>
        <v>Naypyitaw_3/13/2019</v>
      </c>
      <c r="J125" s="13" t="str">
        <f>IF(Sheet1!I125=Sheet1!N125*0.05,"Valid","Error")</f>
        <v>Valid</v>
      </c>
      <c r="K125" s="13" t="str">
        <f>IF(Sheet1!N125=Sheet1!G125*Sheet1!H125,"True","False")</f>
        <v>True</v>
      </c>
      <c r="L125" s="13" t="b">
        <v>1</v>
      </c>
      <c r="M125" s="9" t="b">
        <f>ISNUMBER(Sheet1!J125)</f>
        <v>1</v>
      </c>
      <c r="N125" s="13" t="str">
        <f>IF(Sheet1!B125="A","Branch A",IF(Sheet1!B125="B","Branch B","Other Branch"))</f>
        <v>Other Branch</v>
      </c>
      <c r="O125" s="13" t="str">
        <f>IF(Sheet1!M125="Credit card","Credit Payment","Other")</f>
        <v>Credit Payment</v>
      </c>
      <c r="P125" s="13" t="str">
        <f>IF(Sheet1!O125&gt;7,"Yes","No")</f>
        <v>No</v>
      </c>
    </row>
    <row r="126" spans="5:16">
      <c r="E126" s="13" t="str">
        <v>268</v>
      </c>
      <c r="F126" s="13" t="str">
        <v>6179</v>
      </c>
      <c r="G126" s="13" t="str">
        <v>27</v>
      </c>
      <c r="H126" s="13" t="str">
        <f>_xlfn.CONCAT(Sheet1!A126," --&gt; ",Sheet1!J126)</f>
        <v>268-27-6179 --&gt; 474.348</v>
      </c>
      <c r="I126" s="13" t="str">
        <f>_xlfn.CONCAT(Sheet1!C126,"_",TEXT(Sheet1!K126, "m/d/yyyy"))</f>
        <v>Mandalay_3/9/2019</v>
      </c>
      <c r="J126" s="13" t="str">
        <f>IF(Sheet1!I126=Sheet1!N126*0.05,"Valid","Error")</f>
        <v>Valid</v>
      </c>
      <c r="K126" s="13" t="str">
        <f>IF(Sheet1!N126=Sheet1!G126*Sheet1!H126,"True","False")</f>
        <v>True</v>
      </c>
      <c r="L126" s="13" t="b">
        <v>1</v>
      </c>
      <c r="M126" s="9" t="b">
        <f>ISNUMBER(Sheet1!J126)</f>
        <v>1</v>
      </c>
      <c r="N126" s="13" t="str">
        <f>IF(Sheet1!B126="A","Branch A",IF(Sheet1!B126="B","Branch B","Other Branch"))</f>
        <v>Branch B</v>
      </c>
      <c r="O126" s="13" t="str">
        <f>IF(Sheet1!M126="Credit card","Credit Payment","Other")</f>
        <v>Other</v>
      </c>
      <c r="P126" s="13" t="str">
        <f>IF(Sheet1!O126&gt;7,"Yes","No")</f>
        <v>Yes</v>
      </c>
    </row>
    <row r="127" spans="5:16">
      <c r="E127" s="13" t="str">
        <v>668</v>
      </c>
      <c r="F127" s="13" t="str">
        <v>8900</v>
      </c>
      <c r="G127" s="13" t="str">
        <v>90</v>
      </c>
      <c r="H127" s="13" t="str">
        <f>_xlfn.CONCAT(Sheet1!A127," --&gt; ",Sheet1!J127)</f>
        <v>668-90-8900 --&gt; 688.6215</v>
      </c>
      <c r="I127" s="13" t="str">
        <f>_xlfn.CONCAT(Sheet1!C127,"_",TEXT(Sheet1!K127, "m/d/yyyy"))</f>
        <v>Yangon_3/10/2019</v>
      </c>
      <c r="J127" s="13" t="str">
        <f>IF(Sheet1!I127=Sheet1!N127*0.05,"Valid","Error")</f>
        <v>Valid</v>
      </c>
      <c r="K127" s="13" t="str">
        <f>IF(Sheet1!N127=Sheet1!G127*Sheet1!H127,"True","False")</f>
        <v>True</v>
      </c>
      <c r="L127" s="13" t="b">
        <v>1</v>
      </c>
      <c r="M127" s="9" t="b">
        <f>ISNUMBER(Sheet1!J127)</f>
        <v>1</v>
      </c>
      <c r="N127" s="13" t="str">
        <f>IF(Sheet1!B127="A","Branch A",IF(Sheet1!B127="B","Branch B","Other Branch"))</f>
        <v>Branch A</v>
      </c>
      <c r="O127" s="13" t="str">
        <f>IF(Sheet1!M127="Credit card","Credit Payment","Other")</f>
        <v>Credit Payment</v>
      </c>
      <c r="P127" s="13" t="str">
        <f>IF(Sheet1!O127&gt;7,"Yes","No")</f>
        <v>No</v>
      </c>
    </row>
    <row r="128" spans="5:16">
      <c r="E128" s="13" t="str">
        <v>870</v>
      </c>
      <c r="F128" s="13" t="str">
        <v>3162</v>
      </c>
      <c r="G128" s="13" t="str">
        <v>54</v>
      </c>
      <c r="H128" s="13" t="str">
        <f>_xlfn.CONCAT(Sheet1!A128," --&gt; ",Sheet1!J128)</f>
        <v>870-54-3162 --&gt; 169.3125</v>
      </c>
      <c r="I128" s="13" t="str">
        <f>_xlfn.CONCAT(Sheet1!C128,"_",TEXT(Sheet1!K128, "m/d/yyyy"))</f>
        <v>Yangon_1/27/2019</v>
      </c>
      <c r="J128" s="13" t="str">
        <f>IF(Sheet1!I128=Sheet1!N128*0.05,"Valid","Error")</f>
        <v>Valid</v>
      </c>
      <c r="K128" s="13" t="str">
        <f>IF(Sheet1!N128=Sheet1!G128*Sheet1!H128,"True","False")</f>
        <v>True</v>
      </c>
      <c r="L128" s="13" t="b">
        <v>1</v>
      </c>
      <c r="M128" s="9" t="b">
        <f>ISNUMBER(Sheet1!J128)</f>
        <v>1</v>
      </c>
      <c r="N128" s="13" t="str">
        <f>IF(Sheet1!B128="A","Branch A",IF(Sheet1!B128="B","Branch B","Other Branch"))</f>
        <v>Branch A</v>
      </c>
      <c r="O128" s="13" t="str">
        <f>IF(Sheet1!M128="Credit card","Credit Payment","Other")</f>
        <v>Other</v>
      </c>
      <c r="P128" s="13" t="str">
        <f>IF(Sheet1!O128&gt;7,"Yes","No")</f>
        <v>Yes</v>
      </c>
    </row>
    <row r="129" spans="5:16">
      <c r="E129" s="13" t="str">
        <v>189</v>
      </c>
      <c r="F129" s="13" t="str">
        <v>9157</v>
      </c>
      <c r="G129" s="13" t="str">
        <v>08</v>
      </c>
      <c r="H129" s="13" t="str">
        <f>_xlfn.CONCAT(Sheet1!A129," --&gt; ",Sheet1!J129)</f>
        <v>189-08-9157 --&gt; 299.8485</v>
      </c>
      <c r="I129" s="13" t="str">
        <f>_xlfn.CONCAT(Sheet1!C129,"_",TEXT(Sheet1!K129, "m/d/yyyy"))</f>
        <v>Naypyitaw_1/8/2019</v>
      </c>
      <c r="J129" s="13" t="str">
        <f>IF(Sheet1!I129=Sheet1!N129*0.05,"Valid","Error")</f>
        <v>Valid</v>
      </c>
      <c r="K129" s="13" t="str">
        <f>IF(Sheet1!N129=Sheet1!G129*Sheet1!H129,"True","False")</f>
        <v>True</v>
      </c>
      <c r="L129" s="13" t="b">
        <v>1</v>
      </c>
      <c r="M129" s="9" t="b">
        <f>ISNUMBER(Sheet1!J129)</f>
        <v>1</v>
      </c>
      <c r="N129" s="13" t="str">
        <f>IF(Sheet1!B129="A","Branch A",IF(Sheet1!B129="B","Branch B","Other Branch"))</f>
        <v>Other Branch</v>
      </c>
      <c r="O129" s="13" t="str">
        <f>IF(Sheet1!M129="Credit card","Credit Payment","Other")</f>
        <v>Credit Payment</v>
      </c>
      <c r="P129" s="13" t="str">
        <f>IF(Sheet1!O129&gt;7,"Yes","No")</f>
        <v>No</v>
      </c>
    </row>
    <row r="130" spans="5:16">
      <c r="E130" s="13" t="str">
        <v>663</v>
      </c>
      <c r="F130" s="13" t="str">
        <v>9076</v>
      </c>
      <c r="G130" s="13" t="str">
        <v>86</v>
      </c>
      <c r="H130" s="13" t="str">
        <f>_xlfn.CONCAT(Sheet1!A130," --&gt; ",Sheet1!J130)</f>
        <v>663-86-9076 --&gt; 575.736</v>
      </c>
      <c r="I130" s="13" t="str">
        <f>_xlfn.CONCAT(Sheet1!C130,"_",TEXT(Sheet1!K130, "m/d/yyyy"))</f>
        <v>Naypyitaw_1/8/2019</v>
      </c>
      <c r="J130" s="13" t="str">
        <f>IF(Sheet1!I130=Sheet1!N130*0.05,"Valid","Error")</f>
        <v>Valid</v>
      </c>
      <c r="K130" s="13" t="str">
        <f>IF(Sheet1!N130=Sheet1!G130*Sheet1!H130,"True","False")</f>
        <v>True</v>
      </c>
      <c r="L130" s="13" t="b">
        <v>1</v>
      </c>
      <c r="M130" s="9" t="b">
        <f>ISNUMBER(Sheet1!J130)</f>
        <v>1</v>
      </c>
      <c r="N130" s="13" t="str">
        <f>IF(Sheet1!B130="A","Branch A",IF(Sheet1!B130="B","Branch B","Other Branch"))</f>
        <v>Other Branch</v>
      </c>
      <c r="O130" s="13" t="str">
        <f>IF(Sheet1!M130="Credit card","Credit Payment","Other")</f>
        <v>Other</v>
      </c>
      <c r="P130" s="13" t="str">
        <f>IF(Sheet1!O130&gt;7,"Yes","No")</f>
        <v>Yes</v>
      </c>
    </row>
    <row r="131" spans="5:16">
      <c r="E131" s="13" t="str">
        <v>549</v>
      </c>
      <c r="F131" s="13" t="str">
        <v>7482</v>
      </c>
      <c r="G131" s="13" t="str">
        <v>84</v>
      </c>
      <c r="H131" s="13" t="str">
        <f>_xlfn.CONCAT(Sheet1!A131," --&gt; ",Sheet1!J131)</f>
        <v>549-84-7482 --&gt; 853.146</v>
      </c>
      <c r="I131" s="13" t="str">
        <f>_xlfn.CONCAT(Sheet1!C131,"_",TEXT(Sheet1!K131, "m/d/yyyy"))</f>
        <v>Mandalay_2/8/2019</v>
      </c>
      <c r="J131" s="13" t="str">
        <f>IF(Sheet1!I131=Sheet1!N131*0.05,"Valid","Error")</f>
        <v>Valid</v>
      </c>
      <c r="K131" s="13" t="str">
        <f>IF(Sheet1!N131=Sheet1!G131*Sheet1!H131,"True","False")</f>
        <v>True</v>
      </c>
      <c r="L131" s="13" t="b">
        <v>1</v>
      </c>
      <c r="M131" s="9" t="b">
        <f>ISNUMBER(Sheet1!J131)</f>
        <v>1</v>
      </c>
      <c r="N131" s="13" t="str">
        <f>IF(Sheet1!B131="A","Branch A",IF(Sheet1!B131="B","Branch B","Other Branch"))</f>
        <v>Branch B</v>
      </c>
      <c r="O131" s="13" t="str">
        <f>IF(Sheet1!M131="Credit card","Credit Payment","Other")</f>
        <v>Other</v>
      </c>
      <c r="P131" s="13" t="str">
        <f>IF(Sheet1!O131&gt;7,"Yes","No")</f>
        <v>Yes</v>
      </c>
    </row>
    <row r="132" spans="5:16">
      <c r="E132" s="13" t="str">
        <v>191</v>
      </c>
      <c r="F132" s="13" t="str">
        <v>6171</v>
      </c>
      <c r="G132" s="13" t="str">
        <v>10</v>
      </c>
      <c r="H132" s="13" t="str">
        <f>_xlfn.CONCAT(Sheet1!A132," --&gt; ",Sheet1!J132)</f>
        <v>191-10-6171 --&gt; 291.207</v>
      </c>
      <c r="I132" s="13" t="str">
        <f>_xlfn.CONCAT(Sheet1!C132,"_",TEXT(Sheet1!K132, "m/d/yyyy"))</f>
        <v>Mandalay_1/25/2019</v>
      </c>
      <c r="J132" s="13" t="str">
        <f>IF(Sheet1!I132=Sheet1!N132*0.05,"Valid","Error")</f>
        <v>Valid</v>
      </c>
      <c r="K132" s="13" t="str">
        <f>IF(Sheet1!N132=Sheet1!G132*Sheet1!H132,"True","False")</f>
        <v>True</v>
      </c>
      <c r="L132" s="13" t="b">
        <v>1</v>
      </c>
      <c r="M132" s="9" t="b">
        <f>ISNUMBER(Sheet1!J132)</f>
        <v>1</v>
      </c>
      <c r="N132" s="13" t="str">
        <f>IF(Sheet1!B132="A","Branch A",IF(Sheet1!B132="B","Branch B","Other Branch"))</f>
        <v>Branch B</v>
      </c>
      <c r="O132" s="13" t="str">
        <f>IF(Sheet1!M132="Credit card","Credit Payment","Other")</f>
        <v>Other</v>
      </c>
      <c r="P132" s="13" t="str">
        <f>IF(Sheet1!O132&gt;7,"Yes","No")</f>
        <v>Yes</v>
      </c>
    </row>
    <row r="133" spans="5:16">
      <c r="E133" s="13" t="str">
        <v>802</v>
      </c>
      <c r="F133" s="13" t="str">
        <v>5316</v>
      </c>
      <c r="G133" s="13" t="str">
        <v>70</v>
      </c>
      <c r="H133" s="13" t="str">
        <f>_xlfn.CONCAT(Sheet1!A133," --&gt; ",Sheet1!J133)</f>
        <v>802-70-5316 --&gt; 580.419</v>
      </c>
      <c r="I133" s="13" t="str">
        <f>_xlfn.CONCAT(Sheet1!C133,"_",TEXT(Sheet1!K133, "m/d/yyyy"))</f>
        <v>Yangon_3/6/2019</v>
      </c>
      <c r="J133" s="13" t="str">
        <f>IF(Sheet1!I133=Sheet1!N133*0.05,"Valid","Error")</f>
        <v>Valid</v>
      </c>
      <c r="K133" s="13" t="str">
        <f>IF(Sheet1!N133=Sheet1!G133*Sheet1!H133,"True","False")</f>
        <v>True</v>
      </c>
      <c r="L133" s="13" t="b">
        <v>1</v>
      </c>
      <c r="M133" s="9" t="b">
        <f>ISNUMBER(Sheet1!J133)</f>
        <v>1</v>
      </c>
      <c r="N133" s="13" t="str">
        <f>IF(Sheet1!B133="A","Branch A",IF(Sheet1!B133="B","Branch B","Other Branch"))</f>
        <v>Branch A</v>
      </c>
      <c r="O133" s="13" t="str">
        <f>IF(Sheet1!M133="Credit card","Credit Payment","Other")</f>
        <v>Other</v>
      </c>
      <c r="P133" s="13" t="str">
        <f>IF(Sheet1!O133&gt;7,"Yes","No")</f>
        <v>Yes</v>
      </c>
    </row>
    <row r="134" spans="5:16">
      <c r="E134" s="13" t="str">
        <v>695</v>
      </c>
      <c r="F134" s="13" t="str">
        <v>0018</v>
      </c>
      <c r="G134" s="13" t="str">
        <v>51</v>
      </c>
      <c r="H134" s="13" t="str">
        <f>_xlfn.CONCAT(Sheet1!A134," --&gt; ",Sheet1!J134)</f>
        <v>695-51-0018 --&gt; 146.328</v>
      </c>
      <c r="I134" s="13" t="str">
        <f>_xlfn.CONCAT(Sheet1!C134,"_",TEXT(Sheet1!K134, "m/d/yyyy"))</f>
        <v>Mandalay_2/10/2019</v>
      </c>
      <c r="J134" s="13" t="str">
        <f>IF(Sheet1!I134=Sheet1!N134*0.05,"Valid","Error")</f>
        <v>Valid</v>
      </c>
      <c r="K134" s="13" t="str">
        <f>IF(Sheet1!N134=Sheet1!G134*Sheet1!H134,"True","False")</f>
        <v>True</v>
      </c>
      <c r="L134" s="13" t="b">
        <v>1</v>
      </c>
      <c r="M134" s="9" t="b">
        <f>ISNUMBER(Sheet1!J134)</f>
        <v>1</v>
      </c>
      <c r="N134" s="13" t="str">
        <f>IF(Sheet1!B134="A","Branch A",IF(Sheet1!B134="B","Branch B","Other Branch"))</f>
        <v>Branch B</v>
      </c>
      <c r="O134" s="13" t="str">
        <f>IF(Sheet1!M134="Credit card","Credit Payment","Other")</f>
        <v>Other</v>
      </c>
      <c r="P134" s="13" t="str">
        <f>IF(Sheet1!O134&gt;7,"Yes","No")</f>
        <v>Yes</v>
      </c>
    </row>
    <row r="135" spans="5:16">
      <c r="E135" s="13" t="str">
        <v>590</v>
      </c>
      <c r="F135" s="13" t="str">
        <v>4591</v>
      </c>
      <c r="G135" s="13" t="str">
        <v>83</v>
      </c>
      <c r="H135" s="13" t="str">
        <f>_xlfn.CONCAT(Sheet1!A135," --&gt; ",Sheet1!J135)</f>
        <v>590-83-4591 --&gt; 550.935</v>
      </c>
      <c r="I135" s="13" t="str">
        <f>_xlfn.CONCAT(Sheet1!C135,"_",TEXT(Sheet1!K135, "m/d/yyyy"))</f>
        <v>Mandalay_2/17/2019</v>
      </c>
      <c r="J135" s="13" t="str">
        <f>IF(Sheet1!I135=Sheet1!N135*0.05,"Valid","Error")</f>
        <v>Valid</v>
      </c>
      <c r="K135" s="13" t="str">
        <f>IF(Sheet1!N135=Sheet1!G135*Sheet1!H135,"True","False")</f>
        <v>True</v>
      </c>
      <c r="L135" s="13" t="b">
        <v>1</v>
      </c>
      <c r="M135" s="9" t="b">
        <f>ISNUMBER(Sheet1!J135)</f>
        <v>1</v>
      </c>
      <c r="N135" s="13" t="str">
        <f>IF(Sheet1!B135="A","Branch A",IF(Sheet1!B135="B","Branch B","Other Branch"))</f>
        <v>Branch B</v>
      </c>
      <c r="O135" s="13" t="str">
        <f>IF(Sheet1!M135="Credit card","Credit Payment","Other")</f>
        <v>Credit Payment</v>
      </c>
      <c r="P135" s="13" t="str">
        <f>IF(Sheet1!O135&gt;7,"Yes","No")</f>
        <v>Yes</v>
      </c>
    </row>
    <row r="136" spans="5:16">
      <c r="E136" s="13" t="str">
        <v>483</v>
      </c>
      <c r="F136" s="13" t="str">
        <v>1164</v>
      </c>
      <c r="G136" s="13" t="str">
        <v>71</v>
      </c>
      <c r="H136" s="13" t="str">
        <f>_xlfn.CONCAT(Sheet1!A136," --&gt; ",Sheet1!J136)</f>
        <v>483-71-1164 --&gt; 512.19</v>
      </c>
      <c r="I136" s="13" t="str">
        <f>_xlfn.CONCAT(Sheet1!C136,"_",TEXT(Sheet1!K136, "m/d/yyyy"))</f>
        <v>Naypyitaw_3/8/2019</v>
      </c>
      <c r="J136" s="13" t="str">
        <f>IF(Sheet1!I136=Sheet1!N136*0.05,"Valid","Error")</f>
        <v>Valid</v>
      </c>
      <c r="K136" s="13" t="str">
        <f>IF(Sheet1!N136=Sheet1!G136*Sheet1!H136,"True","False")</f>
        <v>True</v>
      </c>
      <c r="L136" s="13" t="b">
        <v>1</v>
      </c>
      <c r="M136" s="9" t="b">
        <f>ISNUMBER(Sheet1!J136)</f>
        <v>1</v>
      </c>
      <c r="N136" s="13" t="str">
        <f>IF(Sheet1!B136="A","Branch A",IF(Sheet1!B136="B","Branch B","Other Branch"))</f>
        <v>Other Branch</v>
      </c>
      <c r="O136" s="13" t="str">
        <f>IF(Sheet1!M136="Credit card","Credit Payment","Other")</f>
        <v>Other</v>
      </c>
      <c r="P136" s="13" t="str">
        <f>IF(Sheet1!O136&gt;7,"Yes","No")</f>
        <v>No</v>
      </c>
    </row>
    <row r="137" spans="5:16">
      <c r="E137" s="13" t="str">
        <v>597</v>
      </c>
      <c r="F137" s="13" t="str">
        <v>7908</v>
      </c>
      <c r="G137" s="13" t="str">
        <v>78</v>
      </c>
      <c r="H137" s="13" t="str">
        <f>_xlfn.CONCAT(Sheet1!A137," --&gt; ",Sheet1!J137)</f>
        <v>597-78-7908 --&gt; 284.193</v>
      </c>
      <c r="I137" s="13" t="str">
        <f>_xlfn.CONCAT(Sheet1!C137,"_",TEXT(Sheet1!K137, "m/d/yyyy"))</f>
        <v>Naypyitaw_2/18/2019</v>
      </c>
      <c r="J137" s="13" t="str">
        <f>IF(Sheet1!I137=Sheet1!N137*0.05,"Valid","Error")</f>
        <v>Valid</v>
      </c>
      <c r="K137" s="13" t="str">
        <f>IF(Sheet1!N137=Sheet1!G137*Sheet1!H137,"True","False")</f>
        <v>True</v>
      </c>
      <c r="L137" s="13" t="b">
        <v>1</v>
      </c>
      <c r="M137" s="9" t="b">
        <f>ISNUMBER(Sheet1!J137)</f>
        <v>1</v>
      </c>
      <c r="N137" s="13" t="str">
        <f>IF(Sheet1!B137="A","Branch A",IF(Sheet1!B137="B","Branch B","Other Branch"))</f>
        <v>Other Branch</v>
      </c>
      <c r="O137" s="13" t="str">
        <f>IF(Sheet1!M137="Credit card","Credit Payment","Other")</f>
        <v>Other</v>
      </c>
      <c r="P137" s="13" t="str">
        <f>IF(Sheet1!O137&gt;7,"Yes","No")</f>
        <v>No</v>
      </c>
    </row>
    <row r="138" spans="5:16">
      <c r="E138" s="13" t="str">
        <v>700</v>
      </c>
      <c r="F138" s="13" t="str">
        <v>1757</v>
      </c>
      <c r="G138" s="13" t="str">
        <v>81</v>
      </c>
      <c r="H138" s="13" t="str">
        <f>_xlfn.CONCAT(Sheet1!A138," --&gt; ",Sheet1!J138)</f>
        <v>700-81-1757 --&gt; 138.1275</v>
      </c>
      <c r="I138" s="13" t="str">
        <f>_xlfn.CONCAT(Sheet1!C138,"_",TEXT(Sheet1!K138, "m/d/yyyy"))</f>
        <v>Yangon_1/18/2019</v>
      </c>
      <c r="J138" s="13" t="str">
        <f>IF(Sheet1!I138=Sheet1!N138*0.05,"Valid","Error")</f>
        <v>Valid</v>
      </c>
      <c r="K138" s="13" t="str">
        <f>IF(Sheet1!N138=Sheet1!G138*Sheet1!H138,"True","False")</f>
        <v>True</v>
      </c>
      <c r="L138" s="13" t="b">
        <v>1</v>
      </c>
      <c r="M138" s="9" t="b">
        <f>ISNUMBER(Sheet1!J138)</f>
        <v>1</v>
      </c>
      <c r="N138" s="13" t="str">
        <f>IF(Sheet1!B138="A","Branch A",IF(Sheet1!B138="B","Branch B","Other Branch"))</f>
        <v>Branch A</v>
      </c>
      <c r="O138" s="13" t="str">
        <f>IF(Sheet1!M138="Credit card","Credit Payment","Other")</f>
        <v>Credit Payment</v>
      </c>
      <c r="P138" s="13" t="str">
        <f>IF(Sheet1!O138&gt;7,"Yes","No")</f>
        <v>Yes</v>
      </c>
    </row>
    <row r="139" spans="5:16">
      <c r="E139" s="13" t="str">
        <v>354</v>
      </c>
      <c r="F139" s="13" t="str">
        <v>5160</v>
      </c>
      <c r="G139" s="13" t="str">
        <v>39</v>
      </c>
      <c r="H139" s="13" t="str">
        <f>_xlfn.CONCAT(Sheet1!A139," --&gt; ",Sheet1!J139)</f>
        <v>354-39-5160 --&gt; 216.846</v>
      </c>
      <c r="I139" s="13" t="str">
        <f>_xlfn.CONCAT(Sheet1!C139,"_",TEXT(Sheet1!K139, "m/d/yyyy"))</f>
        <v>Yangon_2/18/2019</v>
      </c>
      <c r="J139" s="13" t="str">
        <f>IF(Sheet1!I139=Sheet1!N139*0.05,"Valid","Error")</f>
        <v>Valid</v>
      </c>
      <c r="K139" s="13" t="str">
        <f>IF(Sheet1!N139=Sheet1!G139*Sheet1!H139,"True","False")</f>
        <v>True</v>
      </c>
      <c r="L139" s="13" t="b">
        <v>1</v>
      </c>
      <c r="M139" s="9" t="b">
        <f>ISNUMBER(Sheet1!J139)</f>
        <v>1</v>
      </c>
      <c r="N139" s="13" t="str">
        <f>IF(Sheet1!B139="A","Branch A",IF(Sheet1!B139="B","Branch B","Other Branch"))</f>
        <v>Branch A</v>
      </c>
      <c r="O139" s="13" t="str">
        <f>IF(Sheet1!M139="Credit card","Credit Payment","Other")</f>
        <v>Other</v>
      </c>
      <c r="P139" s="13" t="str">
        <f>IF(Sheet1!O139&gt;7,"Yes","No")</f>
        <v>Yes</v>
      </c>
    </row>
    <row r="140" spans="5:16">
      <c r="E140" s="13" t="str">
        <v>241</v>
      </c>
      <c r="F140" s="13" t="str">
        <v>9525</v>
      </c>
      <c r="G140" s="13" t="str">
        <v>72</v>
      </c>
      <c r="H140" s="13" t="str">
        <f>_xlfn.CONCAT(Sheet1!A140," --&gt; ",Sheet1!J140)</f>
        <v>241-72-9525 --&gt; 545.055</v>
      </c>
      <c r="I140" s="13" t="str">
        <f>_xlfn.CONCAT(Sheet1!C140,"_",TEXT(Sheet1!K140, "m/d/yyyy"))</f>
        <v>Mandalay_2/16/2019</v>
      </c>
      <c r="J140" s="13" t="str">
        <f>IF(Sheet1!I140=Sheet1!N140*0.05,"Valid","Error")</f>
        <v>Valid</v>
      </c>
      <c r="K140" s="13" t="str">
        <f>IF(Sheet1!N140=Sheet1!G140*Sheet1!H140,"True","False")</f>
        <v>True</v>
      </c>
      <c r="L140" s="13" t="b">
        <v>1</v>
      </c>
      <c r="M140" s="9" t="b">
        <f>ISNUMBER(Sheet1!J140)</f>
        <v>1</v>
      </c>
      <c r="N140" s="13" t="str">
        <f>IF(Sheet1!B140="A","Branch A",IF(Sheet1!B140="B","Branch B","Other Branch"))</f>
        <v>Branch B</v>
      </c>
      <c r="O140" s="13" t="str">
        <f>IF(Sheet1!M140="Credit card","Credit Payment","Other")</f>
        <v>Other</v>
      </c>
      <c r="P140" s="13" t="str">
        <f>IF(Sheet1!O140&gt;7,"Yes","No")</f>
        <v>Yes</v>
      </c>
    </row>
    <row r="141" spans="5:16">
      <c r="E141" s="13" t="str">
        <v>575</v>
      </c>
      <c r="F141" s="13" t="str">
        <v>8091</v>
      </c>
      <c r="G141" s="13" t="str">
        <v>30</v>
      </c>
      <c r="H141" s="13" t="str">
        <f>_xlfn.CONCAT(Sheet1!A141," --&gt; ",Sheet1!J141)</f>
        <v>575-30-8091 --&gt; 609</v>
      </c>
      <c r="I141" s="13" t="str">
        <f>_xlfn.CONCAT(Sheet1!C141,"_",TEXT(Sheet1!K141, "m/d/yyyy"))</f>
        <v>Yangon_3/16/2019</v>
      </c>
      <c r="J141" s="13" t="str">
        <f>IF(Sheet1!I141=Sheet1!N141*0.05,"Valid","Error")</f>
        <v>Valid</v>
      </c>
      <c r="K141" s="13" t="str">
        <f>IF(Sheet1!N141=Sheet1!G141*Sheet1!H141,"True","False")</f>
        <v>True</v>
      </c>
      <c r="L141" s="13" t="b">
        <v>1</v>
      </c>
      <c r="M141" s="9" t="b">
        <f>ISNUMBER(Sheet1!J141)</f>
        <v>1</v>
      </c>
      <c r="N141" s="13" t="str">
        <f>IF(Sheet1!B141="A","Branch A",IF(Sheet1!B141="B","Branch B","Other Branch"))</f>
        <v>Branch A</v>
      </c>
      <c r="O141" s="13" t="str">
        <f>IF(Sheet1!M141="Credit card","Credit Payment","Other")</f>
        <v>Other</v>
      </c>
      <c r="P141" s="13" t="str">
        <f>IF(Sheet1!O141&gt;7,"Yes","No")</f>
        <v>Yes</v>
      </c>
    </row>
    <row r="142" spans="5:16">
      <c r="E142" s="13" t="str">
        <v>731</v>
      </c>
      <c r="F142" s="13" t="str">
        <v>9469</v>
      </c>
      <c r="G142" s="13" t="str">
        <v>81</v>
      </c>
      <c r="H142" s="13" t="str">
        <f>_xlfn.CONCAT(Sheet1!A142," --&gt; ",Sheet1!J142)</f>
        <v>731-81-9469 --&gt; 942.9</v>
      </c>
      <c r="I142" s="13" t="str">
        <f>_xlfn.CONCAT(Sheet1!C142,"_",TEXT(Sheet1!K142, "m/d/yyyy"))</f>
        <v>Naypyitaw_1/23/2019</v>
      </c>
      <c r="J142" s="13" t="str">
        <f>IF(Sheet1!I142=Sheet1!N142*0.05,"Valid","Error")</f>
        <v>Valid</v>
      </c>
      <c r="K142" s="13" t="str">
        <f>IF(Sheet1!N142=Sheet1!G142*Sheet1!H142,"True","False")</f>
        <v>True</v>
      </c>
      <c r="L142" s="13" t="b">
        <v>1</v>
      </c>
      <c r="M142" s="9" t="b">
        <f>ISNUMBER(Sheet1!J142)</f>
        <v>1</v>
      </c>
      <c r="N142" s="13" t="str">
        <f>IF(Sheet1!B142="A","Branch A",IF(Sheet1!B142="B","Branch B","Other Branch"))</f>
        <v>Other Branch</v>
      </c>
      <c r="O142" s="13" t="str">
        <f>IF(Sheet1!M142="Credit card","Credit Payment","Other")</f>
        <v>Credit Payment</v>
      </c>
      <c r="P142" s="13" t="str">
        <f>IF(Sheet1!O142&gt;7,"Yes","No")</f>
        <v>No</v>
      </c>
    </row>
    <row r="143" spans="5:16">
      <c r="E143" s="13" t="str">
        <v>280</v>
      </c>
      <c r="F143" s="13" t="str">
        <v>4359</v>
      </c>
      <c r="G143" s="13" t="str">
        <v>17</v>
      </c>
      <c r="H143" s="13" t="str">
        <f>_xlfn.CONCAT(Sheet1!A143," --&gt; ",Sheet1!J143)</f>
        <v>280-17-4359 --&gt; 950.25</v>
      </c>
      <c r="I143" s="13" t="str">
        <f>_xlfn.CONCAT(Sheet1!C143,"_",TEXT(Sheet1!K143, "m/d/yyyy"))</f>
        <v>Naypyitaw_1/25/2019</v>
      </c>
      <c r="J143" s="13" t="str">
        <f>IF(Sheet1!I143=Sheet1!N143*0.05,"Valid","Error")</f>
        <v>Valid</v>
      </c>
      <c r="K143" s="13" t="str">
        <f>IF(Sheet1!N143=Sheet1!G143*Sheet1!H143,"True","False")</f>
        <v>True</v>
      </c>
      <c r="L143" s="13" t="b">
        <v>1</v>
      </c>
      <c r="M143" s="9" t="b">
        <f>ISNUMBER(Sheet1!J143)</f>
        <v>1</v>
      </c>
      <c r="N143" s="13" t="str">
        <f>IF(Sheet1!B143="A","Branch A",IF(Sheet1!B143="B","Branch B","Other Branch"))</f>
        <v>Other Branch</v>
      </c>
      <c r="O143" s="13" t="str">
        <f>IF(Sheet1!M143="Credit card","Credit Payment","Other")</f>
        <v>Other</v>
      </c>
      <c r="P143" s="13" t="str">
        <f>IF(Sheet1!O143&gt;7,"Yes","No")</f>
        <v>Yes</v>
      </c>
    </row>
    <row r="144" spans="5:16">
      <c r="E144" s="13" t="str">
        <v>338</v>
      </c>
      <c r="F144" s="13" t="str">
        <v>2210</v>
      </c>
      <c r="G144" s="13" t="str">
        <v>65</v>
      </c>
      <c r="H144" s="13" t="str">
        <f>_xlfn.CONCAT(Sheet1!A144," --&gt; ",Sheet1!J144)</f>
        <v>338-65-2210 --&gt; 720.3</v>
      </c>
      <c r="I144" s="13" t="str">
        <f>_xlfn.CONCAT(Sheet1!C144,"_",TEXT(Sheet1!K144, "m/d/yyyy"))</f>
        <v>Naypyitaw_2/5/2019</v>
      </c>
      <c r="J144" s="13" t="str">
        <f>IF(Sheet1!I144=Sheet1!N144*0.05,"Valid","Error")</f>
        <v>Valid</v>
      </c>
      <c r="K144" s="13" t="str">
        <f>IF(Sheet1!N144=Sheet1!G144*Sheet1!H144,"True","False")</f>
        <v>True</v>
      </c>
      <c r="L144" s="13" t="b">
        <v>1</v>
      </c>
      <c r="M144" s="9" t="b">
        <f>ISNUMBER(Sheet1!J144)</f>
        <v>1</v>
      </c>
      <c r="N144" s="13" t="str">
        <f>IF(Sheet1!B144="A","Branch A",IF(Sheet1!B144="B","Branch B","Other Branch"))</f>
        <v>Other Branch</v>
      </c>
      <c r="O144" s="13" t="str">
        <f>IF(Sheet1!M144="Credit card","Credit Payment","Other")</f>
        <v>Other</v>
      </c>
      <c r="P144" s="13" t="str">
        <f>IF(Sheet1!O144&gt;7,"Yes","No")</f>
        <v>Yes</v>
      </c>
    </row>
    <row r="145" spans="5:16">
      <c r="E145" s="13" t="str">
        <v>488</v>
      </c>
      <c r="F145" s="13" t="str">
        <v>4221</v>
      </c>
      <c r="G145" s="13" t="str">
        <v>25</v>
      </c>
      <c r="H145" s="13" t="str">
        <f>_xlfn.CONCAT(Sheet1!A145," --&gt; ",Sheet1!J145)</f>
        <v>488-25-4221 --&gt; 31.9305</v>
      </c>
      <c r="I145" s="13" t="str">
        <f>_xlfn.CONCAT(Sheet1!C145,"_",TEXT(Sheet1!K145, "m/d/yyyy"))</f>
        <v>Naypyitaw_2/22/2019</v>
      </c>
      <c r="J145" s="13" t="str">
        <f>IF(Sheet1!I145=Sheet1!N145*0.05,"Valid","Error")</f>
        <v>Valid</v>
      </c>
      <c r="K145" s="13" t="str">
        <f>IF(Sheet1!N145=Sheet1!G145*Sheet1!H145,"True","False")</f>
        <v>True</v>
      </c>
      <c r="L145" s="13" t="b">
        <v>1</v>
      </c>
      <c r="M145" s="9" t="b">
        <f>ISNUMBER(Sheet1!J145)</f>
        <v>1</v>
      </c>
      <c r="N145" s="13" t="str">
        <f>IF(Sheet1!B145="A","Branch A",IF(Sheet1!B145="B","Branch B","Other Branch"))</f>
        <v>Other Branch</v>
      </c>
      <c r="O145" s="13" t="str">
        <f>IF(Sheet1!M145="Credit card","Credit Payment","Other")</f>
        <v>Credit Payment</v>
      </c>
      <c r="P145" s="13" t="str">
        <f>IF(Sheet1!O145&gt;7,"Yes","No")</f>
        <v>Yes</v>
      </c>
    </row>
    <row r="146" spans="5:16">
      <c r="E146" s="13" t="str">
        <v>239</v>
      </c>
      <c r="F146" s="13" t="str">
        <v>7476</v>
      </c>
      <c r="G146" s="13" t="str">
        <v>10</v>
      </c>
      <c r="H146" s="13" t="str">
        <f>_xlfn.CONCAT(Sheet1!A146," --&gt; ",Sheet1!J146)</f>
        <v>239-10-7476 --&gt; 491.085</v>
      </c>
      <c r="I146" s="13" t="str">
        <f>_xlfn.CONCAT(Sheet1!C146,"_",TEXT(Sheet1!K146, "m/d/yyyy"))</f>
        <v>Yangon_1/21/2019</v>
      </c>
      <c r="J146" s="13" t="str">
        <f>IF(Sheet1!I146=Sheet1!N146*0.05,"Valid","Error")</f>
        <v>Valid</v>
      </c>
      <c r="K146" s="13" t="str">
        <f>IF(Sheet1!N146=Sheet1!G146*Sheet1!H146,"True","False")</f>
        <v>True</v>
      </c>
      <c r="L146" s="13" t="b">
        <v>1</v>
      </c>
      <c r="M146" s="9" t="b">
        <f>ISNUMBER(Sheet1!J146)</f>
        <v>1</v>
      </c>
      <c r="N146" s="13" t="str">
        <f>IF(Sheet1!B146="A","Branch A",IF(Sheet1!B146="B","Branch B","Other Branch"))</f>
        <v>Branch A</v>
      </c>
      <c r="O146" s="13" t="str">
        <f>IF(Sheet1!M146="Credit card","Credit Payment","Other")</f>
        <v>Other</v>
      </c>
      <c r="P146" s="13" t="str">
        <f>IF(Sheet1!O146&gt;7,"Yes","No")</f>
        <v>Yes</v>
      </c>
    </row>
    <row r="147" spans="5:16">
      <c r="E147" s="13" t="str">
        <v>458</v>
      </c>
      <c r="F147" s="13" t="str">
        <v>1477</v>
      </c>
      <c r="G147" s="13" t="str">
        <v>41</v>
      </c>
      <c r="H147" s="13" t="str">
        <f>_xlfn.CONCAT(Sheet1!A147," --&gt; ",Sheet1!J147)</f>
        <v>458-41-1477 --&gt; 291.438</v>
      </c>
      <c r="I147" s="13" t="str">
        <f>_xlfn.CONCAT(Sheet1!C147,"_",TEXT(Sheet1!K147, "m/d/yyyy"))</f>
        <v>Naypyitaw_3/8/2019</v>
      </c>
      <c r="J147" s="13" t="str">
        <f>IF(Sheet1!I147=Sheet1!N147*0.05,"Valid","Error")</f>
        <v>Valid</v>
      </c>
      <c r="K147" s="13" t="str">
        <f>IF(Sheet1!N147=Sheet1!G147*Sheet1!H147,"True","False")</f>
        <v>True</v>
      </c>
      <c r="L147" s="13" t="b">
        <v>1</v>
      </c>
      <c r="M147" s="9" t="b">
        <f>ISNUMBER(Sheet1!J147)</f>
        <v>1</v>
      </c>
      <c r="N147" s="13" t="str">
        <f>IF(Sheet1!B147="A","Branch A",IF(Sheet1!B147="B","Branch B","Other Branch"))</f>
        <v>Other Branch</v>
      </c>
      <c r="O147" s="13" t="str">
        <f>IF(Sheet1!M147="Credit card","Credit Payment","Other")</f>
        <v>Credit Payment</v>
      </c>
      <c r="P147" s="13" t="str">
        <f>IF(Sheet1!O147&gt;7,"Yes","No")</f>
        <v>Yes</v>
      </c>
    </row>
    <row r="148" spans="5:16">
      <c r="E148" s="13" t="str">
        <v>685</v>
      </c>
      <c r="F148" s="13" t="str">
        <v>1609</v>
      </c>
      <c r="G148" s="13" t="str">
        <v>64</v>
      </c>
      <c r="H148" s="13" t="str">
        <f>_xlfn.CONCAT(Sheet1!A148," --&gt; ",Sheet1!J148)</f>
        <v>685-64-1609 --&gt; 316.47</v>
      </c>
      <c r="I148" s="13" t="str">
        <f>_xlfn.CONCAT(Sheet1!C148,"_",TEXT(Sheet1!K148, "m/d/yyyy"))</f>
        <v>Yangon_2/10/2019</v>
      </c>
      <c r="J148" s="13" t="str">
        <f>IF(Sheet1!I148=Sheet1!N148*0.05,"Valid","Error")</f>
        <v>Valid</v>
      </c>
      <c r="K148" s="13" t="str">
        <f>IF(Sheet1!N148=Sheet1!G148*Sheet1!H148,"True","False")</f>
        <v>True</v>
      </c>
      <c r="L148" s="13" t="b">
        <v>1</v>
      </c>
      <c r="M148" s="9" t="b">
        <f>ISNUMBER(Sheet1!J148)</f>
        <v>1</v>
      </c>
      <c r="N148" s="13" t="str">
        <f>IF(Sheet1!B148="A","Branch A",IF(Sheet1!B148="B","Branch B","Other Branch"))</f>
        <v>Branch A</v>
      </c>
      <c r="O148" s="13" t="str">
        <f>IF(Sheet1!M148="Credit card","Credit Payment","Other")</f>
        <v>Other</v>
      </c>
      <c r="P148" s="13" t="str">
        <f>IF(Sheet1!O148&gt;7,"Yes","No")</f>
        <v>Yes</v>
      </c>
    </row>
    <row r="149" spans="5:16">
      <c r="E149" s="13" t="str">
        <v>568</v>
      </c>
      <c r="F149" s="13" t="str">
        <v>5112</v>
      </c>
      <c r="G149" s="13" t="str">
        <v>90</v>
      </c>
      <c r="H149" s="13" t="str">
        <f>_xlfn.CONCAT(Sheet1!A149," --&gt; ",Sheet1!J149)</f>
        <v>568-90-5112 --&gt; 277.788</v>
      </c>
      <c r="I149" s="13" t="str">
        <f>_xlfn.CONCAT(Sheet1!C149,"_",TEXT(Sheet1!K149, "m/d/yyyy"))</f>
        <v>Naypyitaw_3/19/2019</v>
      </c>
      <c r="J149" s="13" t="str">
        <f>IF(Sheet1!I149=Sheet1!N149*0.05,"Valid","Error")</f>
        <v>Valid</v>
      </c>
      <c r="K149" s="13" t="str">
        <f>IF(Sheet1!N149=Sheet1!G149*Sheet1!H149,"True","False")</f>
        <v>True</v>
      </c>
      <c r="L149" s="13" t="b">
        <v>1</v>
      </c>
      <c r="M149" s="9" t="b">
        <f>ISNUMBER(Sheet1!J149)</f>
        <v>1</v>
      </c>
      <c r="N149" s="13" t="str">
        <f>IF(Sheet1!B149="A","Branch A",IF(Sheet1!B149="B","Branch B","Other Branch"))</f>
        <v>Other Branch</v>
      </c>
      <c r="O149" s="13" t="str">
        <f>IF(Sheet1!M149="Credit card","Credit Payment","Other")</f>
        <v>Credit Payment</v>
      </c>
      <c r="P149" s="13" t="str">
        <f>IF(Sheet1!O149&gt;7,"Yes","No")</f>
        <v>No</v>
      </c>
    </row>
    <row r="150" spans="5:16">
      <c r="E150" s="13" t="str">
        <v>262</v>
      </c>
      <c r="F150" s="13" t="str">
        <v>2794</v>
      </c>
      <c r="G150" s="13" t="str">
        <v>47</v>
      </c>
      <c r="H150" s="13" t="str">
        <f>_xlfn.CONCAT(Sheet1!A150," --&gt; ",Sheet1!J150)</f>
        <v>262-47-2794 --&gt; 603.624</v>
      </c>
      <c r="I150" s="13" t="str">
        <f>_xlfn.CONCAT(Sheet1!C150,"_",TEXT(Sheet1!K150, "m/d/yyyy"))</f>
        <v>Mandalay_3/6/2019</v>
      </c>
      <c r="J150" s="13" t="str">
        <f>IF(Sheet1!I150=Sheet1!N150*0.05,"Valid","Error")</f>
        <v>Valid</v>
      </c>
      <c r="K150" s="13" t="str">
        <f>IF(Sheet1!N150=Sheet1!G150*Sheet1!H150,"True","False")</f>
        <v>True</v>
      </c>
      <c r="L150" s="13" t="b">
        <v>1</v>
      </c>
      <c r="M150" s="9" t="b">
        <f>ISNUMBER(Sheet1!J150)</f>
        <v>1</v>
      </c>
      <c r="N150" s="13" t="str">
        <f>IF(Sheet1!B150="A","Branch A",IF(Sheet1!B150="B","Branch B","Other Branch"))</f>
        <v>Branch B</v>
      </c>
      <c r="O150" s="13" t="str">
        <f>IF(Sheet1!M150="Credit card","Credit Payment","Other")</f>
        <v>Credit Payment</v>
      </c>
      <c r="P150" s="13" t="str">
        <f>IF(Sheet1!O150&gt;7,"Yes","No")</f>
        <v>No</v>
      </c>
    </row>
    <row r="151" spans="5:16">
      <c r="E151" s="13" t="str">
        <v>238</v>
      </c>
      <c r="F151" s="13" t="str">
        <v>0436</v>
      </c>
      <c r="G151" s="13" t="str">
        <v>49</v>
      </c>
      <c r="H151" s="13" t="str">
        <f>_xlfn.CONCAT(Sheet1!A151," --&gt; ",Sheet1!J151)</f>
        <v>238-49-0436 --&gt; 272.664</v>
      </c>
      <c r="I151" s="13" t="str">
        <f>_xlfn.CONCAT(Sheet1!C151,"_",TEXT(Sheet1!K151, "m/d/yyyy"))</f>
        <v>Yangon_3/27/2019</v>
      </c>
      <c r="J151" s="13" t="str">
        <f>IF(Sheet1!I151=Sheet1!N151*0.05,"Valid","Error")</f>
        <v>Valid</v>
      </c>
      <c r="K151" s="13" t="str">
        <f>IF(Sheet1!N151=Sheet1!G151*Sheet1!H151,"True","False")</f>
        <v>True</v>
      </c>
      <c r="L151" s="13" t="b">
        <v>1</v>
      </c>
      <c r="M151" s="9" t="b">
        <f>ISNUMBER(Sheet1!J151)</f>
        <v>1</v>
      </c>
      <c r="N151" s="13" t="str">
        <f>IF(Sheet1!B151="A","Branch A",IF(Sheet1!B151="B","Branch B","Other Branch"))</f>
        <v>Branch A</v>
      </c>
      <c r="O151" s="13" t="str">
        <f>IF(Sheet1!M151="Credit card","Credit Payment","Other")</f>
        <v>Credit Payment</v>
      </c>
      <c r="P151" s="13" t="str">
        <f>IF(Sheet1!O151&gt;7,"Yes","No")</f>
        <v>No</v>
      </c>
    </row>
    <row r="152" spans="5:16">
      <c r="E152" s="13" t="str">
        <v>608</v>
      </c>
      <c r="F152" s="13" t="str">
        <v>3517</v>
      </c>
      <c r="G152" s="13" t="str">
        <v>96</v>
      </c>
      <c r="H152" s="13" t="str">
        <f>_xlfn.CONCAT(Sheet1!A152," --&gt; ",Sheet1!J152)</f>
        <v>608-96-3517 --&gt; 384.468</v>
      </c>
      <c r="I152" s="13" t="str">
        <f>_xlfn.CONCAT(Sheet1!C152,"_",TEXT(Sheet1!K152, "m/d/yyyy"))</f>
        <v>Mandalay_3/23/2019</v>
      </c>
      <c r="J152" s="13" t="str">
        <f>IF(Sheet1!I152=Sheet1!N152*0.05,"Valid","Error")</f>
        <v>Valid</v>
      </c>
      <c r="K152" s="13" t="str">
        <f>IF(Sheet1!N152=Sheet1!G152*Sheet1!H152,"True","False")</f>
        <v>True</v>
      </c>
      <c r="L152" s="13" t="b">
        <v>1</v>
      </c>
      <c r="M152" s="9" t="b">
        <f>ISNUMBER(Sheet1!J152)</f>
        <v>1</v>
      </c>
      <c r="N152" s="13" t="str">
        <f>IF(Sheet1!B152="A","Branch A",IF(Sheet1!B152="B","Branch B","Other Branch"))</f>
        <v>Branch B</v>
      </c>
      <c r="O152" s="13" t="str">
        <f>IF(Sheet1!M152="Credit card","Credit Payment","Other")</f>
        <v>Credit Payment</v>
      </c>
      <c r="P152" s="13" t="str">
        <f>IF(Sheet1!O152&gt;7,"Yes","No")</f>
        <v>No</v>
      </c>
    </row>
    <row r="153" spans="5:16">
      <c r="E153" s="13" t="str">
        <v>584</v>
      </c>
      <c r="F153" s="13" t="str">
        <v>7256</v>
      </c>
      <c r="G153" s="13" t="str">
        <v>86</v>
      </c>
      <c r="H153" s="13" t="str">
        <f>_xlfn.CONCAT(Sheet1!A153," --&gt; ",Sheet1!J153)</f>
        <v>584-86-7256 --&gt; 254.016</v>
      </c>
      <c r="I153" s="13" t="str">
        <f>_xlfn.CONCAT(Sheet1!C153,"_",TEXT(Sheet1!K153, "m/d/yyyy"))</f>
        <v>Naypyitaw_3/11/2019</v>
      </c>
      <c r="J153" s="13" t="str">
        <f>IF(Sheet1!I153=Sheet1!N153*0.05,"Valid","Error")</f>
        <v>Valid</v>
      </c>
      <c r="K153" s="13" t="str">
        <f>IF(Sheet1!N153=Sheet1!G153*Sheet1!H153,"True","False")</f>
        <v>True</v>
      </c>
      <c r="L153" s="13" t="b">
        <v>1</v>
      </c>
      <c r="M153" s="9" t="b">
        <f>ISNUMBER(Sheet1!J153)</f>
        <v>1</v>
      </c>
      <c r="N153" s="13" t="str">
        <f>IF(Sheet1!B153="A","Branch A",IF(Sheet1!B153="B","Branch B","Other Branch"))</f>
        <v>Other Branch</v>
      </c>
      <c r="O153" s="13" t="str">
        <f>IF(Sheet1!M153="Credit card","Credit Payment","Other")</f>
        <v>Credit Payment</v>
      </c>
      <c r="P153" s="13" t="str">
        <f>IF(Sheet1!O153&gt;7,"Yes","No")</f>
        <v>Yes</v>
      </c>
    </row>
    <row r="154" spans="5:16">
      <c r="E154" s="13" t="str">
        <v>746</v>
      </c>
      <c r="F154" s="13" t="str">
        <v>0204</v>
      </c>
      <c r="G154" s="13" t="str">
        <v>94</v>
      </c>
      <c r="H154" s="13" t="str">
        <f>_xlfn.CONCAT(Sheet1!A154," --&gt; ",Sheet1!J154)</f>
        <v>746-94-0204 --&gt; 786.618</v>
      </c>
      <c r="I154" s="13" t="str">
        <f>_xlfn.CONCAT(Sheet1!C154,"_",TEXT(Sheet1!K154, "m/d/yyyy"))</f>
        <v>Yangon_1/29/2019</v>
      </c>
      <c r="J154" s="13" t="str">
        <f>IF(Sheet1!I154=Sheet1!N154*0.05,"Valid","Error")</f>
        <v>Valid</v>
      </c>
      <c r="K154" s="13" t="str">
        <f>IF(Sheet1!N154=Sheet1!G154*Sheet1!H154,"True","False")</f>
        <v>True</v>
      </c>
      <c r="L154" s="13" t="b">
        <v>1</v>
      </c>
      <c r="M154" s="9" t="b">
        <f>ISNUMBER(Sheet1!J154)</f>
        <v>1</v>
      </c>
      <c r="N154" s="13" t="str">
        <f>IF(Sheet1!B154="A","Branch A",IF(Sheet1!B154="B","Branch B","Other Branch"))</f>
        <v>Branch A</v>
      </c>
      <c r="O154" s="13" t="str">
        <f>IF(Sheet1!M154="Credit card","Credit Payment","Other")</f>
        <v>Credit Payment</v>
      </c>
      <c r="P154" s="13" t="str">
        <f>IF(Sheet1!O154&gt;7,"Yes","No")</f>
        <v>Yes</v>
      </c>
    </row>
    <row r="155" spans="5:16">
      <c r="E155" s="13" t="str">
        <v>214</v>
      </c>
      <c r="F155" s="13" t="str">
        <v>6927</v>
      </c>
      <c r="G155" s="13" t="str">
        <v>17</v>
      </c>
      <c r="H155" s="13" t="str">
        <f>_xlfn.CONCAT(Sheet1!A155," --&gt; ",Sheet1!J155)</f>
        <v>214-17-6927 --&gt; 103.824</v>
      </c>
      <c r="I155" s="13" t="str">
        <f>_xlfn.CONCAT(Sheet1!C155,"_",TEXT(Sheet1!K155, "m/d/yyyy"))</f>
        <v>Naypyitaw_2/7/2019</v>
      </c>
      <c r="J155" s="13" t="str">
        <f>IF(Sheet1!I155=Sheet1!N155*0.05,"Valid","Error")</f>
        <v>Valid</v>
      </c>
      <c r="K155" s="13" t="str">
        <f>IF(Sheet1!N155=Sheet1!G155*Sheet1!H155,"True","False")</f>
        <v>True</v>
      </c>
      <c r="L155" s="13" t="b">
        <v>1</v>
      </c>
      <c r="M155" s="9" t="b">
        <f>ISNUMBER(Sheet1!J155)</f>
        <v>1</v>
      </c>
      <c r="N155" s="13" t="str">
        <f>IF(Sheet1!B155="A","Branch A",IF(Sheet1!B155="B","Branch B","Other Branch"))</f>
        <v>Other Branch</v>
      </c>
      <c r="O155" s="13" t="str">
        <f>IF(Sheet1!M155="Credit card","Credit Payment","Other")</f>
        <v>Other</v>
      </c>
      <c r="P155" s="13" t="str">
        <f>IF(Sheet1!O155&gt;7,"Yes","No")</f>
        <v>Yes</v>
      </c>
    </row>
    <row r="156" spans="5:16">
      <c r="E156" s="13" t="str">
        <v>400</v>
      </c>
      <c r="F156" s="13" t="str">
        <v>4171</v>
      </c>
      <c r="G156" s="13" t="str">
        <v>89</v>
      </c>
      <c r="H156" s="13" t="str">
        <f>_xlfn.CONCAT(Sheet1!A156," --&gt; ",Sheet1!J156)</f>
        <v>400-89-4171 --&gt; 680.148</v>
      </c>
      <c r="I156" s="13" t="str">
        <f>_xlfn.CONCAT(Sheet1!C156,"_",TEXT(Sheet1!K156, "m/d/yyyy"))</f>
        <v>Naypyitaw_1/28/2019</v>
      </c>
      <c r="J156" s="13" t="str">
        <f>IF(Sheet1!I156=Sheet1!N156*0.05,"Valid","Error")</f>
        <v>Valid</v>
      </c>
      <c r="K156" s="13" t="str">
        <f>IF(Sheet1!N156=Sheet1!G156*Sheet1!H156,"True","False")</f>
        <v>True</v>
      </c>
      <c r="L156" s="13" t="b">
        <v>1</v>
      </c>
      <c r="M156" s="9" t="b">
        <f>ISNUMBER(Sheet1!J156)</f>
        <v>1</v>
      </c>
      <c r="N156" s="13" t="str">
        <f>IF(Sheet1!B156="A","Branch A",IF(Sheet1!B156="B","Branch B","Other Branch"))</f>
        <v>Other Branch</v>
      </c>
      <c r="O156" s="13" t="str">
        <f>IF(Sheet1!M156="Credit card","Credit Payment","Other")</f>
        <v>Other</v>
      </c>
      <c r="P156" s="13" t="str">
        <f>IF(Sheet1!O156&gt;7,"Yes","No")</f>
        <v>Yes</v>
      </c>
    </row>
    <row r="157" spans="5:16">
      <c r="E157" s="13" t="str">
        <v>782</v>
      </c>
      <c r="F157" s="13" t="str">
        <v>9291</v>
      </c>
      <c r="G157" s="13" t="str">
        <v>95</v>
      </c>
      <c r="H157" s="13" t="str">
        <f>_xlfn.CONCAT(Sheet1!A157," --&gt; ",Sheet1!J157)</f>
        <v>782-95-9291 --&gt; 484.5225</v>
      </c>
      <c r="I157" s="13" t="str">
        <f>_xlfn.CONCAT(Sheet1!C157,"_",TEXT(Sheet1!K157, "m/d/yyyy"))</f>
        <v>Yangon_2/20/2019</v>
      </c>
      <c r="J157" s="13" t="str">
        <f>IF(Sheet1!I157=Sheet1!N157*0.05,"Valid","Error")</f>
        <v>Valid</v>
      </c>
      <c r="K157" s="13" t="str">
        <f>IF(Sheet1!N157=Sheet1!G157*Sheet1!H157,"True","False")</f>
        <v>True</v>
      </c>
      <c r="L157" s="13" t="b">
        <v>1</v>
      </c>
      <c r="M157" s="9" t="b">
        <f>ISNUMBER(Sheet1!J157)</f>
        <v>1</v>
      </c>
      <c r="N157" s="13" t="str">
        <f>IF(Sheet1!B157="A","Branch A",IF(Sheet1!B157="B","Branch B","Other Branch"))</f>
        <v>Branch A</v>
      </c>
      <c r="O157" s="13" t="str">
        <f>IF(Sheet1!M157="Credit card","Credit Payment","Other")</f>
        <v>Credit Payment</v>
      </c>
      <c r="P157" s="13" t="str">
        <f>IF(Sheet1!O157&gt;7,"Yes","No")</f>
        <v>Yes</v>
      </c>
    </row>
    <row r="158" spans="5:16">
      <c r="E158" s="13" t="str">
        <v>279</v>
      </c>
      <c r="F158" s="13" t="str">
        <v>2924</v>
      </c>
      <c r="G158" s="13" t="str">
        <v>74</v>
      </c>
      <c r="H158" s="13" t="str">
        <f>_xlfn.CONCAT(Sheet1!A158," --&gt; ",Sheet1!J158)</f>
        <v>279-74-2924 --&gt; 75.7785</v>
      </c>
      <c r="I158" s="13" t="str">
        <f>_xlfn.CONCAT(Sheet1!C158,"_",TEXT(Sheet1!K158, "m/d/yyyy"))</f>
        <v>Mandalay_1/4/2019</v>
      </c>
      <c r="J158" s="13" t="str">
        <f>IF(Sheet1!I158=Sheet1!N158*0.05,"Valid","Error")</f>
        <v>Valid</v>
      </c>
      <c r="K158" s="13" t="str">
        <f>IF(Sheet1!N158=Sheet1!G158*Sheet1!H158,"True","False")</f>
        <v>True</v>
      </c>
      <c r="L158" s="13" t="b">
        <v>1</v>
      </c>
      <c r="M158" s="9" t="b">
        <f>ISNUMBER(Sheet1!J158)</f>
        <v>1</v>
      </c>
      <c r="N158" s="13" t="str">
        <f>IF(Sheet1!B158="A","Branch A",IF(Sheet1!B158="B","Branch B","Other Branch"))</f>
        <v>Branch B</v>
      </c>
      <c r="O158" s="13" t="str">
        <f>IF(Sheet1!M158="Credit card","Credit Payment","Other")</f>
        <v>Other</v>
      </c>
      <c r="P158" s="13" t="str">
        <f>IF(Sheet1!O158&gt;7,"Yes","No")</f>
        <v>No</v>
      </c>
    </row>
    <row r="159" spans="5:16">
      <c r="E159" s="13" t="str">
        <v>307</v>
      </c>
      <c r="F159" s="13" t="str">
        <v>2293</v>
      </c>
      <c r="G159" s="13" t="str">
        <v>85</v>
      </c>
      <c r="H159" s="13" t="str">
        <f>_xlfn.CONCAT(Sheet1!A159," --&gt; ",Sheet1!J159)</f>
        <v>307-85-2293 --&gt; 263.97</v>
      </c>
      <c r="I159" s="13" t="str">
        <f>_xlfn.CONCAT(Sheet1!C159,"_",TEXT(Sheet1!K159, "m/d/yyyy"))</f>
        <v>Mandalay_3/7/2019</v>
      </c>
      <c r="J159" s="13" t="str">
        <f>IF(Sheet1!I159=Sheet1!N159*0.05,"Valid","Error")</f>
        <v>Valid</v>
      </c>
      <c r="K159" s="13" t="str">
        <f>IF(Sheet1!N159=Sheet1!G159*Sheet1!H159,"True","False")</f>
        <v>True</v>
      </c>
      <c r="L159" s="13" t="b">
        <v>1</v>
      </c>
      <c r="M159" s="9" t="b">
        <f>ISNUMBER(Sheet1!J159)</f>
        <v>1</v>
      </c>
      <c r="N159" s="13" t="str">
        <f>IF(Sheet1!B159="A","Branch A",IF(Sheet1!B159="B","Branch B","Other Branch"))</f>
        <v>Branch B</v>
      </c>
      <c r="O159" s="13" t="str">
        <f>IF(Sheet1!M159="Credit card","Credit Payment","Other")</f>
        <v>Other</v>
      </c>
      <c r="P159" s="13" t="str">
        <f>IF(Sheet1!O159&gt;7,"Yes","No")</f>
        <v>Yes</v>
      </c>
    </row>
    <row r="160" spans="5:16">
      <c r="E160" s="13" t="str">
        <v>743</v>
      </c>
      <c r="F160" s="13" t="str">
        <v>1105</v>
      </c>
      <c r="G160" s="13" t="str">
        <v>04</v>
      </c>
      <c r="H160" s="13" t="str">
        <f>_xlfn.CONCAT(Sheet1!A160," --&gt; ",Sheet1!J160)</f>
        <v>743-04-1105 --&gt; 918.729</v>
      </c>
      <c r="I160" s="13" t="str">
        <f>_xlfn.CONCAT(Sheet1!C160,"_",TEXT(Sheet1!K160, "m/d/yyyy"))</f>
        <v>Mandalay_3/30/2019</v>
      </c>
      <c r="J160" s="13" t="str">
        <f>IF(Sheet1!I160=Sheet1!N160*0.05,"Valid","Error")</f>
        <v>Valid</v>
      </c>
      <c r="K160" s="13" t="str">
        <f>IF(Sheet1!N160=Sheet1!G160*Sheet1!H160,"True","False")</f>
        <v>True</v>
      </c>
      <c r="L160" s="13" t="b">
        <v>1</v>
      </c>
      <c r="M160" s="9" t="b">
        <f>ISNUMBER(Sheet1!J160)</f>
        <v>1</v>
      </c>
      <c r="N160" s="13" t="str">
        <f>IF(Sheet1!B160="A","Branch A",IF(Sheet1!B160="B","Branch B","Other Branch"))</f>
        <v>Branch B</v>
      </c>
      <c r="O160" s="13" t="str">
        <f>IF(Sheet1!M160="Credit card","Credit Payment","Other")</f>
        <v>Other</v>
      </c>
      <c r="P160" s="13" t="str">
        <f>IF(Sheet1!O160&gt;7,"Yes","No")</f>
        <v>No</v>
      </c>
    </row>
    <row r="161" spans="5:16">
      <c r="E161" s="13" t="str">
        <v>423</v>
      </c>
      <c r="F161" s="13" t="str">
        <v>2993</v>
      </c>
      <c r="G161" s="13" t="str">
        <v>57</v>
      </c>
      <c r="H161" s="13" t="str">
        <f>_xlfn.CONCAT(Sheet1!A161," --&gt; ",Sheet1!J161)</f>
        <v>423-57-2993 --&gt; 588.357</v>
      </c>
      <c r="I161" s="13" t="str">
        <f>_xlfn.CONCAT(Sheet1!C161,"_",TEXT(Sheet1!K161, "m/d/yyyy"))</f>
        <v>Mandalay_3/27/2019</v>
      </c>
      <c r="J161" s="13" t="str">
        <f>IF(Sheet1!I161=Sheet1!N161*0.05,"Valid","Error")</f>
        <v>Valid</v>
      </c>
      <c r="K161" s="13" t="str">
        <f>IF(Sheet1!N161=Sheet1!G161*Sheet1!H161,"True","False")</f>
        <v>True</v>
      </c>
      <c r="L161" s="13" t="b">
        <v>1</v>
      </c>
      <c r="M161" s="9" t="b">
        <f>ISNUMBER(Sheet1!J161)</f>
        <v>1</v>
      </c>
      <c r="N161" s="13" t="str">
        <f>IF(Sheet1!B161="A","Branch A",IF(Sheet1!B161="B","Branch B","Other Branch"))</f>
        <v>Branch B</v>
      </c>
      <c r="O161" s="13" t="str">
        <f>IF(Sheet1!M161="Credit card","Credit Payment","Other")</f>
        <v>Other</v>
      </c>
      <c r="P161" s="13" t="str">
        <f>IF(Sheet1!O161&gt;7,"Yes","No")</f>
        <v>Yes</v>
      </c>
    </row>
    <row r="162" spans="5:16">
      <c r="E162" s="13" t="str">
        <v>894</v>
      </c>
      <c r="F162" s="13" t="str">
        <v>5205</v>
      </c>
      <c r="G162" s="13" t="str">
        <v>41</v>
      </c>
      <c r="H162" s="13" t="str">
        <f>_xlfn.CONCAT(Sheet1!A162," --&gt; ",Sheet1!J162)</f>
        <v>894-41-5205 --&gt; 362.712</v>
      </c>
      <c r="I162" s="13" t="str">
        <f>_xlfn.CONCAT(Sheet1!C162,"_",TEXT(Sheet1!K162, "m/d/yyyy"))</f>
        <v>Naypyitaw_1/19/2019</v>
      </c>
      <c r="J162" s="13" t="str">
        <f>IF(Sheet1!I162=Sheet1!N162*0.05,"Valid","Error")</f>
        <v>Valid</v>
      </c>
      <c r="K162" s="13" t="str">
        <f>IF(Sheet1!N162=Sheet1!G162*Sheet1!H162,"True","False")</f>
        <v>True</v>
      </c>
      <c r="L162" s="13" t="b">
        <v>1</v>
      </c>
      <c r="M162" s="9" t="b">
        <f>ISNUMBER(Sheet1!J162)</f>
        <v>1</v>
      </c>
      <c r="N162" s="13" t="str">
        <f>IF(Sheet1!B162="A","Branch A",IF(Sheet1!B162="B","Branch B","Other Branch"))</f>
        <v>Other Branch</v>
      </c>
      <c r="O162" s="13" t="str">
        <f>IF(Sheet1!M162="Credit card","Credit Payment","Other")</f>
        <v>Credit Payment</v>
      </c>
      <c r="P162" s="13" t="str">
        <f>IF(Sheet1!O162&gt;7,"Yes","No")</f>
        <v>Yes</v>
      </c>
    </row>
    <row r="163" spans="5:16">
      <c r="E163" s="13" t="str">
        <v>275</v>
      </c>
      <c r="F163" s="13" t="str">
        <v>0149</v>
      </c>
      <c r="G163" s="13" t="str">
        <v>28</v>
      </c>
      <c r="H163" s="13" t="str">
        <f>_xlfn.CONCAT(Sheet1!A163," --&gt; ",Sheet1!J163)</f>
        <v>275-28-0149 --&gt; 66.8745</v>
      </c>
      <c r="I163" s="13" t="str">
        <f>_xlfn.CONCAT(Sheet1!C163,"_",TEXT(Sheet1!K163, "m/d/yyyy"))</f>
        <v>Yangon_2/25/2019</v>
      </c>
      <c r="J163" s="13" t="str">
        <f>IF(Sheet1!I163=Sheet1!N163*0.05,"Valid","Error")</f>
        <v>Valid</v>
      </c>
      <c r="K163" s="13" t="str">
        <f>IF(Sheet1!N163=Sheet1!G163*Sheet1!H163,"True","False")</f>
        <v>True</v>
      </c>
      <c r="L163" s="13" t="b">
        <v>1</v>
      </c>
      <c r="M163" s="9" t="b">
        <f>ISNUMBER(Sheet1!J163)</f>
        <v>1</v>
      </c>
      <c r="N163" s="13" t="str">
        <f>IF(Sheet1!B163="A","Branch A",IF(Sheet1!B163="B","Branch B","Other Branch"))</f>
        <v>Branch A</v>
      </c>
      <c r="O163" s="13" t="str">
        <f>IF(Sheet1!M163="Credit card","Credit Payment","Other")</f>
        <v>Other</v>
      </c>
      <c r="P163" s="13" t="str">
        <f>IF(Sheet1!O163&gt;7,"Yes","No")</f>
        <v>No</v>
      </c>
    </row>
    <row r="164" spans="5:16">
      <c r="E164" s="13" t="str">
        <v>101</v>
      </c>
      <c r="F164" s="13" t="str">
        <v>6199</v>
      </c>
      <c r="G164" s="13" t="str">
        <v>17</v>
      </c>
      <c r="H164" s="13" t="str">
        <f>_xlfn.CONCAT(Sheet1!A164," --&gt; ",Sheet1!J164)</f>
        <v>101-17-6199 --&gt; 336.5565</v>
      </c>
      <c r="I164" s="13" t="str">
        <f>_xlfn.CONCAT(Sheet1!C164,"_",TEXT(Sheet1!K164, "m/d/yyyy"))</f>
        <v>Yangon_3/13/2019</v>
      </c>
      <c r="J164" s="13" t="str">
        <f>IF(Sheet1!I164=Sheet1!N164*0.05,"Valid","Error")</f>
        <v>Valid</v>
      </c>
      <c r="K164" s="13" t="str">
        <f>IF(Sheet1!N164=Sheet1!G164*Sheet1!H164,"True","False")</f>
        <v>True</v>
      </c>
      <c r="L164" s="13" t="b">
        <v>1</v>
      </c>
      <c r="M164" s="9" t="b">
        <f>ISNUMBER(Sheet1!J164)</f>
        <v>1</v>
      </c>
      <c r="N164" s="13" t="str">
        <f>IF(Sheet1!B164="A","Branch A",IF(Sheet1!B164="B","Branch B","Other Branch"))</f>
        <v>Branch A</v>
      </c>
      <c r="O164" s="13" t="str">
        <f>IF(Sheet1!M164="Credit card","Credit Payment","Other")</f>
        <v>Credit Payment</v>
      </c>
      <c r="P164" s="13" t="str">
        <f>IF(Sheet1!O164&gt;7,"Yes","No")</f>
        <v>No</v>
      </c>
    </row>
    <row r="165" spans="5:16">
      <c r="E165" s="13" t="str">
        <v>423</v>
      </c>
      <c r="F165" s="13" t="str">
        <v>0988</v>
      </c>
      <c r="G165" s="13" t="str">
        <v>80</v>
      </c>
      <c r="H165" s="13" t="str">
        <f>_xlfn.CONCAT(Sheet1!A165," --&gt; ",Sheet1!J165)</f>
        <v>423-80-0988 --&gt; 160.44</v>
      </c>
      <c r="I165" s="13" t="str">
        <f>_xlfn.CONCAT(Sheet1!C165,"_",TEXT(Sheet1!K165, "m/d/yyyy"))</f>
        <v>Naypyitaw_1/30/2019</v>
      </c>
      <c r="J165" s="13" t="str">
        <f>IF(Sheet1!I165=Sheet1!N165*0.05,"Valid","Error")</f>
        <v>Valid</v>
      </c>
      <c r="K165" s="13" t="str">
        <f>IF(Sheet1!N165=Sheet1!G165*Sheet1!H165,"True","False")</f>
        <v>True</v>
      </c>
      <c r="L165" s="13" t="b">
        <v>1</v>
      </c>
      <c r="M165" s="9" t="b">
        <f>ISNUMBER(Sheet1!J165)</f>
        <v>1</v>
      </c>
      <c r="N165" s="13" t="str">
        <f>IF(Sheet1!B165="A","Branch A",IF(Sheet1!B165="B","Branch B","Other Branch"))</f>
        <v>Other Branch</v>
      </c>
      <c r="O165" s="13" t="str">
        <f>IF(Sheet1!M165="Credit card","Credit Payment","Other")</f>
        <v>Other</v>
      </c>
      <c r="P165" s="13" t="str">
        <f>IF(Sheet1!O165&gt;7,"Yes","No")</f>
        <v>No</v>
      </c>
    </row>
    <row r="166" spans="5:16">
      <c r="E166" s="13" t="str">
        <v>548</v>
      </c>
      <c r="F166" s="13" t="str">
        <v>9322</v>
      </c>
      <c r="G166" s="13" t="str">
        <v>46</v>
      </c>
      <c r="H166" s="13" t="str">
        <f>_xlfn.CONCAT(Sheet1!A166," --&gt; ",Sheet1!J166)</f>
        <v>548-46-9322 --&gt; 418.95</v>
      </c>
      <c r="I166" s="13" t="str">
        <f>_xlfn.CONCAT(Sheet1!C166,"_",TEXT(Sheet1!K166, "m/d/yyyy"))</f>
        <v>Mandalay_2/20/2019</v>
      </c>
      <c r="J166" s="13" t="str">
        <f>IF(Sheet1!I166=Sheet1!N166*0.05,"Valid","Error")</f>
        <v>Valid</v>
      </c>
      <c r="K166" s="13" t="str">
        <f>IF(Sheet1!N166=Sheet1!G166*Sheet1!H166,"True","False")</f>
        <v>True</v>
      </c>
      <c r="L166" s="13" t="b">
        <v>1</v>
      </c>
      <c r="M166" s="9" t="b">
        <f>ISNUMBER(Sheet1!J166)</f>
        <v>1</v>
      </c>
      <c r="N166" s="13" t="str">
        <f>IF(Sheet1!B166="A","Branch A",IF(Sheet1!B166="B","Branch B","Other Branch"))</f>
        <v>Branch B</v>
      </c>
      <c r="O166" s="13" t="str">
        <f>IF(Sheet1!M166="Credit card","Credit Payment","Other")</f>
        <v>Credit Payment</v>
      </c>
      <c r="P166" s="13" t="str">
        <f>IF(Sheet1!O166&gt;7,"Yes","No")</f>
        <v>No</v>
      </c>
    </row>
    <row r="167" spans="5:16">
      <c r="E167" s="13" t="str">
        <v>505</v>
      </c>
      <c r="F167" s="13" t="str">
        <v>0892</v>
      </c>
      <c r="G167" s="13" t="str">
        <v>02</v>
      </c>
      <c r="H167" s="13" t="str">
        <f>_xlfn.CONCAT(Sheet1!A167," --&gt; ",Sheet1!J167)</f>
        <v>505-02-0892 --&gt; 357.588</v>
      </c>
      <c r="I167" s="13" t="str">
        <f>_xlfn.CONCAT(Sheet1!C167,"_",TEXT(Sheet1!K167, "m/d/yyyy"))</f>
        <v>Mandalay_2/25/2019</v>
      </c>
      <c r="J167" s="13" t="str">
        <f>IF(Sheet1!I167=Sheet1!N167*0.05,"Valid","Error")</f>
        <v>Valid</v>
      </c>
      <c r="K167" s="13" t="str">
        <f>IF(Sheet1!N167=Sheet1!G167*Sheet1!H167,"True","False")</f>
        <v>True</v>
      </c>
      <c r="L167" s="13" t="b">
        <v>1</v>
      </c>
      <c r="M167" s="9" t="b">
        <f>ISNUMBER(Sheet1!J167)</f>
        <v>1</v>
      </c>
      <c r="N167" s="13" t="str">
        <f>IF(Sheet1!B167="A","Branch A",IF(Sheet1!B167="B","Branch B","Other Branch"))</f>
        <v>Branch B</v>
      </c>
      <c r="O167" s="13" t="str">
        <f>IF(Sheet1!M167="Credit card","Credit Payment","Other")</f>
        <v>Other</v>
      </c>
      <c r="P167" s="13" t="str">
        <f>IF(Sheet1!O167&gt;7,"Yes","No")</f>
        <v>No</v>
      </c>
    </row>
    <row r="168" spans="5:16">
      <c r="E168" s="13" t="str">
        <v>234</v>
      </c>
      <c r="F168" s="13" t="str">
        <v>2137</v>
      </c>
      <c r="G168" s="13" t="str">
        <v>65</v>
      </c>
      <c r="H168" s="13" t="str">
        <f>_xlfn.CONCAT(Sheet1!A168," --&gt; ",Sheet1!J168)</f>
        <v>234-65-2137 --&gt; 1003.59</v>
      </c>
      <c r="I168" s="13" t="str">
        <f>_xlfn.CONCAT(Sheet1!C168,"_",TEXT(Sheet1!K168, "m/d/yyyy"))</f>
        <v>Naypyitaw_1/16/2019</v>
      </c>
      <c r="J168" s="13" t="str">
        <f>IF(Sheet1!I168=Sheet1!N168*0.05,"Valid","Error")</f>
        <v>Valid</v>
      </c>
      <c r="K168" s="13" t="str">
        <f>IF(Sheet1!N168=Sheet1!G168*Sheet1!H168,"True","False")</f>
        <v>True</v>
      </c>
      <c r="L168" s="13" t="b">
        <v>1</v>
      </c>
      <c r="M168" s="9" t="b">
        <f>ISNUMBER(Sheet1!J168)</f>
        <v>1</v>
      </c>
      <c r="N168" s="13" t="str">
        <f>IF(Sheet1!B168="A","Branch A",IF(Sheet1!B168="B","Branch B","Other Branch"))</f>
        <v>Other Branch</v>
      </c>
      <c r="O168" s="13" t="str">
        <f>IF(Sheet1!M168="Credit card","Credit Payment","Other")</f>
        <v>Other</v>
      </c>
      <c r="P168" s="13" t="str">
        <f>IF(Sheet1!O168&gt;7,"Yes","No")</f>
        <v>No</v>
      </c>
    </row>
    <row r="169" spans="5:16">
      <c r="E169" s="13" t="str">
        <v>687</v>
      </c>
      <c r="F169" s="13" t="str">
        <v>8271</v>
      </c>
      <c r="G169" s="13" t="str">
        <v>47</v>
      </c>
      <c r="H169" s="13" t="str">
        <f>_xlfn.CONCAT(Sheet1!A169," --&gt; ",Sheet1!J169)</f>
        <v>687-47-8271 --&gt; 1039.29</v>
      </c>
      <c r="I169" s="13" t="str">
        <f>_xlfn.CONCAT(Sheet1!C169,"_",TEXT(Sheet1!K169, "m/d/yyyy"))</f>
        <v>Yangon_2/8/2019</v>
      </c>
      <c r="J169" s="13" t="str">
        <f>IF(Sheet1!I169=Sheet1!N169*0.05,"Valid","Error")</f>
        <v>Valid</v>
      </c>
      <c r="K169" s="13" t="str">
        <f>IF(Sheet1!N169=Sheet1!G169*Sheet1!H169,"True","False")</f>
        <v>True</v>
      </c>
      <c r="L169" s="13" t="b">
        <v>1</v>
      </c>
      <c r="M169" s="9" t="b">
        <f>ISNUMBER(Sheet1!J169)</f>
        <v>1</v>
      </c>
      <c r="N169" s="13" t="str">
        <f>IF(Sheet1!B169="A","Branch A",IF(Sheet1!B169="B","Branch B","Other Branch"))</f>
        <v>Branch A</v>
      </c>
      <c r="O169" s="13" t="str">
        <f>IF(Sheet1!M169="Credit card","Credit Payment","Other")</f>
        <v>Credit Payment</v>
      </c>
      <c r="P169" s="13" t="str">
        <f>IF(Sheet1!O169&gt;7,"Yes","No")</f>
        <v>Yes</v>
      </c>
    </row>
    <row r="170" spans="5:16">
      <c r="E170" s="13" t="str">
        <v>796</v>
      </c>
      <c r="F170" s="13" t="str">
        <v>9050</v>
      </c>
      <c r="G170" s="13" t="str">
        <v>32</v>
      </c>
      <c r="H170" s="13" t="str">
        <f>_xlfn.CONCAT(Sheet1!A170," --&gt; ",Sheet1!J170)</f>
        <v>796-32-9050 --&gt; 323.064</v>
      </c>
      <c r="I170" s="13" t="str">
        <f>_xlfn.CONCAT(Sheet1!C170,"_",TEXT(Sheet1!K170, "m/d/yyyy"))</f>
        <v>Yangon_1/19/2019</v>
      </c>
      <c r="J170" s="13" t="str">
        <f>IF(Sheet1!I170=Sheet1!N170*0.05,"Valid","Error")</f>
        <v>Valid</v>
      </c>
      <c r="K170" s="13" t="str">
        <f>IF(Sheet1!N170=Sheet1!G170*Sheet1!H170,"True","False")</f>
        <v>True</v>
      </c>
      <c r="L170" s="13" t="b">
        <v>1</v>
      </c>
      <c r="M170" s="9" t="b">
        <f>ISNUMBER(Sheet1!J170)</f>
        <v>1</v>
      </c>
      <c r="N170" s="13" t="str">
        <f>IF(Sheet1!B170="A","Branch A",IF(Sheet1!B170="B","Branch B","Other Branch"))</f>
        <v>Branch A</v>
      </c>
      <c r="O170" s="13" t="str">
        <f>IF(Sheet1!M170="Credit card","Credit Payment","Other")</f>
        <v>Other</v>
      </c>
      <c r="P170" s="13" t="str">
        <f>IF(Sheet1!O170&gt;7,"Yes","No")</f>
        <v>No</v>
      </c>
    </row>
    <row r="171" spans="5:16">
      <c r="E171" s="13" t="str">
        <v>105</v>
      </c>
      <c r="F171" s="13" t="str">
        <v>1824</v>
      </c>
      <c r="G171" s="13" t="str">
        <v>31</v>
      </c>
      <c r="H171" s="13" t="str">
        <f>_xlfn.CONCAT(Sheet1!A171," --&gt; ",Sheet1!J171)</f>
        <v>105-31-1824 --&gt; 510.972</v>
      </c>
      <c r="I171" s="13" t="str">
        <f>_xlfn.CONCAT(Sheet1!C171,"_",TEXT(Sheet1!K171, "m/d/yyyy"))</f>
        <v>Yangon_2/1/2019</v>
      </c>
      <c r="J171" s="13" t="str">
        <f>IF(Sheet1!I171=Sheet1!N171*0.05,"Valid","Error")</f>
        <v>Valid</v>
      </c>
      <c r="K171" s="13" t="str">
        <f>IF(Sheet1!N171=Sheet1!G171*Sheet1!H171,"True","False")</f>
        <v>True</v>
      </c>
      <c r="L171" s="13" t="b">
        <v>1</v>
      </c>
      <c r="M171" s="9" t="b">
        <f>ISNUMBER(Sheet1!J171)</f>
        <v>1</v>
      </c>
      <c r="N171" s="13" t="str">
        <f>IF(Sheet1!B171="A","Branch A",IF(Sheet1!B171="B","Branch B","Other Branch"))</f>
        <v>Branch A</v>
      </c>
      <c r="O171" s="13" t="str">
        <f>IF(Sheet1!M171="Credit card","Credit Payment","Other")</f>
        <v>Credit Payment</v>
      </c>
      <c r="P171" s="13" t="str">
        <f>IF(Sheet1!O171&gt;7,"Yes","No")</f>
        <v>Yes</v>
      </c>
    </row>
    <row r="172" spans="5:16">
      <c r="E172" s="13" t="str">
        <v>249</v>
      </c>
      <c r="F172" s="13" t="str">
        <v>3782</v>
      </c>
      <c r="G172" s="13" t="str">
        <v>42</v>
      </c>
      <c r="H172" s="13" t="str">
        <f>_xlfn.CONCAT(Sheet1!A172," --&gt; ",Sheet1!J172)</f>
        <v>249-42-3782 --&gt; 367.5525</v>
      </c>
      <c r="I172" s="13" t="str">
        <f>_xlfn.CONCAT(Sheet1!C172,"_",TEXT(Sheet1!K172, "m/d/yyyy"))</f>
        <v>Yangon_1/3/2019</v>
      </c>
      <c r="J172" s="13" t="str">
        <f>IF(Sheet1!I172=Sheet1!N172*0.05,"Valid","Error")</f>
        <v>Valid</v>
      </c>
      <c r="K172" s="13" t="str">
        <f>IF(Sheet1!N172=Sheet1!G172*Sheet1!H172,"True","False")</f>
        <v>True</v>
      </c>
      <c r="L172" s="13" t="b">
        <v>1</v>
      </c>
      <c r="M172" s="9" t="b">
        <f>ISNUMBER(Sheet1!J172)</f>
        <v>1</v>
      </c>
      <c r="N172" s="13" t="str">
        <f>IF(Sheet1!B172="A","Branch A",IF(Sheet1!B172="B","Branch B","Other Branch"))</f>
        <v>Branch A</v>
      </c>
      <c r="O172" s="13" t="str">
        <f>IF(Sheet1!M172="Credit card","Credit Payment","Other")</f>
        <v>Other</v>
      </c>
      <c r="P172" s="13" t="str">
        <f>IF(Sheet1!O172&gt;7,"Yes","No")</f>
        <v>No</v>
      </c>
    </row>
    <row r="173" spans="5:16">
      <c r="E173" s="13" t="str">
        <v>316</v>
      </c>
      <c r="F173" s="13" t="str">
        <v>4634</v>
      </c>
      <c r="G173" s="13" t="str">
        <v>55</v>
      </c>
      <c r="H173" s="13" t="str">
        <f>_xlfn.CONCAT(Sheet1!A173," --&gt; ",Sheet1!J173)</f>
        <v>316-55-4634 --&gt; 420.2625</v>
      </c>
      <c r="I173" s="13" t="str">
        <f>_xlfn.CONCAT(Sheet1!C173,"_",TEXT(Sheet1!K173, "m/d/yyyy"))</f>
        <v>Mandalay_1/26/2019</v>
      </c>
      <c r="J173" s="13" t="str">
        <f>IF(Sheet1!I173=Sheet1!N173*0.05,"Valid","Error")</f>
        <v>Valid</v>
      </c>
      <c r="K173" s="13" t="str">
        <f>IF(Sheet1!N173=Sheet1!G173*Sheet1!H173,"True","False")</f>
        <v>True</v>
      </c>
      <c r="L173" s="13" t="b">
        <v>1</v>
      </c>
      <c r="M173" s="9" t="b">
        <f>ISNUMBER(Sheet1!J173)</f>
        <v>1</v>
      </c>
      <c r="N173" s="13" t="str">
        <f>IF(Sheet1!B173="A","Branch A",IF(Sheet1!B173="B","Branch B","Other Branch"))</f>
        <v>Branch B</v>
      </c>
      <c r="O173" s="13" t="str">
        <f>IF(Sheet1!M173="Credit card","Credit Payment","Other")</f>
        <v>Credit Payment</v>
      </c>
      <c r="P173" s="13" t="str">
        <f>IF(Sheet1!O173&gt;7,"Yes","No")</f>
        <v>Yes</v>
      </c>
    </row>
    <row r="174" spans="5:16">
      <c r="E174" s="13" t="str">
        <v>733</v>
      </c>
      <c r="F174" s="13" t="str">
        <v>4967</v>
      </c>
      <c r="G174" s="13" t="str">
        <v>33</v>
      </c>
      <c r="H174" s="13" t="str">
        <f>_xlfn.CONCAT(Sheet1!A174," --&gt; ",Sheet1!J174)</f>
        <v>733-33-4967 --&gt; 175.14</v>
      </c>
      <c r="I174" s="13" t="str">
        <f>_xlfn.CONCAT(Sheet1!C174,"_",TEXT(Sheet1!K174, "m/d/yyyy"))</f>
        <v>Naypyitaw_3/3/2019</v>
      </c>
      <c r="J174" s="13" t="str">
        <f>IF(Sheet1!I174=Sheet1!N174*0.05,"Valid","Error")</f>
        <v>Valid</v>
      </c>
      <c r="K174" s="13" t="str">
        <f>IF(Sheet1!N174=Sheet1!G174*Sheet1!H174,"True","False")</f>
        <v>True</v>
      </c>
      <c r="L174" s="13" t="b">
        <v>1</v>
      </c>
      <c r="M174" s="9" t="b">
        <f>ISNUMBER(Sheet1!J174)</f>
        <v>1</v>
      </c>
      <c r="N174" s="13" t="str">
        <f>IF(Sheet1!B174="A","Branch A",IF(Sheet1!B174="B","Branch B","Other Branch"))</f>
        <v>Other Branch</v>
      </c>
      <c r="O174" s="13" t="str">
        <f>IF(Sheet1!M174="Credit card","Credit Payment","Other")</f>
        <v>Other</v>
      </c>
      <c r="P174" s="13" t="str">
        <f>IF(Sheet1!O174&gt;7,"Yes","No")</f>
        <v>No</v>
      </c>
    </row>
    <row r="175" spans="5:16">
      <c r="E175" s="13" t="str">
        <v>608</v>
      </c>
      <c r="F175" s="13" t="str">
        <v>6295</v>
      </c>
      <c r="G175" s="13" t="str">
        <v>27</v>
      </c>
      <c r="H175" s="13" t="str">
        <f>_xlfn.CONCAT(Sheet1!A175," --&gt; ",Sheet1!J175)</f>
        <v>608-27-6295 --&gt; 333.207</v>
      </c>
      <c r="I175" s="13" t="str">
        <f>_xlfn.CONCAT(Sheet1!C175,"_",TEXT(Sheet1!K175, "m/d/yyyy"))</f>
        <v>Mandalay_1/19/2019</v>
      </c>
      <c r="J175" s="13" t="str">
        <f>IF(Sheet1!I175=Sheet1!N175*0.05,"Valid","Error")</f>
        <v>Valid</v>
      </c>
      <c r="K175" s="13" t="str">
        <f>IF(Sheet1!N175=Sheet1!G175*Sheet1!H175,"True","False")</f>
        <v>True</v>
      </c>
      <c r="L175" s="13" t="b">
        <v>1</v>
      </c>
      <c r="M175" s="9" t="b">
        <f>ISNUMBER(Sheet1!J175)</f>
        <v>1</v>
      </c>
      <c r="N175" s="13" t="str">
        <f>IF(Sheet1!B175="A","Branch A",IF(Sheet1!B175="B","Branch B","Other Branch"))</f>
        <v>Branch B</v>
      </c>
      <c r="O175" s="13" t="str">
        <f>IF(Sheet1!M175="Credit card","Credit Payment","Other")</f>
        <v>Credit Payment</v>
      </c>
      <c r="P175" s="13" t="str">
        <f>IF(Sheet1!O175&gt;7,"Yes","No")</f>
        <v>Yes</v>
      </c>
    </row>
    <row r="176" spans="5:16">
      <c r="E176" s="13" t="str">
        <v>414</v>
      </c>
      <c r="F176" s="13" t="str">
        <v>7047</v>
      </c>
      <c r="G176" s="13" t="str">
        <v>12</v>
      </c>
      <c r="H176" s="13" t="str">
        <f>_xlfn.CONCAT(Sheet1!A176," --&gt; ",Sheet1!J176)</f>
        <v>414-12-7047 --&gt; 166.236</v>
      </c>
      <c r="I176" s="13" t="str">
        <f>_xlfn.CONCAT(Sheet1!C176,"_",TEXT(Sheet1!K176, "m/d/yyyy"))</f>
        <v>Mandalay_1/18/2019</v>
      </c>
      <c r="J176" s="13" t="str">
        <f>IF(Sheet1!I176=Sheet1!N176*0.05,"Valid","Error")</f>
        <v>Valid</v>
      </c>
      <c r="K176" s="13" t="str">
        <f>IF(Sheet1!N176=Sheet1!G176*Sheet1!H176,"True","False")</f>
        <v>True</v>
      </c>
      <c r="L176" s="13" t="b">
        <v>1</v>
      </c>
      <c r="M176" s="9" t="b">
        <f>ISNUMBER(Sheet1!J176)</f>
        <v>1</v>
      </c>
      <c r="N176" s="13" t="str">
        <f>IF(Sheet1!B176="A","Branch A",IF(Sheet1!B176="B","Branch B","Other Branch"))</f>
        <v>Branch B</v>
      </c>
      <c r="O176" s="13" t="str">
        <f>IF(Sheet1!M176="Credit card","Credit Payment","Other")</f>
        <v>Other</v>
      </c>
      <c r="P176" s="13" t="str">
        <f>IF(Sheet1!O176&gt;7,"Yes","No")</f>
        <v>Yes</v>
      </c>
    </row>
    <row r="177" spans="5:16">
      <c r="E177" s="13" t="str">
        <v>827</v>
      </c>
      <c r="F177" s="13" t="str">
        <v>2100</v>
      </c>
      <c r="G177" s="13" t="str">
        <v>26</v>
      </c>
      <c r="H177" s="13" t="str">
        <f>_xlfn.CONCAT(Sheet1!A177," --&gt; ",Sheet1!J177)</f>
        <v>827-26-2100 --&gt; 319.788</v>
      </c>
      <c r="I177" s="13" t="str">
        <f>_xlfn.CONCAT(Sheet1!C177,"_",TEXT(Sheet1!K177, "m/d/yyyy"))</f>
        <v>Yangon_3/21/2019</v>
      </c>
      <c r="J177" s="13" t="str">
        <f>IF(Sheet1!I177=Sheet1!N177*0.05,"Valid","Error")</f>
        <v>Valid</v>
      </c>
      <c r="K177" s="13" t="str">
        <f>IF(Sheet1!N177=Sheet1!G177*Sheet1!H177,"True","False")</f>
        <v>True</v>
      </c>
      <c r="L177" s="13" t="b">
        <v>1</v>
      </c>
      <c r="M177" s="9" t="b">
        <f>ISNUMBER(Sheet1!J177)</f>
        <v>1</v>
      </c>
      <c r="N177" s="13" t="str">
        <f>IF(Sheet1!B177="A","Branch A",IF(Sheet1!B177="B","Branch B","Other Branch"))</f>
        <v>Branch A</v>
      </c>
      <c r="O177" s="13" t="str">
        <f>IF(Sheet1!M177="Credit card","Credit Payment","Other")</f>
        <v>Other</v>
      </c>
      <c r="P177" s="13" t="str">
        <f>IF(Sheet1!O177&gt;7,"Yes","No")</f>
        <v>Yes</v>
      </c>
    </row>
    <row r="178" spans="5:16">
      <c r="E178" s="13" t="str">
        <v>175</v>
      </c>
      <c r="F178" s="13" t="str">
        <v>2529</v>
      </c>
      <c r="G178" s="13" t="str">
        <v>54</v>
      </c>
      <c r="H178" s="13" t="str">
        <f>_xlfn.CONCAT(Sheet1!A178," --&gt; ",Sheet1!J178)</f>
        <v>175-54-2529 --&gt; 186.228</v>
      </c>
      <c r="I178" s="13" t="str">
        <f>_xlfn.CONCAT(Sheet1!C178,"_",TEXT(Sheet1!K178, "m/d/yyyy"))</f>
        <v>Yangon_3/3/2019</v>
      </c>
      <c r="J178" s="13" t="str">
        <f>IF(Sheet1!I178=Sheet1!N178*0.05,"Valid","Error")</f>
        <v>Valid</v>
      </c>
      <c r="K178" s="13" t="str">
        <f>IF(Sheet1!N178=Sheet1!G178*Sheet1!H178,"True","False")</f>
        <v>True</v>
      </c>
      <c r="L178" s="13" t="b">
        <v>1</v>
      </c>
      <c r="M178" s="9" t="b">
        <f>ISNUMBER(Sheet1!J178)</f>
        <v>1</v>
      </c>
      <c r="N178" s="13" t="str">
        <f>IF(Sheet1!B178="A","Branch A",IF(Sheet1!B178="B","Branch B","Other Branch"))</f>
        <v>Branch A</v>
      </c>
      <c r="O178" s="13" t="str">
        <f>IF(Sheet1!M178="Credit card","Credit Payment","Other")</f>
        <v>Credit Payment</v>
      </c>
      <c r="P178" s="13" t="str">
        <f>IF(Sheet1!O178&gt;7,"Yes","No")</f>
        <v>Yes</v>
      </c>
    </row>
    <row r="179" spans="5:16">
      <c r="E179" s="13" t="str">
        <v>139</v>
      </c>
      <c r="F179" s="13" t="str">
        <v>2867</v>
      </c>
      <c r="G179" s="13" t="str">
        <v>52</v>
      </c>
      <c r="H179" s="13" t="str">
        <f>_xlfn.CONCAT(Sheet1!A179," --&gt; ",Sheet1!J179)</f>
        <v>139-52-2867 --&gt; 165.4485</v>
      </c>
      <c r="I179" s="13" t="str">
        <f>_xlfn.CONCAT(Sheet1!C179,"_",TEXT(Sheet1!K179, "m/d/yyyy"))</f>
        <v>Naypyitaw_2/13/2019</v>
      </c>
      <c r="J179" s="13" t="str">
        <f>IF(Sheet1!I179=Sheet1!N179*0.05,"Valid","Error")</f>
        <v>Valid</v>
      </c>
      <c r="K179" s="13" t="str">
        <f>IF(Sheet1!N179=Sheet1!G179*Sheet1!H179,"True","False")</f>
        <v>True</v>
      </c>
      <c r="L179" s="13" t="b">
        <v>1</v>
      </c>
      <c r="M179" s="9" t="b">
        <f>ISNUMBER(Sheet1!J179)</f>
        <v>1</v>
      </c>
      <c r="N179" s="13" t="str">
        <f>IF(Sheet1!B179="A","Branch A",IF(Sheet1!B179="B","Branch B","Other Branch"))</f>
        <v>Other Branch</v>
      </c>
      <c r="O179" s="13" t="str">
        <f>IF(Sheet1!M179="Credit card","Credit Payment","Other")</f>
        <v>Credit Payment</v>
      </c>
      <c r="P179" s="13" t="str">
        <f>IF(Sheet1!O179&gt;7,"Yes","No")</f>
        <v>No</v>
      </c>
    </row>
    <row r="180" spans="5:16">
      <c r="E180" s="13" t="str">
        <v>407</v>
      </c>
      <c r="F180" s="13" t="str">
        <v>8975</v>
      </c>
      <c r="G180" s="13" t="str">
        <v>63</v>
      </c>
      <c r="H180" s="13" t="str">
        <f>_xlfn.CONCAT(Sheet1!A180," --&gt; ",Sheet1!J180)</f>
        <v>407-63-8975 --&gt; 465.444</v>
      </c>
      <c r="I180" s="13" t="str">
        <f>_xlfn.CONCAT(Sheet1!C180,"_",TEXT(Sheet1!K180, "m/d/yyyy"))</f>
        <v>Yangon_3/23/2019</v>
      </c>
      <c r="J180" s="13" t="str">
        <f>IF(Sheet1!I180=Sheet1!N180*0.05,"Valid","Error")</f>
        <v>Valid</v>
      </c>
      <c r="K180" s="13" t="str">
        <f>IF(Sheet1!N180=Sheet1!G180*Sheet1!H180,"True","False")</f>
        <v>True</v>
      </c>
      <c r="L180" s="13" t="b">
        <v>1</v>
      </c>
      <c r="M180" s="9" t="b">
        <f>ISNUMBER(Sheet1!J180)</f>
        <v>1</v>
      </c>
      <c r="N180" s="13" t="str">
        <f>IF(Sheet1!B180="A","Branch A",IF(Sheet1!B180="B","Branch B","Other Branch"))</f>
        <v>Branch A</v>
      </c>
      <c r="O180" s="13" t="str">
        <f>IF(Sheet1!M180="Credit card","Credit Payment","Other")</f>
        <v>Other</v>
      </c>
      <c r="P180" s="13" t="str">
        <f>IF(Sheet1!O180&gt;7,"Yes","No")</f>
        <v>No</v>
      </c>
    </row>
    <row r="181" spans="5:16">
      <c r="E181" s="13" t="str">
        <v>342</v>
      </c>
      <c r="F181" s="13" t="str">
        <v>4817</v>
      </c>
      <c r="G181" s="13" t="str">
        <v>65</v>
      </c>
      <c r="H181" s="13" t="str">
        <f>_xlfn.CONCAT(Sheet1!A181," --&gt; ",Sheet1!J181)</f>
        <v>342-65-4817 --&gt; 273.42</v>
      </c>
      <c r="I181" s="13" t="str">
        <f>_xlfn.CONCAT(Sheet1!C181,"_",TEXT(Sheet1!K181, "m/d/yyyy"))</f>
        <v>Naypyitaw_1/28/2019</v>
      </c>
      <c r="J181" s="13" t="str">
        <f>IF(Sheet1!I181=Sheet1!N181*0.05,"Valid","Error")</f>
        <v>Valid</v>
      </c>
      <c r="K181" s="13" t="str">
        <f>IF(Sheet1!N181=Sheet1!G181*Sheet1!H181,"True","False")</f>
        <v>True</v>
      </c>
      <c r="L181" s="13" t="b">
        <v>1</v>
      </c>
      <c r="M181" s="9" t="b">
        <f>ISNUMBER(Sheet1!J181)</f>
        <v>1</v>
      </c>
      <c r="N181" s="13" t="str">
        <f>IF(Sheet1!B181="A","Branch A",IF(Sheet1!B181="B","Branch B","Other Branch"))</f>
        <v>Other Branch</v>
      </c>
      <c r="O181" s="13" t="str">
        <f>IF(Sheet1!M181="Credit card","Credit Payment","Other")</f>
        <v>Other</v>
      </c>
      <c r="P181" s="13" t="str">
        <f>IF(Sheet1!O181&gt;7,"Yes","No")</f>
        <v>Yes</v>
      </c>
    </row>
    <row r="182" spans="5:16">
      <c r="E182" s="13" t="str">
        <v>130</v>
      </c>
      <c r="F182" s="13" t="str">
        <v>8941</v>
      </c>
      <c r="G182" s="13" t="str">
        <v>98</v>
      </c>
      <c r="H182" s="13" t="str">
        <f>_xlfn.CONCAT(Sheet1!A182," --&gt; ",Sheet1!J182)</f>
        <v>130-98-8941 --&gt; 472.311</v>
      </c>
      <c r="I182" s="13" t="str">
        <f>_xlfn.CONCAT(Sheet1!C182,"_",TEXT(Sheet1!K182, "m/d/yyyy"))</f>
        <v>Naypyitaw_2/9/2019</v>
      </c>
      <c r="J182" s="13" t="str">
        <f>IF(Sheet1!I182=Sheet1!N182*0.05,"Valid","Error")</f>
        <v>Valid</v>
      </c>
      <c r="K182" s="13" t="str">
        <f>IF(Sheet1!N182=Sheet1!G182*Sheet1!H182,"True","False")</f>
        <v>True</v>
      </c>
      <c r="L182" s="13" t="b">
        <v>1</v>
      </c>
      <c r="M182" s="9" t="b">
        <f>ISNUMBER(Sheet1!J182)</f>
        <v>1</v>
      </c>
      <c r="N182" s="13" t="str">
        <f>IF(Sheet1!B182="A","Branch A",IF(Sheet1!B182="B","Branch B","Other Branch"))</f>
        <v>Other Branch</v>
      </c>
      <c r="O182" s="13" t="str">
        <f>IF(Sheet1!M182="Credit card","Credit Payment","Other")</f>
        <v>Other</v>
      </c>
      <c r="P182" s="13" t="str">
        <f>IF(Sheet1!O182&gt;7,"Yes","No")</f>
        <v>No</v>
      </c>
    </row>
    <row r="183" spans="5:16">
      <c r="E183" s="13" t="str">
        <v>434</v>
      </c>
      <c r="F183" s="13" t="str">
        <v>9547</v>
      </c>
      <c r="G183" s="13" t="str">
        <v>83</v>
      </c>
      <c r="H183" s="13" t="str">
        <f>_xlfn.CONCAT(Sheet1!A183," --&gt; ",Sheet1!J183)</f>
        <v>434-83-9547 --&gt; 323.148</v>
      </c>
      <c r="I183" s="13" t="str">
        <f>_xlfn.CONCAT(Sheet1!C183,"_",TEXT(Sheet1!K183, "m/d/yyyy"))</f>
        <v>Naypyitaw_1/23/2019</v>
      </c>
      <c r="J183" s="13" t="str">
        <f>IF(Sheet1!I183=Sheet1!N183*0.05,"Valid","Error")</f>
        <v>Valid</v>
      </c>
      <c r="K183" s="13" t="str">
        <f>IF(Sheet1!N183=Sheet1!G183*Sheet1!H183,"True","False")</f>
        <v>True</v>
      </c>
      <c r="L183" s="13" t="b">
        <v>1</v>
      </c>
      <c r="M183" s="9" t="b">
        <f>ISNUMBER(Sheet1!J183)</f>
        <v>1</v>
      </c>
      <c r="N183" s="13" t="str">
        <f>IF(Sheet1!B183="A","Branch A",IF(Sheet1!B183="B","Branch B","Other Branch"))</f>
        <v>Other Branch</v>
      </c>
      <c r="O183" s="13" t="str">
        <f>IF(Sheet1!M183="Credit card","Credit Payment","Other")</f>
        <v>Other</v>
      </c>
      <c r="P183" s="13" t="str">
        <f>IF(Sheet1!O183&gt;7,"Yes","No")</f>
        <v>Yes</v>
      </c>
    </row>
    <row r="184" spans="5:16">
      <c r="E184" s="13" t="str">
        <v>851</v>
      </c>
      <c r="F184" s="13" t="str">
        <v>6367</v>
      </c>
      <c r="G184" s="13" t="str">
        <v>28</v>
      </c>
      <c r="H184" s="13" t="str">
        <f>_xlfn.CONCAT(Sheet1!A184," --&gt; ",Sheet1!J184)</f>
        <v>851-28-6367 --&gt; 162.75</v>
      </c>
      <c r="I184" s="13" t="str">
        <f>_xlfn.CONCAT(Sheet1!C184,"_",TEXT(Sheet1!K184, "m/d/yyyy"))</f>
        <v>Yangon_3/23/2019</v>
      </c>
      <c r="J184" s="13" t="str">
        <f>IF(Sheet1!I184=Sheet1!N184*0.05,"Valid","Error")</f>
        <v>Valid</v>
      </c>
      <c r="K184" s="13" t="str">
        <f>IF(Sheet1!N184=Sheet1!G184*Sheet1!H184,"True","False")</f>
        <v>True</v>
      </c>
      <c r="L184" s="13" t="b">
        <v>1</v>
      </c>
      <c r="M184" s="9" t="b">
        <f>ISNUMBER(Sheet1!J184)</f>
        <v>1</v>
      </c>
      <c r="N184" s="13" t="str">
        <f>IF(Sheet1!B184="A","Branch A",IF(Sheet1!B184="B","Branch B","Other Branch"))</f>
        <v>Branch A</v>
      </c>
      <c r="O184" s="13" t="str">
        <f>IF(Sheet1!M184="Credit card","Credit Payment","Other")</f>
        <v>Other</v>
      </c>
      <c r="P184" s="13" t="str">
        <f>IF(Sheet1!O184&gt;7,"Yes","No")</f>
        <v>Yes</v>
      </c>
    </row>
    <row r="185" spans="5:16">
      <c r="E185" s="13" t="str">
        <v>824</v>
      </c>
      <c r="F185" s="13" t="str">
        <v>3614</v>
      </c>
      <c r="G185" s="13" t="str">
        <v>88</v>
      </c>
      <c r="H185" s="13" t="str">
        <f>_xlfn.CONCAT(Sheet1!A185," --&gt; ",Sheet1!J185)</f>
        <v>824-88-3614 --&gt; 288.204</v>
      </c>
      <c r="I185" s="13" t="str">
        <f>_xlfn.CONCAT(Sheet1!C185,"_",TEXT(Sheet1!K185, "m/d/yyyy"))</f>
        <v>Naypyitaw_1/25/2019</v>
      </c>
      <c r="J185" s="13" t="str">
        <f>IF(Sheet1!I185=Sheet1!N185*0.05,"Valid","Error")</f>
        <v>Valid</v>
      </c>
      <c r="K185" s="13" t="str">
        <f>IF(Sheet1!N185=Sheet1!G185*Sheet1!H185,"True","False")</f>
        <v>True</v>
      </c>
      <c r="L185" s="13" t="b">
        <v>1</v>
      </c>
      <c r="M185" s="9" t="b">
        <f>ISNUMBER(Sheet1!J185)</f>
        <v>1</v>
      </c>
      <c r="N185" s="13" t="str">
        <f>IF(Sheet1!B185="A","Branch A",IF(Sheet1!B185="B","Branch B","Other Branch"))</f>
        <v>Other Branch</v>
      </c>
      <c r="O185" s="13" t="str">
        <f>IF(Sheet1!M185="Credit card","Credit Payment","Other")</f>
        <v>Other</v>
      </c>
      <c r="P185" s="13" t="str">
        <f>IF(Sheet1!O185&gt;7,"Yes","No")</f>
        <v>No</v>
      </c>
    </row>
    <row r="186" spans="5:16">
      <c r="E186" s="13" t="str">
        <v>586</v>
      </c>
      <c r="F186" s="13" t="str">
        <v>0848</v>
      </c>
      <c r="G186" s="13" t="str">
        <v>25</v>
      </c>
      <c r="H186" s="13" t="str">
        <f>_xlfn.CONCAT(Sheet1!A186," --&gt; ",Sheet1!J186)</f>
        <v>586-25-0848 --&gt; 90.699</v>
      </c>
      <c r="I186" s="13" t="str">
        <f>_xlfn.CONCAT(Sheet1!C186,"_",TEXT(Sheet1!K186, "m/d/yyyy"))</f>
        <v>Yangon_3/4/2019</v>
      </c>
      <c r="J186" s="13" t="str">
        <f>IF(Sheet1!I186=Sheet1!N186*0.05,"Valid","Error")</f>
        <v>Valid</v>
      </c>
      <c r="K186" s="13" t="str">
        <f>IF(Sheet1!N186=Sheet1!G186*Sheet1!H186,"True","False")</f>
        <v>True</v>
      </c>
      <c r="L186" s="13" t="b">
        <v>1</v>
      </c>
      <c r="M186" s="9" t="b">
        <f>ISNUMBER(Sheet1!J186)</f>
        <v>1</v>
      </c>
      <c r="N186" s="13" t="str">
        <f>IF(Sheet1!B186="A","Branch A",IF(Sheet1!B186="B","Branch B","Other Branch"))</f>
        <v>Branch A</v>
      </c>
      <c r="O186" s="13" t="str">
        <f>IF(Sheet1!M186="Credit card","Credit Payment","Other")</f>
        <v>Credit Payment</v>
      </c>
      <c r="P186" s="13" t="str">
        <f>IF(Sheet1!O186&gt;7,"Yes","No")</f>
        <v>No</v>
      </c>
    </row>
    <row r="187" spans="5:16">
      <c r="E187" s="13" t="str">
        <v>895</v>
      </c>
      <c r="F187" s="13" t="str">
        <v>0685</v>
      </c>
      <c r="G187" s="13" t="str">
        <v>66</v>
      </c>
      <c r="H187" s="13" t="str">
        <f>_xlfn.CONCAT(Sheet1!A187," --&gt; ",Sheet1!J187)</f>
        <v>895-66-0685 --&gt; 56.952</v>
      </c>
      <c r="I187" s="13" t="str">
        <f>_xlfn.CONCAT(Sheet1!C187,"_",TEXT(Sheet1!K187, "m/d/yyyy"))</f>
        <v>Mandalay_3/5/2019</v>
      </c>
      <c r="J187" s="13" t="str">
        <f>IF(Sheet1!I187=Sheet1!N187*0.05,"Valid","Error")</f>
        <v>Valid</v>
      </c>
      <c r="K187" s="13" t="str">
        <f>IF(Sheet1!N187=Sheet1!G187*Sheet1!H187,"True","False")</f>
        <v>True</v>
      </c>
      <c r="L187" s="13" t="b">
        <v>1</v>
      </c>
      <c r="M187" s="9" t="b">
        <f>ISNUMBER(Sheet1!J187)</f>
        <v>1</v>
      </c>
      <c r="N187" s="13" t="str">
        <f>IF(Sheet1!B187="A","Branch A",IF(Sheet1!B187="B","Branch B","Other Branch"))</f>
        <v>Branch B</v>
      </c>
      <c r="O187" s="13" t="str">
        <f>IF(Sheet1!M187="Credit card","Credit Payment","Other")</f>
        <v>Other</v>
      </c>
      <c r="P187" s="13" t="str">
        <f>IF(Sheet1!O187&gt;7,"Yes","No")</f>
        <v>Yes</v>
      </c>
    </row>
    <row r="188" spans="5:16">
      <c r="E188" s="13" t="str">
        <v>305</v>
      </c>
      <c r="F188" s="13" t="str">
        <v>0245</v>
      </c>
      <c r="G188" s="13" t="str">
        <v>14</v>
      </c>
      <c r="H188" s="13" t="str">
        <f>_xlfn.CONCAT(Sheet1!A188," --&gt; ",Sheet1!J188)</f>
        <v>305-14-0245 --&gt; 793.716</v>
      </c>
      <c r="I188" s="13" t="str">
        <f>_xlfn.CONCAT(Sheet1!C188,"_",TEXT(Sheet1!K188, "m/d/yyyy"))</f>
        <v>Mandalay_3/3/2019</v>
      </c>
      <c r="J188" s="13" t="str">
        <f>IF(Sheet1!I188=Sheet1!N188*0.05,"Valid","Error")</f>
        <v>Valid</v>
      </c>
      <c r="K188" s="13" t="str">
        <f>IF(Sheet1!N188=Sheet1!G188*Sheet1!H188,"True","False")</f>
        <v>True</v>
      </c>
      <c r="L188" s="13" t="b">
        <v>1</v>
      </c>
      <c r="M188" s="9" t="b">
        <f>ISNUMBER(Sheet1!J188)</f>
        <v>1</v>
      </c>
      <c r="N188" s="13" t="str">
        <f>IF(Sheet1!B188="A","Branch A",IF(Sheet1!B188="B","Branch B","Other Branch"))</f>
        <v>Branch B</v>
      </c>
      <c r="O188" s="13" t="str">
        <f>IF(Sheet1!M188="Credit card","Credit Payment","Other")</f>
        <v>Other</v>
      </c>
      <c r="P188" s="13" t="str">
        <f>IF(Sheet1!O188&gt;7,"Yes","No")</f>
        <v>Yes</v>
      </c>
    </row>
    <row r="189" spans="5:16">
      <c r="E189" s="13" t="str">
        <v>732</v>
      </c>
      <c r="F189" s="13" t="str">
        <v>5373</v>
      </c>
      <c r="G189" s="13" t="str">
        <v>04</v>
      </c>
      <c r="H189" s="13" t="str">
        <f>_xlfn.CONCAT(Sheet1!A189," --&gt; ",Sheet1!J189)</f>
        <v>732-04-5373 --&gt; 195.174</v>
      </c>
      <c r="I189" s="13" t="str">
        <f>_xlfn.CONCAT(Sheet1!C189,"_",TEXT(Sheet1!K189, "m/d/yyyy"))</f>
        <v>Mandalay_2/8/2019</v>
      </c>
      <c r="J189" s="13" t="str">
        <f>IF(Sheet1!I189=Sheet1!N189*0.05,"Valid","Error")</f>
        <v>Valid</v>
      </c>
      <c r="K189" s="13" t="str">
        <f>IF(Sheet1!N189=Sheet1!G189*Sheet1!H189,"True","False")</f>
        <v>True</v>
      </c>
      <c r="L189" s="13" t="b">
        <v>1</v>
      </c>
      <c r="M189" s="9" t="b">
        <f>ISNUMBER(Sheet1!J189)</f>
        <v>1</v>
      </c>
      <c r="N189" s="13" t="str">
        <f>IF(Sheet1!B189="A","Branch A",IF(Sheet1!B189="B","Branch B","Other Branch"))</f>
        <v>Branch B</v>
      </c>
      <c r="O189" s="13" t="str">
        <f>IF(Sheet1!M189="Credit card","Credit Payment","Other")</f>
        <v>Other</v>
      </c>
      <c r="P189" s="13" t="str">
        <f>IF(Sheet1!O189&gt;7,"Yes","No")</f>
        <v>No</v>
      </c>
    </row>
    <row r="190" spans="5:16">
      <c r="E190" s="13" t="str">
        <v>400</v>
      </c>
      <c r="F190" s="13" t="str">
        <v>7251</v>
      </c>
      <c r="G190" s="13" t="str">
        <v>60</v>
      </c>
      <c r="H190" s="13" t="str">
        <f>_xlfn.CONCAT(Sheet1!A190," --&gt; ",Sheet1!J190)</f>
        <v>400-60-7251 --&gt; 77.7735</v>
      </c>
      <c r="I190" s="13" t="str">
        <f>_xlfn.CONCAT(Sheet1!C190,"_",TEXT(Sheet1!K190, "m/d/yyyy"))</f>
        <v>Yangon_2/10/2019</v>
      </c>
      <c r="J190" s="13" t="str">
        <f>IF(Sheet1!I190=Sheet1!N190*0.05,"Valid","Error")</f>
        <v>Valid</v>
      </c>
      <c r="K190" s="13" t="str">
        <f>IF(Sheet1!N190=Sheet1!G190*Sheet1!H190,"True","False")</f>
        <v>True</v>
      </c>
      <c r="L190" s="13" t="b">
        <v>1</v>
      </c>
      <c r="M190" s="9" t="b">
        <f>ISNUMBER(Sheet1!J190)</f>
        <v>1</v>
      </c>
      <c r="N190" s="13" t="str">
        <f>IF(Sheet1!B190="A","Branch A",IF(Sheet1!B190="B","Branch B","Other Branch"))</f>
        <v>Branch A</v>
      </c>
      <c r="O190" s="13" t="str">
        <f>IF(Sheet1!M190="Credit card","Credit Payment","Other")</f>
        <v>Other</v>
      </c>
      <c r="P190" s="13" t="str">
        <f>IF(Sheet1!O190&gt;7,"Yes","No")</f>
        <v>Yes</v>
      </c>
    </row>
    <row r="191" spans="5:16">
      <c r="E191" s="13" t="str">
        <v>593</v>
      </c>
      <c r="F191" s="13" t="str">
        <v>1552</v>
      </c>
      <c r="G191" s="13" t="str">
        <v>65</v>
      </c>
      <c r="H191" s="13" t="str">
        <f>_xlfn.CONCAT(Sheet1!A191," --&gt; ",Sheet1!J191)</f>
        <v>593-65-1552 --&gt; 293.202</v>
      </c>
      <c r="I191" s="13" t="str">
        <f>_xlfn.CONCAT(Sheet1!C191,"_",TEXT(Sheet1!K191, "m/d/yyyy"))</f>
        <v>Naypyitaw_1/28/2019</v>
      </c>
      <c r="J191" s="13" t="str">
        <f>IF(Sheet1!I191=Sheet1!N191*0.05,"Valid","Error")</f>
        <v>Valid</v>
      </c>
      <c r="K191" s="13" t="str">
        <f>IF(Sheet1!N191=Sheet1!G191*Sheet1!H191,"True","False")</f>
        <v>True</v>
      </c>
      <c r="L191" s="13" t="b">
        <v>1</v>
      </c>
      <c r="M191" s="9" t="b">
        <f>ISNUMBER(Sheet1!J191)</f>
        <v>1</v>
      </c>
      <c r="N191" s="13" t="str">
        <f>IF(Sheet1!B191="A","Branch A",IF(Sheet1!B191="B","Branch B","Other Branch"))</f>
        <v>Other Branch</v>
      </c>
      <c r="O191" s="13" t="str">
        <f>IF(Sheet1!M191="Credit card","Credit Payment","Other")</f>
        <v>Credit Payment</v>
      </c>
      <c r="P191" s="13" t="str">
        <f>IF(Sheet1!O191&gt;7,"Yes","No")</f>
        <v>No</v>
      </c>
    </row>
    <row r="192" spans="5:16">
      <c r="E192" s="13" t="str">
        <v>284</v>
      </c>
      <c r="F192" s="13" t="str">
        <v>9626</v>
      </c>
      <c r="G192" s="13" t="str">
        <v>34</v>
      </c>
      <c r="H192" s="13" t="str">
        <f>_xlfn.CONCAT(Sheet1!A192," --&gt; ",Sheet1!J192)</f>
        <v>284-34-9626 --&gt; 242.676</v>
      </c>
      <c r="I192" s="13" t="str">
        <f>_xlfn.CONCAT(Sheet1!C192,"_",TEXT(Sheet1!K192, "m/d/yyyy"))</f>
        <v>Mandalay_2/11/2019</v>
      </c>
      <c r="J192" s="13" t="str">
        <f>IF(Sheet1!I192=Sheet1!N192*0.05,"Valid","Error")</f>
        <v>Valid</v>
      </c>
      <c r="K192" s="13" t="str">
        <f>IF(Sheet1!N192=Sheet1!G192*Sheet1!H192,"True","False")</f>
        <v>True</v>
      </c>
      <c r="L192" s="13" t="b">
        <v>1</v>
      </c>
      <c r="M192" s="9" t="b">
        <f>ISNUMBER(Sheet1!J192)</f>
        <v>1</v>
      </c>
      <c r="N192" s="13" t="str">
        <f>IF(Sheet1!B192="A","Branch A",IF(Sheet1!B192="B","Branch B","Other Branch"))</f>
        <v>Branch B</v>
      </c>
      <c r="O192" s="13" t="str">
        <f>IF(Sheet1!M192="Credit card","Credit Payment","Other")</f>
        <v>Credit Payment</v>
      </c>
      <c r="P192" s="13" t="str">
        <f>IF(Sheet1!O192&gt;7,"Yes","No")</f>
        <v>Yes</v>
      </c>
    </row>
    <row r="193" spans="5:16">
      <c r="E193" s="13" t="str">
        <v>437</v>
      </c>
      <c r="F193" s="13" t="str">
        <v>8131</v>
      </c>
      <c r="G193" s="13" t="str">
        <v>58</v>
      </c>
      <c r="H193" s="13" t="str">
        <f>_xlfn.CONCAT(Sheet1!A193," --&gt; ",Sheet1!J193)</f>
        <v>437-58-8131 --&gt; 154.392</v>
      </c>
      <c r="I193" s="13" t="str">
        <f>_xlfn.CONCAT(Sheet1!C193,"_",TEXT(Sheet1!K193, "m/d/yyyy"))</f>
        <v>Mandalay_1/15/2019</v>
      </c>
      <c r="J193" s="13" t="str">
        <f>IF(Sheet1!I193=Sheet1!N193*0.05,"Valid","Error")</f>
        <v>Valid</v>
      </c>
      <c r="K193" s="13" t="str">
        <f>IF(Sheet1!N193=Sheet1!G193*Sheet1!H193,"True","False")</f>
        <v>True</v>
      </c>
      <c r="L193" s="13" t="b">
        <v>1</v>
      </c>
      <c r="M193" s="9" t="b">
        <f>ISNUMBER(Sheet1!J193)</f>
        <v>1</v>
      </c>
      <c r="N193" s="13" t="str">
        <f>IF(Sheet1!B193="A","Branch A",IF(Sheet1!B193="B","Branch B","Other Branch"))</f>
        <v>Branch B</v>
      </c>
      <c r="O193" s="13" t="str">
        <f>IF(Sheet1!M193="Credit card","Credit Payment","Other")</f>
        <v>Other</v>
      </c>
      <c r="P193" s="13" t="str">
        <f>IF(Sheet1!O193&gt;7,"Yes","No")</f>
        <v>No</v>
      </c>
    </row>
    <row r="194" spans="5:16">
      <c r="E194" s="13" t="str">
        <v>286</v>
      </c>
      <c r="F194" s="13" t="str">
        <v>6208</v>
      </c>
      <c r="G194" s="13" t="str">
        <v>43</v>
      </c>
      <c r="H194" s="13" t="str">
        <f>_xlfn.CONCAT(Sheet1!A194," --&gt; ",Sheet1!J194)</f>
        <v>286-43-6208 --&gt; 829.71</v>
      </c>
      <c r="I194" s="13" t="str">
        <f>_xlfn.CONCAT(Sheet1!C194,"_",TEXT(Sheet1!K194, "m/d/yyyy"))</f>
        <v>Naypyitaw_3/16/2019</v>
      </c>
      <c r="J194" s="13" t="str">
        <f>IF(Sheet1!I194=Sheet1!N194*0.05,"Valid","Error")</f>
        <v>Valid</v>
      </c>
      <c r="K194" s="13" t="str">
        <f>IF(Sheet1!N194=Sheet1!G194*Sheet1!H194,"True","False")</f>
        <v>True</v>
      </c>
      <c r="L194" s="13" t="b">
        <v>1</v>
      </c>
      <c r="M194" s="9" t="b">
        <f>ISNUMBER(Sheet1!J194)</f>
        <v>1</v>
      </c>
      <c r="N194" s="13" t="str">
        <f>IF(Sheet1!B194="A","Branch A",IF(Sheet1!B194="B","Branch B","Other Branch"))</f>
        <v>Other Branch</v>
      </c>
      <c r="O194" s="13" t="str">
        <f>IF(Sheet1!M194="Credit card","Credit Payment","Other")</f>
        <v>Other</v>
      </c>
      <c r="P194" s="13" t="str">
        <f>IF(Sheet1!O194&gt;7,"Yes","No")</f>
        <v>Yes</v>
      </c>
    </row>
    <row r="195" spans="5:16">
      <c r="E195" s="13" t="str">
        <v>641</v>
      </c>
      <c r="F195" s="13" t="str">
        <v>2399</v>
      </c>
      <c r="G195" s="13" t="str">
        <v>43</v>
      </c>
      <c r="H195" s="13" t="str">
        <f>_xlfn.CONCAT(Sheet1!A195," --&gt; ",Sheet1!J195)</f>
        <v>641-43-2399 --&gt; 107.31</v>
      </c>
      <c r="I195" s="13" t="str">
        <f>_xlfn.CONCAT(Sheet1!C195,"_",TEXT(Sheet1!K195, "m/d/yyyy"))</f>
        <v>Mandalay_1/26/2019</v>
      </c>
      <c r="J195" s="13" t="str">
        <f>IF(Sheet1!I195=Sheet1!N195*0.05,"Valid","Error")</f>
        <v>Valid</v>
      </c>
      <c r="K195" s="13" t="str">
        <f>IF(Sheet1!N195=Sheet1!G195*Sheet1!H195,"True","False")</f>
        <v>True</v>
      </c>
      <c r="L195" s="13" t="b">
        <v>1</v>
      </c>
      <c r="M195" s="9" t="b">
        <f>ISNUMBER(Sheet1!J195)</f>
        <v>1</v>
      </c>
      <c r="N195" s="13" t="str">
        <f>IF(Sheet1!B195="A","Branch A",IF(Sheet1!B195="B","Branch B","Other Branch"))</f>
        <v>Branch B</v>
      </c>
      <c r="O195" s="13" t="str">
        <f>IF(Sheet1!M195="Credit card","Credit Payment","Other")</f>
        <v>Other</v>
      </c>
      <c r="P195" s="13" t="str">
        <f>IF(Sheet1!O195&gt;7,"Yes","No")</f>
        <v>No</v>
      </c>
    </row>
    <row r="196" spans="5:16">
      <c r="E196" s="13" t="str">
        <v>831</v>
      </c>
      <c r="F196" s="13" t="str">
        <v>6050</v>
      </c>
      <c r="G196" s="13" t="str">
        <v>07</v>
      </c>
      <c r="H196" s="13" t="str">
        <f>_xlfn.CONCAT(Sheet1!A196," --&gt; ",Sheet1!J196)</f>
        <v>831-07-6050 --&gt; 171.7275</v>
      </c>
      <c r="I196" s="13" t="str">
        <f>_xlfn.CONCAT(Sheet1!C196,"_",TEXT(Sheet1!K196, "m/d/yyyy"))</f>
        <v>Yangon_3/19/2019</v>
      </c>
      <c r="J196" s="13" t="str">
        <f>IF(Sheet1!I196=Sheet1!N196*0.05,"Valid","Error")</f>
        <v>Valid</v>
      </c>
      <c r="K196" s="13" t="str">
        <f>IF(Sheet1!N196=Sheet1!G196*Sheet1!H196,"True","False")</f>
        <v>True</v>
      </c>
      <c r="L196" s="13" t="b">
        <v>1</v>
      </c>
      <c r="M196" s="9" t="b">
        <f>ISNUMBER(Sheet1!J196)</f>
        <v>1</v>
      </c>
      <c r="N196" s="13" t="str">
        <f>IF(Sheet1!B196="A","Branch A",IF(Sheet1!B196="B","Branch B","Other Branch"))</f>
        <v>Branch A</v>
      </c>
      <c r="O196" s="13" t="str">
        <f>IF(Sheet1!M196="Credit card","Credit Payment","Other")</f>
        <v>Credit Payment</v>
      </c>
      <c r="P196" s="13" t="str">
        <f>IF(Sheet1!O196&gt;7,"Yes","No")</f>
        <v>Yes</v>
      </c>
    </row>
    <row r="197" spans="5:16">
      <c r="E197" s="13" t="str">
        <v>556</v>
      </c>
      <c r="F197" s="13" t="str">
        <v>3144</v>
      </c>
      <c r="G197" s="13" t="str">
        <v>86</v>
      </c>
      <c r="H197" s="13" t="str">
        <f>_xlfn.CONCAT(Sheet1!A197," --&gt; ",Sheet1!J197)</f>
        <v>556-86-3144 --&gt; 78.0045</v>
      </c>
      <c r="I197" s="13" t="str">
        <f>_xlfn.CONCAT(Sheet1!C197,"_",TEXT(Sheet1!K197, "m/d/yyyy"))</f>
        <v>Naypyitaw_1/13/2019</v>
      </c>
      <c r="J197" s="13" t="str">
        <f>IF(Sheet1!I197=Sheet1!N197*0.05,"Valid","Error")</f>
        <v>Valid</v>
      </c>
      <c r="K197" s="13" t="str">
        <f>IF(Sheet1!N197=Sheet1!G197*Sheet1!H197,"True","False")</f>
        <v>True</v>
      </c>
      <c r="L197" s="13" t="b">
        <v>1</v>
      </c>
      <c r="M197" s="9" t="b">
        <f>ISNUMBER(Sheet1!J197)</f>
        <v>1</v>
      </c>
      <c r="N197" s="13" t="str">
        <f>IF(Sheet1!B197="A","Branch A",IF(Sheet1!B197="B","Branch B","Other Branch"))</f>
        <v>Other Branch</v>
      </c>
      <c r="O197" s="13" t="str">
        <f>IF(Sheet1!M197="Credit card","Credit Payment","Other")</f>
        <v>Other</v>
      </c>
      <c r="P197" s="13" t="str">
        <f>IF(Sheet1!O197&gt;7,"Yes","No")</f>
        <v>No</v>
      </c>
    </row>
    <row r="198" spans="5:16">
      <c r="E198" s="13" t="str">
        <v>848</v>
      </c>
      <c r="F198" s="13" t="str">
        <v>9445</v>
      </c>
      <c r="G198" s="13" t="str">
        <v>24</v>
      </c>
      <c r="H198" s="13" t="str">
        <f>_xlfn.CONCAT(Sheet1!A198," --&gt; ",Sheet1!J198)</f>
        <v>848-24-9445 --&gt; 91.77</v>
      </c>
      <c r="I198" s="13" t="str">
        <f>_xlfn.CONCAT(Sheet1!C198,"_",TEXT(Sheet1!K198, "m/d/yyyy"))</f>
        <v>Naypyitaw_3/26/2019</v>
      </c>
      <c r="J198" s="13" t="str">
        <f>IF(Sheet1!I198=Sheet1!N198*0.05,"Valid","Error")</f>
        <v>Valid</v>
      </c>
      <c r="K198" s="13" t="str">
        <f>IF(Sheet1!N198=Sheet1!G198*Sheet1!H198,"True","False")</f>
        <v>True</v>
      </c>
      <c r="L198" s="13" t="b">
        <v>1</v>
      </c>
      <c r="M198" s="9" t="b">
        <f>ISNUMBER(Sheet1!J198)</f>
        <v>1</v>
      </c>
      <c r="N198" s="13" t="str">
        <f>IF(Sheet1!B198="A","Branch A",IF(Sheet1!B198="B","Branch B","Other Branch"))</f>
        <v>Other Branch</v>
      </c>
      <c r="O198" s="13" t="str">
        <f>IF(Sheet1!M198="Credit card","Credit Payment","Other")</f>
        <v>Other</v>
      </c>
      <c r="P198" s="13" t="str">
        <f>IF(Sheet1!O198&gt;7,"Yes","No")</f>
        <v>No</v>
      </c>
    </row>
    <row r="199" spans="5:16">
      <c r="E199" s="13" t="str">
        <v>856</v>
      </c>
      <c r="F199" s="13" t="str">
        <v>8149</v>
      </c>
      <c r="G199" s="13" t="str">
        <v>22</v>
      </c>
      <c r="H199" s="13" t="str">
        <f>_xlfn.CONCAT(Sheet1!A199," --&gt; ",Sheet1!J199)</f>
        <v>856-22-8149 --&gt; 26.5545</v>
      </c>
      <c r="I199" s="13" t="str">
        <f>_xlfn.CONCAT(Sheet1!C199,"_",TEXT(Sheet1!K199, "m/d/yyyy"))</f>
        <v>Yangon_3/23/2019</v>
      </c>
      <c r="J199" s="13" t="str">
        <f>IF(Sheet1!I199=Sheet1!N199*0.05,"Valid","Error")</f>
        <v>Valid</v>
      </c>
      <c r="K199" s="13" t="str">
        <f>IF(Sheet1!N199=Sheet1!G199*Sheet1!H199,"True","False")</f>
        <v>True</v>
      </c>
      <c r="L199" s="13" t="b">
        <v>1</v>
      </c>
      <c r="M199" s="9" t="b">
        <f>ISNUMBER(Sheet1!J199)</f>
        <v>1</v>
      </c>
      <c r="N199" s="13" t="str">
        <f>IF(Sheet1!B199="A","Branch A",IF(Sheet1!B199="B","Branch B","Other Branch"))</f>
        <v>Branch A</v>
      </c>
      <c r="O199" s="13" t="str">
        <f>IF(Sheet1!M199="Credit card","Credit Payment","Other")</f>
        <v>Other</v>
      </c>
      <c r="P199" s="13" t="str">
        <f>IF(Sheet1!O199&gt;7,"Yes","No")</f>
        <v>No</v>
      </c>
    </row>
    <row r="200" spans="5:16">
      <c r="E200" s="13" t="str">
        <v>699</v>
      </c>
      <c r="F200" s="13" t="str">
        <v>4164</v>
      </c>
      <c r="G200" s="13" t="str">
        <v>01</v>
      </c>
      <c r="H200" s="13" t="str">
        <f>_xlfn.CONCAT(Sheet1!A200," --&gt; ",Sheet1!J200)</f>
        <v>699-01-4164 --&gt; 174.3</v>
      </c>
      <c r="I200" s="13" t="str">
        <f>_xlfn.CONCAT(Sheet1!C200,"_",TEXT(Sheet1!K200, "m/d/yyyy"))</f>
        <v>Naypyitaw_3/12/2019</v>
      </c>
      <c r="J200" s="13" t="str">
        <f>IF(Sheet1!I200=Sheet1!N200*0.05,"Valid","Error")</f>
        <v>Valid</v>
      </c>
      <c r="K200" s="13" t="str">
        <f>IF(Sheet1!N200=Sheet1!G200*Sheet1!H200,"True","False")</f>
        <v>True</v>
      </c>
      <c r="L200" s="13" t="b">
        <v>1</v>
      </c>
      <c r="M200" s="9" t="b">
        <f>ISNUMBER(Sheet1!J200)</f>
        <v>1</v>
      </c>
      <c r="N200" s="13" t="str">
        <f>IF(Sheet1!B200="A","Branch A",IF(Sheet1!B200="B","Branch B","Other Branch"))</f>
        <v>Other Branch</v>
      </c>
      <c r="O200" s="13" t="str">
        <f>IF(Sheet1!M200="Credit card","Credit Payment","Other")</f>
        <v>Credit Payment</v>
      </c>
      <c r="P200" s="13" t="str">
        <f>IF(Sheet1!O200&gt;7,"Yes","No")</f>
        <v>Yes</v>
      </c>
    </row>
    <row r="201" spans="5:16">
      <c r="E201" s="13" t="str">
        <v>420</v>
      </c>
      <c r="F201" s="13" t="str">
        <v>4919</v>
      </c>
      <c r="G201" s="13" t="str">
        <v>11</v>
      </c>
      <c r="H201" s="13" t="str">
        <f>_xlfn.CONCAT(Sheet1!A201," --&gt; ",Sheet1!J201)</f>
        <v>420-11-4919 --&gt; 374.7975</v>
      </c>
      <c r="I201" s="13" t="str">
        <f>_xlfn.CONCAT(Sheet1!C201,"_",TEXT(Sheet1!K201, "m/d/yyyy"))</f>
        <v>Naypyitaw_2/17/2019</v>
      </c>
      <c r="J201" s="13" t="str">
        <f>IF(Sheet1!I201=Sheet1!N201*0.05,"Valid","Error")</f>
        <v>Valid</v>
      </c>
      <c r="K201" s="13" t="str">
        <f>IF(Sheet1!N201=Sheet1!G201*Sheet1!H201,"True","False")</f>
        <v>True</v>
      </c>
      <c r="L201" s="13" t="b">
        <v>1</v>
      </c>
      <c r="M201" s="9" t="b">
        <f>ISNUMBER(Sheet1!J201)</f>
        <v>1</v>
      </c>
      <c r="N201" s="13" t="str">
        <f>IF(Sheet1!B201="A","Branch A",IF(Sheet1!B201="B","Branch B","Other Branch"))</f>
        <v>Other Branch</v>
      </c>
      <c r="O201" s="13" t="str">
        <f>IF(Sheet1!M201="Credit card","Credit Payment","Other")</f>
        <v>Credit Payment</v>
      </c>
      <c r="P201" s="13" t="str">
        <f>IF(Sheet1!O201&gt;7,"Yes","No")</f>
        <v>No</v>
      </c>
    </row>
    <row r="202" spans="5:16">
      <c r="E202" s="13" t="str">
        <v>606</v>
      </c>
      <c r="F202" s="13" t="str">
        <v>4905</v>
      </c>
      <c r="G202" s="13" t="str">
        <v>80</v>
      </c>
      <c r="H202" s="13" t="str">
        <f>_xlfn.CONCAT(Sheet1!A202," --&gt; ",Sheet1!J202)</f>
        <v>606-80-4905 --&gt; 120.645</v>
      </c>
      <c r="I202" s="13" t="str">
        <f>_xlfn.CONCAT(Sheet1!C202,"_",TEXT(Sheet1!K202, "m/d/yyyy"))</f>
        <v>Naypyitaw_1/29/2019</v>
      </c>
      <c r="J202" s="13" t="str">
        <f>IF(Sheet1!I202=Sheet1!N202*0.05,"Valid","Error")</f>
        <v>Valid</v>
      </c>
      <c r="K202" s="13" t="str">
        <f>IF(Sheet1!N202=Sheet1!G202*Sheet1!H202,"True","False")</f>
        <v>True</v>
      </c>
      <c r="L202" s="13" t="b">
        <v>1</v>
      </c>
      <c r="M202" s="9" t="b">
        <f>ISNUMBER(Sheet1!J202)</f>
        <v>1</v>
      </c>
      <c r="N202" s="13" t="str">
        <f>IF(Sheet1!B202="A","Branch A",IF(Sheet1!B202="B","Branch B","Other Branch"))</f>
        <v>Other Branch</v>
      </c>
      <c r="O202" s="13" t="str">
        <f>IF(Sheet1!M202="Credit card","Credit Payment","Other")</f>
        <v>Credit Payment</v>
      </c>
      <c r="P202" s="13" t="str">
        <f>IF(Sheet1!O202&gt;7,"Yes","No")</f>
        <v>No</v>
      </c>
    </row>
    <row r="203" spans="5:16">
      <c r="E203" s="13" t="str">
        <v>542</v>
      </c>
      <c r="F203" s="13" t="str">
        <v>0513</v>
      </c>
      <c r="G203" s="13" t="str">
        <v>41</v>
      </c>
      <c r="H203" s="13" t="str">
        <f>_xlfn.CONCAT(Sheet1!A203," --&gt; ",Sheet1!J203)</f>
        <v>542-41-0513 --&gt; 241.458</v>
      </c>
      <c r="I203" s="13" t="str">
        <f>_xlfn.CONCAT(Sheet1!C203,"_",TEXT(Sheet1!K203, "m/d/yyyy"))</f>
        <v>Mandalay_3/15/2019</v>
      </c>
      <c r="J203" s="13" t="str">
        <f>IF(Sheet1!I203=Sheet1!N203*0.05,"Valid","Error")</f>
        <v>Valid</v>
      </c>
      <c r="K203" s="13" t="str">
        <f>IF(Sheet1!N203=Sheet1!G203*Sheet1!H203,"True","False")</f>
        <v>True</v>
      </c>
      <c r="L203" s="13" t="b">
        <v>1</v>
      </c>
      <c r="M203" s="9" t="b">
        <f>ISNUMBER(Sheet1!J203)</f>
        <v>1</v>
      </c>
      <c r="N203" s="13" t="str">
        <f>IF(Sheet1!B203="A","Branch A",IF(Sheet1!B203="B","Branch B","Other Branch"))</f>
        <v>Branch B</v>
      </c>
      <c r="O203" s="13" t="str">
        <f>IF(Sheet1!M203="Credit card","Credit Payment","Other")</f>
        <v>Other</v>
      </c>
      <c r="P203" s="13" t="str">
        <f>IF(Sheet1!O203&gt;7,"Yes","No")</f>
        <v>No</v>
      </c>
    </row>
    <row r="204" spans="5:16">
      <c r="E204" s="13" t="str">
        <v>426</v>
      </c>
      <c r="F204" s="13" t="str">
        <v>2418</v>
      </c>
      <c r="G204" s="13" t="str">
        <v>39</v>
      </c>
      <c r="H204" s="13" t="str">
        <f>_xlfn.CONCAT(Sheet1!A204," --&gt; ",Sheet1!J204)</f>
        <v>426-39-2418 --&gt; 451.3635</v>
      </c>
      <c r="I204" s="13" t="str">
        <f>_xlfn.CONCAT(Sheet1!C204,"_",TEXT(Sheet1!K204, "m/d/yyyy"))</f>
        <v>Naypyitaw_1/14/2019</v>
      </c>
      <c r="J204" s="13" t="str">
        <f>IF(Sheet1!I204=Sheet1!N204*0.05,"Valid","Error")</f>
        <v>Valid</v>
      </c>
      <c r="K204" s="13" t="str">
        <f>IF(Sheet1!N204=Sheet1!G204*Sheet1!H204,"True","False")</f>
        <v>True</v>
      </c>
      <c r="L204" s="13" t="b">
        <v>1</v>
      </c>
      <c r="M204" s="9" t="b">
        <f>ISNUMBER(Sheet1!J204)</f>
        <v>1</v>
      </c>
      <c r="N204" s="13" t="str">
        <f>IF(Sheet1!B204="A","Branch A",IF(Sheet1!B204="B","Branch B","Other Branch"))</f>
        <v>Other Branch</v>
      </c>
      <c r="O204" s="13" t="str">
        <f>IF(Sheet1!M204="Credit card","Credit Payment","Other")</f>
        <v>Other</v>
      </c>
      <c r="P204" s="13" t="str">
        <f>IF(Sheet1!O204&gt;7,"Yes","No")</f>
        <v>Yes</v>
      </c>
    </row>
    <row r="205" spans="5:16">
      <c r="E205" s="13" t="str">
        <v>875</v>
      </c>
      <c r="F205" s="13" t="str">
        <v>5808</v>
      </c>
      <c r="G205" s="13" t="str">
        <v>46</v>
      </c>
      <c r="H205" s="13" t="str">
        <f>_xlfn.CONCAT(Sheet1!A205," --&gt; ",Sheet1!J205)</f>
        <v>875-46-5808 --&gt; 271.95</v>
      </c>
      <c r="I205" s="13" t="str">
        <f>_xlfn.CONCAT(Sheet1!C205,"_",TEXT(Sheet1!K205, "m/d/yyyy"))</f>
        <v>Mandalay_2/6/2019</v>
      </c>
      <c r="J205" s="13" t="str">
        <f>IF(Sheet1!I205=Sheet1!N205*0.05,"Valid","Error")</f>
        <v>Valid</v>
      </c>
      <c r="K205" s="13" t="str">
        <f>IF(Sheet1!N205=Sheet1!G205*Sheet1!H205,"True","False")</f>
        <v>True</v>
      </c>
      <c r="L205" s="13" t="b">
        <v>1</v>
      </c>
      <c r="M205" s="9" t="b">
        <f>ISNUMBER(Sheet1!J205)</f>
        <v>1</v>
      </c>
      <c r="N205" s="13" t="str">
        <f>IF(Sheet1!B205="A","Branch A",IF(Sheet1!B205="B","Branch B","Other Branch"))</f>
        <v>Branch B</v>
      </c>
      <c r="O205" s="13" t="str">
        <f>IF(Sheet1!M205="Credit card","Credit Payment","Other")</f>
        <v>Other</v>
      </c>
      <c r="P205" s="13" t="str">
        <f>IF(Sheet1!O205&gt;7,"Yes","No")</f>
        <v>Yes</v>
      </c>
    </row>
    <row r="206" spans="5:16">
      <c r="E206" s="13" t="str">
        <v>394</v>
      </c>
      <c r="F206" s="13" t="str">
        <v>4238</v>
      </c>
      <c r="G206" s="13" t="str">
        <v>43</v>
      </c>
      <c r="H206" s="13" t="str">
        <f>_xlfn.CONCAT(Sheet1!A206," --&gt; ",Sheet1!J206)</f>
        <v>394-43-4238 --&gt; 93.2925</v>
      </c>
      <c r="I206" s="13" t="str">
        <f>_xlfn.CONCAT(Sheet1!C206,"_",TEXT(Sheet1!K206, "m/d/yyyy"))</f>
        <v>Mandalay_2/15/2019</v>
      </c>
      <c r="J206" s="13" t="str">
        <f>IF(Sheet1!I206=Sheet1!N206*0.05,"Valid","Error")</f>
        <v>Valid</v>
      </c>
      <c r="K206" s="13" t="str">
        <f>IF(Sheet1!N206=Sheet1!G206*Sheet1!H206,"True","False")</f>
        <v>True</v>
      </c>
      <c r="L206" s="13" t="b">
        <v>1</v>
      </c>
      <c r="M206" s="9" t="b">
        <f>ISNUMBER(Sheet1!J206)</f>
        <v>1</v>
      </c>
      <c r="N206" s="13" t="str">
        <f>IF(Sheet1!B206="A","Branch A",IF(Sheet1!B206="B","Branch B","Other Branch"))</f>
        <v>Branch B</v>
      </c>
      <c r="O206" s="13" t="str">
        <f>IF(Sheet1!M206="Credit card","Credit Payment","Other")</f>
        <v>Credit Payment</v>
      </c>
      <c r="P206" s="13" t="str">
        <f>IF(Sheet1!O206&gt;7,"Yes","No")</f>
        <v>No</v>
      </c>
    </row>
    <row r="207" spans="5:16">
      <c r="E207" s="13" t="str">
        <v>749</v>
      </c>
      <c r="F207" s="13" t="str">
        <v>1565</v>
      </c>
      <c r="G207" s="13" t="str">
        <v>24</v>
      </c>
      <c r="H207" s="13" t="str">
        <f>_xlfn.CONCAT(Sheet1!A207," --&gt; ",Sheet1!J207)</f>
        <v>749-24-1565 --&gt; 217.6335</v>
      </c>
      <c r="I207" s="13" t="str">
        <f>_xlfn.CONCAT(Sheet1!C207,"_",TEXT(Sheet1!K207, "m/d/yyyy"))</f>
        <v>Yangon_1/3/2019</v>
      </c>
      <c r="J207" s="13" t="str">
        <f>IF(Sheet1!I207=Sheet1!N207*0.05,"Valid","Error")</f>
        <v>Valid</v>
      </c>
      <c r="K207" s="13" t="str">
        <f>IF(Sheet1!N207=Sheet1!G207*Sheet1!H207,"True","False")</f>
        <v>True</v>
      </c>
      <c r="L207" s="13" t="b">
        <v>1</v>
      </c>
      <c r="M207" s="9" t="b">
        <f>ISNUMBER(Sheet1!J207)</f>
        <v>1</v>
      </c>
      <c r="N207" s="13" t="str">
        <f>IF(Sheet1!B207="A","Branch A",IF(Sheet1!B207="B","Branch B","Other Branch"))</f>
        <v>Branch A</v>
      </c>
      <c r="O207" s="13" t="str">
        <f>IF(Sheet1!M207="Credit card","Credit Payment","Other")</f>
        <v>Other</v>
      </c>
      <c r="P207" s="13" t="str">
        <f>IF(Sheet1!O207&gt;7,"Yes","No")</f>
        <v>Yes</v>
      </c>
    </row>
    <row r="208" spans="5:16">
      <c r="E208" s="13" t="str">
        <v>672</v>
      </c>
      <c r="F208" s="13" t="str">
        <v>8681</v>
      </c>
      <c r="G208" s="13" t="str">
        <v>51</v>
      </c>
      <c r="H208" s="13" t="str">
        <f>_xlfn.CONCAT(Sheet1!A208," --&gt; ",Sheet1!J208)</f>
        <v>672-51-8681 --&gt; 629.8425</v>
      </c>
      <c r="I208" s="13" t="str">
        <f>_xlfn.CONCAT(Sheet1!C208,"_",TEXT(Sheet1!K208, "m/d/yyyy"))</f>
        <v>Naypyitaw_1/4/2019</v>
      </c>
      <c r="J208" s="13" t="str">
        <f>IF(Sheet1!I208=Sheet1!N208*0.05,"Valid","Error")</f>
        <v>Valid</v>
      </c>
      <c r="K208" s="13" t="str">
        <f>IF(Sheet1!N208=Sheet1!G208*Sheet1!H208,"True","False")</f>
        <v>True</v>
      </c>
      <c r="L208" s="13" t="b">
        <v>1</v>
      </c>
      <c r="M208" s="9" t="b">
        <f>ISNUMBER(Sheet1!J208)</f>
        <v>1</v>
      </c>
      <c r="N208" s="13" t="str">
        <f>IF(Sheet1!B208="A","Branch A",IF(Sheet1!B208="B","Branch B","Other Branch"))</f>
        <v>Other Branch</v>
      </c>
      <c r="O208" s="13" t="str">
        <f>IF(Sheet1!M208="Credit card","Credit Payment","Other")</f>
        <v>Credit Payment</v>
      </c>
      <c r="P208" s="13" t="str">
        <f>IF(Sheet1!O208&gt;7,"Yes","No")</f>
        <v>Yes</v>
      </c>
    </row>
    <row r="209" spans="5:16">
      <c r="E209" s="13" t="str">
        <v>263</v>
      </c>
      <c r="F209" s="13" t="str">
        <v>5680</v>
      </c>
      <c r="G209" s="13" t="str">
        <v>87</v>
      </c>
      <c r="H209" s="13" t="str">
        <f>_xlfn.CONCAT(Sheet1!A209," --&gt; ",Sheet1!J209)</f>
        <v>263-87-5680 --&gt; 299.565</v>
      </c>
      <c r="I209" s="13" t="str">
        <f>_xlfn.CONCAT(Sheet1!C209,"_",TEXT(Sheet1!K209, "m/d/yyyy"))</f>
        <v>Naypyitaw_3/18/2019</v>
      </c>
      <c r="J209" s="13" t="str">
        <f>IF(Sheet1!I209=Sheet1!N209*0.05,"Valid","Error")</f>
        <v>Valid</v>
      </c>
      <c r="K209" s="13" t="str">
        <f>IF(Sheet1!N209=Sheet1!G209*Sheet1!H209,"True","False")</f>
        <v>True</v>
      </c>
      <c r="L209" s="13" t="b">
        <v>1</v>
      </c>
      <c r="M209" s="9" t="b">
        <f>ISNUMBER(Sheet1!J209)</f>
        <v>1</v>
      </c>
      <c r="N209" s="13" t="str">
        <f>IF(Sheet1!B209="A","Branch A",IF(Sheet1!B209="B","Branch B","Other Branch"))</f>
        <v>Other Branch</v>
      </c>
      <c r="O209" s="13" t="str">
        <f>IF(Sheet1!M209="Credit card","Credit Payment","Other")</f>
        <v>Other</v>
      </c>
      <c r="P209" s="13" t="str">
        <f>IF(Sheet1!O209&gt;7,"Yes","No")</f>
        <v>Yes</v>
      </c>
    </row>
    <row r="210" spans="5:16">
      <c r="E210" s="13" t="str">
        <v>573</v>
      </c>
      <c r="F210" s="13" t="str">
        <v>9734</v>
      </c>
      <c r="G210" s="13" t="str">
        <v>58</v>
      </c>
      <c r="H210" s="13" t="str">
        <f>_xlfn.CONCAT(Sheet1!A210," --&gt; ",Sheet1!J210)</f>
        <v>573-58-9734 --&gt; 95.6655</v>
      </c>
      <c r="I210" s="13" t="str">
        <f>_xlfn.CONCAT(Sheet1!C210,"_",TEXT(Sheet1!K210, "m/d/yyyy"))</f>
        <v>Mandalay_3/28/2019</v>
      </c>
      <c r="J210" s="13" t="str">
        <f>IF(Sheet1!I210=Sheet1!N210*0.05,"Valid","Error")</f>
        <v>Valid</v>
      </c>
      <c r="K210" s="13" t="str">
        <f>IF(Sheet1!N210=Sheet1!G210*Sheet1!H210,"True","False")</f>
        <v>True</v>
      </c>
      <c r="L210" s="13" t="b">
        <v>1</v>
      </c>
      <c r="M210" s="9" t="b">
        <f>ISNUMBER(Sheet1!J210)</f>
        <v>1</v>
      </c>
      <c r="N210" s="13" t="str">
        <f>IF(Sheet1!B210="A","Branch A",IF(Sheet1!B210="B","Branch B","Other Branch"))</f>
        <v>Branch B</v>
      </c>
      <c r="O210" s="13" t="str">
        <f>IF(Sheet1!M210="Credit card","Credit Payment","Other")</f>
        <v>Other</v>
      </c>
      <c r="P210" s="13" t="str">
        <f>IF(Sheet1!O210&gt;7,"Yes","No")</f>
        <v>No</v>
      </c>
    </row>
    <row r="211" spans="5:16">
      <c r="E211" s="13" t="str">
        <v>817</v>
      </c>
      <c r="F211" s="13" t="str">
        <v>8206</v>
      </c>
      <c r="G211" s="13" t="str">
        <v>69</v>
      </c>
      <c r="H211" s="13" t="str">
        <f>_xlfn.CONCAT(Sheet1!A211," --&gt; ",Sheet1!J211)</f>
        <v>817-69-8206 --&gt; 942.4485</v>
      </c>
      <c r="I211" s="13" t="str">
        <f>_xlfn.CONCAT(Sheet1!C211,"_",TEXT(Sheet1!K211, "m/d/yyyy"))</f>
        <v>Mandalay_3/2/2019</v>
      </c>
      <c r="J211" s="13" t="str">
        <f>IF(Sheet1!I211=Sheet1!N211*0.05,"Valid","Error")</f>
        <v>Valid</v>
      </c>
      <c r="K211" s="13" t="str">
        <f>IF(Sheet1!N211=Sheet1!G211*Sheet1!H211,"True","False")</f>
        <v>True</v>
      </c>
      <c r="L211" s="13" t="b">
        <v>1</v>
      </c>
      <c r="M211" s="9" t="b">
        <f>ISNUMBER(Sheet1!J211)</f>
        <v>1</v>
      </c>
      <c r="N211" s="13" t="str">
        <f>IF(Sheet1!B211="A","Branch A",IF(Sheet1!B211="B","Branch B","Other Branch"))</f>
        <v>Branch B</v>
      </c>
      <c r="O211" s="13" t="str">
        <f>IF(Sheet1!M211="Credit card","Credit Payment","Other")</f>
        <v>Credit Payment</v>
      </c>
      <c r="P211" s="13" t="str">
        <f>IF(Sheet1!O211&gt;7,"Yes","No")</f>
        <v>No</v>
      </c>
    </row>
    <row r="212" spans="5:16">
      <c r="E212" s="13" t="str">
        <v>888</v>
      </c>
      <c r="F212" s="13" t="str">
        <v>0338</v>
      </c>
      <c r="G212" s="13" t="str">
        <v>02</v>
      </c>
      <c r="H212" s="13" t="str">
        <f>_xlfn.CONCAT(Sheet1!A212," --&gt; ",Sheet1!J212)</f>
        <v>888-02-0338 --&gt; 247.8735</v>
      </c>
      <c r="I212" s="13" t="str">
        <f>_xlfn.CONCAT(Sheet1!C212,"_",TEXT(Sheet1!K212, "m/d/yyyy"))</f>
        <v>Yangon_1/25/2019</v>
      </c>
      <c r="J212" s="13" t="str">
        <f>IF(Sheet1!I212=Sheet1!N212*0.05,"Valid","Error")</f>
        <v>Valid</v>
      </c>
      <c r="K212" s="13" t="str">
        <f>IF(Sheet1!N212=Sheet1!G212*Sheet1!H212,"True","False")</f>
        <v>True</v>
      </c>
      <c r="L212" s="13" t="b">
        <v>1</v>
      </c>
      <c r="M212" s="9" t="b">
        <f>ISNUMBER(Sheet1!J212)</f>
        <v>1</v>
      </c>
      <c r="N212" s="13" t="str">
        <f>IF(Sheet1!B212="A","Branch A",IF(Sheet1!B212="B","Branch B","Other Branch"))</f>
        <v>Branch A</v>
      </c>
      <c r="O212" s="13" t="str">
        <f>IF(Sheet1!M212="Credit card","Credit Payment","Other")</f>
        <v>Other</v>
      </c>
      <c r="P212" s="13" t="str">
        <f>IF(Sheet1!O212&gt;7,"Yes","No")</f>
        <v>No</v>
      </c>
    </row>
    <row r="213" spans="5:16">
      <c r="E213" s="13" t="str">
        <v>677</v>
      </c>
      <c r="F213" s="13" t="str">
        <v>0152</v>
      </c>
      <c r="G213" s="13" t="str">
        <v>11</v>
      </c>
      <c r="H213" s="13" t="str">
        <f>_xlfn.CONCAT(Sheet1!A213," --&gt; ",Sheet1!J213)</f>
        <v>677-11-0152 --&gt; 881.307</v>
      </c>
      <c r="I213" s="13" t="str">
        <f>_xlfn.CONCAT(Sheet1!C213,"_",TEXT(Sheet1!K213, "m/d/yyyy"))</f>
        <v>Naypyitaw_1/16/2019</v>
      </c>
      <c r="J213" s="13" t="str">
        <f>IF(Sheet1!I213=Sheet1!N213*0.05,"Valid","Error")</f>
        <v>Valid</v>
      </c>
      <c r="K213" s="13" t="str">
        <f>IF(Sheet1!N213=Sheet1!G213*Sheet1!H213,"True","False")</f>
        <v>True</v>
      </c>
      <c r="L213" s="13" t="b">
        <v>1</v>
      </c>
      <c r="M213" s="9" t="b">
        <f>ISNUMBER(Sheet1!J213)</f>
        <v>1</v>
      </c>
      <c r="N213" s="13" t="str">
        <f>IF(Sheet1!B213="A","Branch A",IF(Sheet1!B213="B","Branch B","Other Branch"))</f>
        <v>Other Branch</v>
      </c>
      <c r="O213" s="13" t="str">
        <f>IF(Sheet1!M213="Credit card","Credit Payment","Other")</f>
        <v>Other</v>
      </c>
      <c r="P213" s="13" t="str">
        <f>IF(Sheet1!O213&gt;7,"Yes","No")</f>
        <v>Yes</v>
      </c>
    </row>
    <row r="214" spans="5:16">
      <c r="E214" s="13" t="str">
        <v>142</v>
      </c>
      <c r="F214" s="13" t="str">
        <v>6033</v>
      </c>
      <c r="G214" s="13" t="str">
        <v>63</v>
      </c>
      <c r="H214" s="13" t="str">
        <f>_xlfn.CONCAT(Sheet1!A214," --&gt; ",Sheet1!J214)</f>
        <v>142-63-6033 --&gt; 484.89</v>
      </c>
      <c r="I214" s="13" t="str">
        <f>_xlfn.CONCAT(Sheet1!C214,"_",TEXT(Sheet1!K214, "m/d/yyyy"))</f>
        <v>Mandalay_3/20/2019</v>
      </c>
      <c r="J214" s="13" t="str">
        <f>IF(Sheet1!I214=Sheet1!N214*0.05,"Valid","Error")</f>
        <v>Valid</v>
      </c>
      <c r="K214" s="13" t="str">
        <f>IF(Sheet1!N214=Sheet1!G214*Sheet1!H214,"True","False")</f>
        <v>True</v>
      </c>
      <c r="L214" s="13" t="b">
        <v>1</v>
      </c>
      <c r="M214" s="9" t="b">
        <f>ISNUMBER(Sheet1!J214)</f>
        <v>1</v>
      </c>
      <c r="N214" s="13" t="str">
        <f>IF(Sheet1!B214="A","Branch A",IF(Sheet1!B214="B","Branch B","Other Branch"))</f>
        <v>Branch B</v>
      </c>
      <c r="O214" s="13" t="str">
        <f>IF(Sheet1!M214="Credit card","Credit Payment","Other")</f>
        <v>Other</v>
      </c>
      <c r="P214" s="13" t="str">
        <f>IF(Sheet1!O214&gt;7,"Yes","No")</f>
        <v>No</v>
      </c>
    </row>
    <row r="215" spans="5:16">
      <c r="E215" s="13" t="str">
        <v>656</v>
      </c>
      <c r="F215" s="13" t="str">
        <v>1063</v>
      </c>
      <c r="G215" s="13" t="str">
        <v>16</v>
      </c>
      <c r="H215" s="13" t="str">
        <f>_xlfn.CONCAT(Sheet1!A215," --&gt; ",Sheet1!J215)</f>
        <v>656-16-1063 --&gt; 146.223</v>
      </c>
      <c r="I215" s="13" t="str">
        <f>_xlfn.CONCAT(Sheet1!C215,"_",TEXT(Sheet1!K215, "m/d/yyyy"))</f>
        <v>Mandalay_1/4/2019</v>
      </c>
      <c r="J215" s="13" t="str">
        <f>IF(Sheet1!I215=Sheet1!N215*0.05,"Valid","Error")</f>
        <v>Valid</v>
      </c>
      <c r="K215" s="13" t="str">
        <f>IF(Sheet1!N215=Sheet1!G215*Sheet1!H215,"True","False")</f>
        <v>True</v>
      </c>
      <c r="L215" s="13" t="b">
        <v>1</v>
      </c>
      <c r="M215" s="9" t="b">
        <f>ISNUMBER(Sheet1!J215)</f>
        <v>1</v>
      </c>
      <c r="N215" s="13" t="str">
        <f>IF(Sheet1!B215="A","Branch A",IF(Sheet1!B215="B","Branch B","Other Branch"))</f>
        <v>Branch B</v>
      </c>
      <c r="O215" s="13" t="str">
        <f>IF(Sheet1!M215="Credit card","Credit Payment","Other")</f>
        <v>Credit Payment</v>
      </c>
      <c r="P215" s="13" t="str">
        <f>IF(Sheet1!O215&gt;7,"Yes","No")</f>
        <v>No</v>
      </c>
    </row>
    <row r="216" spans="5:16">
      <c r="E216" s="13" t="str">
        <v>891</v>
      </c>
      <c r="F216" s="13" t="str">
        <v>8335</v>
      </c>
      <c r="G216" s="13" t="str">
        <v>58</v>
      </c>
      <c r="H216" s="13" t="str">
        <f>_xlfn.CONCAT(Sheet1!A216," --&gt; ",Sheet1!J216)</f>
        <v>891-58-8335 --&gt; 217.6335</v>
      </c>
      <c r="I216" s="13" t="str">
        <f>_xlfn.CONCAT(Sheet1!C216,"_",TEXT(Sheet1!K216, "m/d/yyyy"))</f>
        <v>Mandalay_3/11/2019</v>
      </c>
      <c r="J216" s="13" t="str">
        <f>IF(Sheet1!I216=Sheet1!N216*0.05,"Valid","Error")</f>
        <v>Valid</v>
      </c>
      <c r="K216" s="13" t="str">
        <f>IF(Sheet1!N216=Sheet1!G216*Sheet1!H216,"True","False")</f>
        <v>True</v>
      </c>
      <c r="L216" s="13" t="b">
        <v>1</v>
      </c>
      <c r="M216" s="9" t="b">
        <f>ISNUMBER(Sheet1!J216)</f>
        <v>1</v>
      </c>
      <c r="N216" s="13" t="str">
        <f>IF(Sheet1!B216="A","Branch A",IF(Sheet1!B216="B","Branch B","Other Branch"))</f>
        <v>Branch B</v>
      </c>
      <c r="O216" s="13" t="str">
        <f>IF(Sheet1!M216="Credit card","Credit Payment","Other")</f>
        <v>Other</v>
      </c>
      <c r="P216" s="13" t="str">
        <f>IF(Sheet1!O216&gt;7,"Yes","No")</f>
        <v>No</v>
      </c>
    </row>
    <row r="217" spans="5:16">
      <c r="E217" s="13" t="str">
        <v>802</v>
      </c>
      <c r="F217" s="13" t="str">
        <v>8934</v>
      </c>
      <c r="G217" s="13" t="str">
        <v>43</v>
      </c>
      <c r="H217" s="13" t="str">
        <f>_xlfn.CONCAT(Sheet1!A217," --&gt; ",Sheet1!J217)</f>
        <v>802-43-8934 --&gt; 19.194</v>
      </c>
      <c r="I217" s="13" t="str">
        <f>_xlfn.CONCAT(Sheet1!C217,"_",TEXT(Sheet1!K217, "m/d/yyyy"))</f>
        <v>Yangon_3/22/2019</v>
      </c>
      <c r="J217" s="13" t="str">
        <f>IF(Sheet1!I217=Sheet1!N217*0.05,"Valid","Error")</f>
        <v>Valid</v>
      </c>
      <c r="K217" s="13" t="str">
        <f>IF(Sheet1!N217=Sheet1!G217*Sheet1!H217,"True","False")</f>
        <v>True</v>
      </c>
      <c r="L217" s="13" t="b">
        <v>1</v>
      </c>
      <c r="M217" s="9" t="b">
        <f>ISNUMBER(Sheet1!J217)</f>
        <v>1</v>
      </c>
      <c r="N217" s="13" t="str">
        <f>IF(Sheet1!B217="A","Branch A",IF(Sheet1!B217="B","Branch B","Other Branch"))</f>
        <v>Branch A</v>
      </c>
      <c r="O217" s="13" t="str">
        <f>IF(Sheet1!M217="Credit card","Credit Payment","Other")</f>
        <v>Credit Payment</v>
      </c>
      <c r="P217" s="13" t="str">
        <f>IF(Sheet1!O217&gt;7,"Yes","No")</f>
        <v>Yes</v>
      </c>
    </row>
    <row r="218" spans="5:16">
      <c r="E218" s="13" t="str">
        <v>560</v>
      </c>
      <c r="F218" s="13" t="str">
        <v>5617</v>
      </c>
      <c r="G218" s="13" t="str">
        <v>30</v>
      </c>
      <c r="H218" s="13" t="str">
        <f>_xlfn.CONCAT(Sheet1!A218," --&gt; ",Sheet1!J218)</f>
        <v>560-30-5617 --&gt; 130.0425</v>
      </c>
      <c r="I218" s="13" t="str">
        <f>_xlfn.CONCAT(Sheet1!C218,"_",TEXT(Sheet1!K218, "m/d/yyyy"))</f>
        <v>Mandalay_3/24/2019</v>
      </c>
      <c r="J218" s="13" t="str">
        <f>IF(Sheet1!I218=Sheet1!N218*0.05,"Valid","Error")</f>
        <v>Valid</v>
      </c>
      <c r="K218" s="13" t="str">
        <f>IF(Sheet1!N218=Sheet1!G218*Sheet1!H218,"True","False")</f>
        <v>True</v>
      </c>
      <c r="L218" s="13" t="b">
        <v>1</v>
      </c>
      <c r="M218" s="9" t="b">
        <f>ISNUMBER(Sheet1!J218)</f>
        <v>1</v>
      </c>
      <c r="N218" s="13" t="str">
        <f>IF(Sheet1!B218="A","Branch A",IF(Sheet1!B218="B","Branch B","Other Branch"))</f>
        <v>Branch B</v>
      </c>
      <c r="O218" s="13" t="str">
        <f>IF(Sheet1!M218="Credit card","Credit Payment","Other")</f>
        <v>Other</v>
      </c>
      <c r="P218" s="13" t="str">
        <f>IF(Sheet1!O218&gt;7,"Yes","No")</f>
        <v>Yes</v>
      </c>
    </row>
    <row r="219" spans="5:16">
      <c r="E219" s="13" t="str">
        <v>319</v>
      </c>
      <c r="F219" s="13" t="str">
        <v>2561</v>
      </c>
      <c r="G219" s="13" t="str">
        <v>74</v>
      </c>
      <c r="H219" s="13" t="str">
        <f>_xlfn.CONCAT(Sheet1!A219," --&gt; ",Sheet1!J219)</f>
        <v>319-74-2561 --&gt; 298.116</v>
      </c>
      <c r="I219" s="13" t="str">
        <f>_xlfn.CONCAT(Sheet1!C219,"_",TEXT(Sheet1!K219, "m/d/yyyy"))</f>
        <v>Yangon_2/21/2019</v>
      </c>
      <c r="J219" s="13" t="str">
        <f>IF(Sheet1!I219=Sheet1!N219*0.05,"Valid","Error")</f>
        <v>Valid</v>
      </c>
      <c r="K219" s="13" t="str">
        <f>IF(Sheet1!N219=Sheet1!G219*Sheet1!H219,"True","False")</f>
        <v>True</v>
      </c>
      <c r="L219" s="13" t="b">
        <v>1</v>
      </c>
      <c r="M219" s="9" t="b">
        <f>ISNUMBER(Sheet1!J219)</f>
        <v>1</v>
      </c>
      <c r="N219" s="13" t="str">
        <f>IF(Sheet1!B219="A","Branch A",IF(Sheet1!B219="B","Branch B","Other Branch"))</f>
        <v>Branch A</v>
      </c>
      <c r="O219" s="13" t="str">
        <f>IF(Sheet1!M219="Credit card","Credit Payment","Other")</f>
        <v>Other</v>
      </c>
      <c r="P219" s="13" t="str">
        <f>IF(Sheet1!O219&gt;7,"Yes","No")</f>
        <v>No</v>
      </c>
    </row>
    <row r="220" spans="5:16">
      <c r="E220" s="13" t="str">
        <v>549</v>
      </c>
      <c r="F220" s="13" t="str">
        <v>9315</v>
      </c>
      <c r="G220" s="13" t="str">
        <v>03</v>
      </c>
      <c r="H220" s="13" t="str">
        <f>_xlfn.CONCAT(Sheet1!A220," --&gt; ",Sheet1!J220)</f>
        <v>549-03-9315 --&gt; 796.908</v>
      </c>
      <c r="I220" s="13" t="str">
        <f>_xlfn.CONCAT(Sheet1!C220,"_",TEXT(Sheet1!K220, "m/d/yyyy"))</f>
        <v>Mandalay_2/12/2019</v>
      </c>
      <c r="J220" s="13" t="str">
        <f>IF(Sheet1!I220=Sheet1!N220*0.05,"Valid","Error")</f>
        <v>Valid</v>
      </c>
      <c r="K220" s="13" t="str">
        <f>IF(Sheet1!N220=Sheet1!G220*Sheet1!H220,"True","False")</f>
        <v>True</v>
      </c>
      <c r="L220" s="13" t="b">
        <v>1</v>
      </c>
      <c r="M220" s="9" t="b">
        <f>ISNUMBER(Sheet1!J220)</f>
        <v>1</v>
      </c>
      <c r="N220" s="13" t="str">
        <f>IF(Sheet1!B220="A","Branch A",IF(Sheet1!B220="B","Branch B","Other Branch"))</f>
        <v>Branch B</v>
      </c>
      <c r="O220" s="13" t="str">
        <f>IF(Sheet1!M220="Credit card","Credit Payment","Other")</f>
        <v>Other</v>
      </c>
      <c r="P220" s="13" t="str">
        <f>IF(Sheet1!O220&gt;7,"Yes","No")</f>
        <v>Yes</v>
      </c>
    </row>
    <row r="221" spans="5:16">
      <c r="E221" s="13" t="str">
        <v>790</v>
      </c>
      <c r="F221" s="13" t="str">
        <v>1172</v>
      </c>
      <c r="G221" s="13" t="str">
        <v>29</v>
      </c>
      <c r="H221" s="13" t="str">
        <f>_xlfn.CONCAT(Sheet1!A221," --&gt; ",Sheet1!J221)</f>
        <v>790-29-1172 --&gt; 180.621</v>
      </c>
      <c r="I221" s="13" t="str">
        <f>_xlfn.CONCAT(Sheet1!C221,"_",TEXT(Sheet1!K221, "m/d/yyyy"))</f>
        <v>Mandalay_3/10/2019</v>
      </c>
      <c r="J221" s="13" t="str">
        <f>IF(Sheet1!I221=Sheet1!N221*0.05,"Valid","Error")</f>
        <v>Valid</v>
      </c>
      <c r="K221" s="13" t="str">
        <f>IF(Sheet1!N221=Sheet1!G221*Sheet1!H221,"True","False")</f>
        <v>True</v>
      </c>
      <c r="L221" s="13" t="b">
        <v>1</v>
      </c>
      <c r="M221" s="9" t="b">
        <f>ISNUMBER(Sheet1!J221)</f>
        <v>1</v>
      </c>
      <c r="N221" s="13" t="str">
        <f>IF(Sheet1!B221="A","Branch A",IF(Sheet1!B221="B","Branch B","Other Branch"))</f>
        <v>Branch B</v>
      </c>
      <c r="O221" s="13" t="str">
        <f>IF(Sheet1!M221="Credit card","Credit Payment","Other")</f>
        <v>Credit Payment</v>
      </c>
      <c r="P221" s="13" t="str">
        <f>IF(Sheet1!O221&gt;7,"Yes","No")</f>
        <v>Yes</v>
      </c>
    </row>
    <row r="222" spans="5:16">
      <c r="E222" s="13" t="str">
        <v>239</v>
      </c>
      <c r="F222" s="13" t="str">
        <v>3640</v>
      </c>
      <c r="G222" s="13" t="str">
        <v>36</v>
      </c>
      <c r="H222" s="13" t="str">
        <f>_xlfn.CONCAT(Sheet1!A222," --&gt; ",Sheet1!J222)</f>
        <v>239-36-3640 --&gt; 285.705</v>
      </c>
      <c r="I222" s="13" t="str">
        <f>_xlfn.CONCAT(Sheet1!C222,"_",TEXT(Sheet1!K222, "m/d/yyyy"))</f>
        <v>Mandalay_1/31/2019</v>
      </c>
      <c r="J222" s="13" t="str">
        <f>IF(Sheet1!I222=Sheet1!N222*0.05,"Valid","Error")</f>
        <v>Valid</v>
      </c>
      <c r="K222" s="13" t="str">
        <f>IF(Sheet1!N222=Sheet1!G222*Sheet1!H222,"True","False")</f>
        <v>True</v>
      </c>
      <c r="L222" s="13" t="b">
        <v>1</v>
      </c>
      <c r="M222" s="9" t="b">
        <f>ISNUMBER(Sheet1!J222)</f>
        <v>1</v>
      </c>
      <c r="N222" s="13" t="str">
        <f>IF(Sheet1!B222="A","Branch A",IF(Sheet1!B222="B","Branch B","Other Branch"))</f>
        <v>Branch B</v>
      </c>
      <c r="O222" s="13" t="str">
        <f>IF(Sheet1!M222="Credit card","Credit Payment","Other")</f>
        <v>Other</v>
      </c>
      <c r="P222" s="13" t="str">
        <f>IF(Sheet1!O222&gt;7,"Yes","No")</f>
        <v>No</v>
      </c>
    </row>
    <row r="223" spans="5:16">
      <c r="E223" s="13" t="str">
        <v>468</v>
      </c>
      <c r="F223" s="13" t="str">
        <v>2051</v>
      </c>
      <c r="G223" s="13" t="str">
        <v>01</v>
      </c>
      <c r="H223" s="13" t="str">
        <f>_xlfn.CONCAT(Sheet1!A223," --&gt; ",Sheet1!J223)</f>
        <v>468-01-2051 --&gt; 456.288</v>
      </c>
      <c r="I223" s="13" t="str">
        <f>_xlfn.CONCAT(Sheet1!C223,"_",TEXT(Sheet1!K223, "m/d/yyyy"))</f>
        <v>Mandalay_3/6/2019</v>
      </c>
      <c r="J223" s="13" t="str">
        <f>IF(Sheet1!I223=Sheet1!N223*0.05,"Valid","Error")</f>
        <v>Valid</v>
      </c>
      <c r="K223" s="13" t="str">
        <f>IF(Sheet1!N223=Sheet1!G223*Sheet1!H223,"True","False")</f>
        <v>True</v>
      </c>
      <c r="L223" s="13" t="b">
        <v>1</v>
      </c>
      <c r="M223" s="9" t="b">
        <f>ISNUMBER(Sheet1!J223)</f>
        <v>1</v>
      </c>
      <c r="N223" s="13" t="str">
        <f>IF(Sheet1!B223="A","Branch A",IF(Sheet1!B223="B","Branch B","Other Branch"))</f>
        <v>Branch B</v>
      </c>
      <c r="O223" s="13" t="str">
        <f>IF(Sheet1!M223="Credit card","Credit Payment","Other")</f>
        <v>Other</v>
      </c>
      <c r="P223" s="13" t="str">
        <f>IF(Sheet1!O223&gt;7,"Yes","No")</f>
        <v>No</v>
      </c>
    </row>
    <row r="224" spans="5:16">
      <c r="E224" s="13" t="str">
        <v>389</v>
      </c>
      <c r="F224" s="13" t="str">
        <v>3394</v>
      </c>
      <c r="G224" s="13" t="str">
        <v>25</v>
      </c>
      <c r="H224" s="13" t="str">
        <f>_xlfn.CONCAT(Sheet1!A224," --&gt; ",Sheet1!J224)</f>
        <v>389-25-3394 --&gt; 62.0025</v>
      </c>
      <c r="I224" s="13" t="str">
        <f>_xlfn.CONCAT(Sheet1!C224,"_",TEXT(Sheet1!K224, "m/d/yyyy"))</f>
        <v>Naypyitaw_2/17/2019</v>
      </c>
      <c r="J224" s="13" t="str">
        <f>IF(Sheet1!I224=Sheet1!N224*0.05,"Valid","Error")</f>
        <v>Valid</v>
      </c>
      <c r="K224" s="13" t="str">
        <f>IF(Sheet1!N224=Sheet1!G224*Sheet1!H224,"True","False")</f>
        <v>True</v>
      </c>
      <c r="L224" s="13" t="b">
        <v>1</v>
      </c>
      <c r="M224" s="9" t="b">
        <f>ISNUMBER(Sheet1!J224)</f>
        <v>1</v>
      </c>
      <c r="N224" s="13" t="str">
        <f>IF(Sheet1!B224="A","Branch A",IF(Sheet1!B224="B","Branch B","Other Branch"))</f>
        <v>Other Branch</v>
      </c>
      <c r="O224" s="13" t="str">
        <f>IF(Sheet1!M224="Credit card","Credit Payment","Other")</f>
        <v>Other</v>
      </c>
      <c r="P224" s="13" t="str">
        <f>IF(Sheet1!O224&gt;7,"Yes","No")</f>
        <v>Yes</v>
      </c>
    </row>
    <row r="225" spans="5:16">
      <c r="E225" s="13" t="str">
        <v>279</v>
      </c>
      <c r="F225" s="13" t="str">
        <v>1445</v>
      </c>
      <c r="G225" s="13" t="str">
        <v>62</v>
      </c>
      <c r="H225" s="13" t="str">
        <f>_xlfn.CONCAT(Sheet1!A225," --&gt; ",Sheet1!J225)</f>
        <v>279-62-1445 --&gt; 13.167</v>
      </c>
      <c r="I225" s="13" t="str">
        <f>_xlfn.CONCAT(Sheet1!C225,"_",TEXT(Sheet1!K225, "m/d/yyyy"))</f>
        <v>Naypyitaw_2/21/2019</v>
      </c>
      <c r="J225" s="13" t="str">
        <f>IF(Sheet1!I225=Sheet1!N225*0.05,"Valid","Error")</f>
        <v>Valid</v>
      </c>
      <c r="K225" s="13" t="str">
        <f>IF(Sheet1!N225=Sheet1!G225*Sheet1!H225,"True","False")</f>
        <v>True</v>
      </c>
      <c r="L225" s="13" t="b">
        <v>1</v>
      </c>
      <c r="M225" s="9" t="b">
        <f>ISNUMBER(Sheet1!J225)</f>
        <v>1</v>
      </c>
      <c r="N225" s="13" t="str">
        <f>IF(Sheet1!B225="A","Branch A",IF(Sheet1!B225="B","Branch B","Other Branch"))</f>
        <v>Other Branch</v>
      </c>
      <c r="O225" s="13" t="str">
        <f>IF(Sheet1!M225="Credit card","Credit Payment","Other")</f>
        <v>Other</v>
      </c>
      <c r="P225" s="13" t="str">
        <f>IF(Sheet1!O225&gt;7,"Yes","No")</f>
        <v>Yes</v>
      </c>
    </row>
    <row r="226" spans="5:16">
      <c r="E226" s="13" t="str">
        <v>213</v>
      </c>
      <c r="F226" s="13" t="str">
        <v>6612</v>
      </c>
      <c r="G226" s="13" t="str">
        <v>72</v>
      </c>
      <c r="H226" s="13" t="str">
        <f>_xlfn.CONCAT(Sheet1!A226," --&gt; ",Sheet1!J226)</f>
        <v>213-72-6612 --&gt; 90.825</v>
      </c>
      <c r="I226" s="13" t="str">
        <f>_xlfn.CONCAT(Sheet1!C226,"_",TEXT(Sheet1!K226, "m/d/yyyy"))</f>
        <v>Yangon_3/20/2019</v>
      </c>
      <c r="J226" s="13" t="str">
        <f>IF(Sheet1!I226=Sheet1!N226*0.05,"Valid","Error")</f>
        <v>Valid</v>
      </c>
      <c r="K226" s="13" t="str">
        <f>IF(Sheet1!N226=Sheet1!G226*Sheet1!H226,"True","False")</f>
        <v>True</v>
      </c>
      <c r="L226" s="13" t="b">
        <v>1</v>
      </c>
      <c r="M226" s="9" t="b">
        <f>ISNUMBER(Sheet1!J226)</f>
        <v>1</v>
      </c>
      <c r="N226" s="13" t="str">
        <f>IF(Sheet1!B226="A","Branch A",IF(Sheet1!B226="B","Branch B","Other Branch"))</f>
        <v>Branch A</v>
      </c>
      <c r="O226" s="13" t="str">
        <f>IF(Sheet1!M226="Credit card","Credit Payment","Other")</f>
        <v>Other</v>
      </c>
      <c r="P226" s="13" t="str">
        <f>IF(Sheet1!O226&gt;7,"Yes","No")</f>
        <v>No</v>
      </c>
    </row>
    <row r="227" spans="5:16">
      <c r="E227" s="13" t="str">
        <v>746</v>
      </c>
      <c r="F227" s="13" t="str">
        <v>6593</v>
      </c>
      <c r="G227" s="13" t="str">
        <v>68</v>
      </c>
      <c r="H227" s="13" t="str">
        <f>_xlfn.CONCAT(Sheet1!A227," --&gt; ",Sheet1!J227)</f>
        <v>746-68-6593 --&gt; 183.036</v>
      </c>
      <c r="I227" s="13" t="str">
        <f>_xlfn.CONCAT(Sheet1!C227,"_",TEXT(Sheet1!K227, "m/d/yyyy"))</f>
        <v>Naypyitaw_1/11/2019</v>
      </c>
      <c r="J227" s="13" t="str">
        <f>IF(Sheet1!I227=Sheet1!N227*0.05,"Valid","Error")</f>
        <v>Valid</v>
      </c>
      <c r="K227" s="13" t="str">
        <f>IF(Sheet1!N227=Sheet1!G227*Sheet1!H227,"True","False")</f>
        <v>True</v>
      </c>
      <c r="L227" s="13" t="b">
        <v>1</v>
      </c>
      <c r="M227" s="9" t="b">
        <f>ISNUMBER(Sheet1!J227)</f>
        <v>1</v>
      </c>
      <c r="N227" s="13" t="str">
        <f>IF(Sheet1!B227="A","Branch A",IF(Sheet1!B227="B","Branch B","Other Branch"))</f>
        <v>Other Branch</v>
      </c>
      <c r="O227" s="13" t="str">
        <f>IF(Sheet1!M227="Credit card","Credit Payment","Other")</f>
        <v>Credit Payment</v>
      </c>
      <c r="P227" s="13" t="str">
        <f>IF(Sheet1!O227&gt;7,"Yes","No")</f>
        <v>Yes</v>
      </c>
    </row>
    <row r="228" spans="5:16">
      <c r="E228" s="13" t="str">
        <v>836</v>
      </c>
      <c r="F228" s="13" t="str">
        <v>5858</v>
      </c>
      <c r="G228" s="13" t="str">
        <v>82</v>
      </c>
      <c r="H228" s="13" t="str">
        <f>_xlfn.CONCAT(Sheet1!A228," --&gt; ",Sheet1!J228)</f>
        <v>836-82-5858 --&gt; 655.5465</v>
      </c>
      <c r="I228" s="13" t="str">
        <f>_xlfn.CONCAT(Sheet1!C228,"_",TEXT(Sheet1!K228, "m/d/yyyy"))</f>
        <v>Mandalay_1/26/2019</v>
      </c>
      <c r="J228" s="13" t="str">
        <f>IF(Sheet1!I228=Sheet1!N228*0.05,"Valid","Error")</f>
        <v>Valid</v>
      </c>
      <c r="K228" s="13" t="str">
        <f>IF(Sheet1!N228=Sheet1!G228*Sheet1!H228,"True","False")</f>
        <v>True</v>
      </c>
      <c r="L228" s="13" t="b">
        <v>1</v>
      </c>
      <c r="M228" s="9" t="b">
        <f>ISNUMBER(Sheet1!J228)</f>
        <v>1</v>
      </c>
      <c r="N228" s="13" t="str">
        <f>IF(Sheet1!B228="A","Branch A",IF(Sheet1!B228="B","Branch B","Other Branch"))</f>
        <v>Branch B</v>
      </c>
      <c r="O228" s="13" t="str">
        <f>IF(Sheet1!M228="Credit card","Credit Payment","Other")</f>
        <v>Other</v>
      </c>
      <c r="P228" s="13" t="str">
        <f>IF(Sheet1!O228&gt;7,"Yes","No")</f>
        <v>No</v>
      </c>
    </row>
    <row r="229" spans="5:16">
      <c r="E229" s="13" t="str">
        <v>583</v>
      </c>
      <c r="F229" s="13" t="str">
        <v>1480</v>
      </c>
      <c r="G229" s="13" t="str">
        <v>72</v>
      </c>
      <c r="H229" s="13" t="str">
        <f>_xlfn.CONCAT(Sheet1!A229," --&gt; ",Sheet1!J229)</f>
        <v>583-72-1480 --&gt; 155.652</v>
      </c>
      <c r="I229" s="13" t="str">
        <f>_xlfn.CONCAT(Sheet1!C229,"_",TEXT(Sheet1!K229, "m/d/yyyy"))</f>
        <v>Naypyitaw_1/31/2019</v>
      </c>
      <c r="J229" s="13" t="str">
        <f>IF(Sheet1!I229=Sheet1!N229*0.05,"Valid","Error")</f>
        <v>Valid</v>
      </c>
      <c r="K229" s="13" t="str">
        <f>IF(Sheet1!N229=Sheet1!G229*Sheet1!H229,"True","False")</f>
        <v>True</v>
      </c>
      <c r="L229" s="13" t="b">
        <v>1</v>
      </c>
      <c r="M229" s="9" t="b">
        <f>ISNUMBER(Sheet1!J229)</f>
        <v>1</v>
      </c>
      <c r="N229" s="13" t="str">
        <f>IF(Sheet1!B229="A","Branch A",IF(Sheet1!B229="B","Branch B","Other Branch"))</f>
        <v>Other Branch</v>
      </c>
      <c r="O229" s="13" t="str">
        <f>IF(Sheet1!M229="Credit card","Credit Payment","Other")</f>
        <v>Other</v>
      </c>
      <c r="P229" s="13" t="str">
        <f>IF(Sheet1!O229&gt;7,"Yes","No")</f>
        <v>Yes</v>
      </c>
    </row>
    <row r="230" spans="5:16">
      <c r="E230" s="13" t="str">
        <v>466</v>
      </c>
      <c r="F230" s="13" t="str">
        <v>5506</v>
      </c>
      <c r="G230" s="13" t="str">
        <v>61</v>
      </c>
      <c r="H230" s="13" t="str">
        <f>_xlfn.CONCAT(Sheet1!A230," --&gt; ",Sheet1!J230)</f>
        <v>466-61-5506 --&gt; 571.41</v>
      </c>
      <c r="I230" s="13" t="str">
        <f>_xlfn.CONCAT(Sheet1!C230,"_",TEXT(Sheet1!K230, "m/d/yyyy"))</f>
        <v>Mandalay_2/26/2019</v>
      </c>
      <c r="J230" s="13" t="str">
        <f>IF(Sheet1!I230=Sheet1!N230*0.05,"Valid","Error")</f>
        <v>Valid</v>
      </c>
      <c r="K230" s="13" t="str">
        <f>IF(Sheet1!N230=Sheet1!G230*Sheet1!H230,"True","False")</f>
        <v>True</v>
      </c>
      <c r="L230" s="13" t="b">
        <v>1</v>
      </c>
      <c r="M230" s="9" t="b">
        <f>ISNUMBER(Sheet1!J230)</f>
        <v>1</v>
      </c>
      <c r="N230" s="13" t="str">
        <f>IF(Sheet1!B230="A","Branch A",IF(Sheet1!B230="B","Branch B","Other Branch"))</f>
        <v>Branch B</v>
      </c>
      <c r="O230" s="13" t="str">
        <f>IF(Sheet1!M230="Credit card","Credit Payment","Other")</f>
        <v>Other</v>
      </c>
      <c r="P230" s="13" t="str">
        <f>IF(Sheet1!O230&gt;7,"Yes","No")</f>
        <v>No</v>
      </c>
    </row>
    <row r="231" spans="5:16">
      <c r="E231" s="13" t="str">
        <v>721</v>
      </c>
      <c r="F231" s="13" t="str">
        <v>6247</v>
      </c>
      <c r="G231" s="13" t="str">
        <v>86</v>
      </c>
      <c r="H231" s="13" t="str">
        <f>_xlfn.CONCAT(Sheet1!A231," --&gt; ",Sheet1!J231)</f>
        <v>721-86-6247 --&gt; 532.728</v>
      </c>
      <c r="I231" s="13" t="str">
        <f>_xlfn.CONCAT(Sheet1!C231,"_",TEXT(Sheet1!K231, "m/d/yyyy"))</f>
        <v>Yangon_3/11/2019</v>
      </c>
      <c r="J231" s="13" t="str">
        <f>IF(Sheet1!I231=Sheet1!N231*0.05,"Valid","Error")</f>
        <v>Valid</v>
      </c>
      <c r="K231" s="13" t="str">
        <f>IF(Sheet1!N231=Sheet1!G231*Sheet1!H231,"True","False")</f>
        <v>True</v>
      </c>
      <c r="L231" s="13" t="b">
        <v>1</v>
      </c>
      <c r="M231" s="9" t="b">
        <f>ISNUMBER(Sheet1!J231)</f>
        <v>1</v>
      </c>
      <c r="N231" s="13" t="str">
        <f>IF(Sheet1!B231="A","Branch A",IF(Sheet1!B231="B","Branch B","Other Branch"))</f>
        <v>Branch A</v>
      </c>
      <c r="O231" s="13" t="str">
        <f>IF(Sheet1!M231="Credit card","Credit Payment","Other")</f>
        <v>Other</v>
      </c>
      <c r="P231" s="13" t="str">
        <f>IF(Sheet1!O231&gt;7,"Yes","No")</f>
        <v>Yes</v>
      </c>
    </row>
    <row r="232" spans="5:16">
      <c r="E232" s="13" t="str">
        <v>289</v>
      </c>
      <c r="F232" s="13" t="str">
        <v>5721</v>
      </c>
      <c r="G232" s="13" t="str">
        <v>65</v>
      </c>
      <c r="H232" s="13" t="str">
        <f>_xlfn.CONCAT(Sheet1!A232," --&gt; ",Sheet1!J232)</f>
        <v>289-65-5721 --&gt; 170.877</v>
      </c>
      <c r="I232" s="13" t="str">
        <f>_xlfn.CONCAT(Sheet1!C232,"_",TEXT(Sheet1!K232, "m/d/yyyy"))</f>
        <v>Mandalay_1/26/2019</v>
      </c>
      <c r="J232" s="13" t="str">
        <f>IF(Sheet1!I232=Sheet1!N232*0.05,"Valid","Error")</f>
        <v>Valid</v>
      </c>
      <c r="K232" s="13" t="str">
        <f>IF(Sheet1!N232=Sheet1!G232*Sheet1!H232,"True","False")</f>
        <v>True</v>
      </c>
      <c r="L232" s="13" t="b">
        <v>1</v>
      </c>
      <c r="M232" s="9" t="b">
        <f>ISNUMBER(Sheet1!J232)</f>
        <v>1</v>
      </c>
      <c r="N232" s="13" t="str">
        <f>IF(Sheet1!B232="A","Branch A",IF(Sheet1!B232="B","Branch B","Other Branch"))</f>
        <v>Branch B</v>
      </c>
      <c r="O232" s="13" t="str">
        <f>IF(Sheet1!M232="Credit card","Credit Payment","Other")</f>
        <v>Other</v>
      </c>
      <c r="P232" s="13" t="str">
        <f>IF(Sheet1!O232&gt;7,"Yes","No")</f>
        <v>No</v>
      </c>
    </row>
    <row r="233" spans="5:16">
      <c r="E233" s="13" t="str">
        <v>545</v>
      </c>
      <c r="F233" s="13" t="str">
        <v>3100</v>
      </c>
      <c r="G233" s="13" t="str">
        <v>46</v>
      </c>
      <c r="H233" s="13" t="str">
        <f>_xlfn.CONCAT(Sheet1!A233," --&gt; ",Sheet1!J233)</f>
        <v>545-46-3100 --&gt; 33.3585</v>
      </c>
      <c r="I233" s="13" t="str">
        <f>_xlfn.CONCAT(Sheet1!C233,"_",TEXT(Sheet1!K233, "m/d/yyyy"))</f>
        <v>Mandalay_3/12/2019</v>
      </c>
      <c r="J233" s="13" t="str">
        <f>IF(Sheet1!I233=Sheet1!N233*0.05,"Valid","Error")</f>
        <v>Valid</v>
      </c>
      <c r="K233" s="13" t="str">
        <f>IF(Sheet1!N233=Sheet1!G233*Sheet1!H233,"True","False")</f>
        <v>True</v>
      </c>
      <c r="L233" s="13" t="b">
        <v>1</v>
      </c>
      <c r="M233" s="9" t="b">
        <f>ISNUMBER(Sheet1!J233)</f>
        <v>1</v>
      </c>
      <c r="N233" s="13" t="str">
        <f>IF(Sheet1!B233="A","Branch A",IF(Sheet1!B233="B","Branch B","Other Branch"))</f>
        <v>Branch B</v>
      </c>
      <c r="O233" s="13" t="str">
        <f>IF(Sheet1!M233="Credit card","Credit Payment","Other")</f>
        <v>Credit Payment</v>
      </c>
      <c r="P233" s="13" t="str">
        <f>IF(Sheet1!O233&gt;7,"Yes","No")</f>
        <v>Yes</v>
      </c>
    </row>
    <row r="234" spans="5:16">
      <c r="E234" s="13" t="str">
        <v>418</v>
      </c>
      <c r="F234" s="13" t="str">
        <v>5978</v>
      </c>
      <c r="G234" s="13" t="str">
        <v>02</v>
      </c>
      <c r="H234" s="13" t="str">
        <f>_xlfn.CONCAT(Sheet1!A234," --&gt; ",Sheet1!J234)</f>
        <v>418-02-5978 --&gt; 794.6505</v>
      </c>
      <c r="I234" s="13" t="str">
        <f>_xlfn.CONCAT(Sheet1!C234,"_",TEXT(Sheet1!K234, "m/d/yyyy"))</f>
        <v>Mandalay_2/11/2019</v>
      </c>
      <c r="J234" s="13" t="str">
        <f>IF(Sheet1!I234=Sheet1!N234*0.05,"Valid","Error")</f>
        <v>Valid</v>
      </c>
      <c r="K234" s="13" t="str">
        <f>IF(Sheet1!N234=Sheet1!G234*Sheet1!H234,"True","False")</f>
        <v>True</v>
      </c>
      <c r="L234" s="13" t="b">
        <v>1</v>
      </c>
      <c r="M234" s="9" t="b">
        <f>ISNUMBER(Sheet1!J234)</f>
        <v>1</v>
      </c>
      <c r="N234" s="13" t="str">
        <f>IF(Sheet1!B234="A","Branch A",IF(Sheet1!B234="B","Branch B","Other Branch"))</f>
        <v>Branch B</v>
      </c>
      <c r="O234" s="13" t="str">
        <f>IF(Sheet1!M234="Credit card","Credit Payment","Other")</f>
        <v>Other</v>
      </c>
      <c r="P234" s="13" t="str">
        <f>IF(Sheet1!O234&gt;7,"Yes","No")</f>
        <v>Yes</v>
      </c>
    </row>
    <row r="235" spans="5:16">
      <c r="E235" s="13" t="str">
        <v>269</v>
      </c>
      <c r="F235" s="13" t="str">
        <v>5750</v>
      </c>
      <c r="G235" s="13" t="str">
        <v>04</v>
      </c>
      <c r="H235" s="13" t="str">
        <f>_xlfn.CONCAT(Sheet1!A235," --&gt; ",Sheet1!J235)</f>
        <v>269-04-5750 --&gt; 310.044</v>
      </c>
      <c r="I235" s="13" t="str">
        <f>_xlfn.CONCAT(Sheet1!C235,"_",TEXT(Sheet1!K235, "m/d/yyyy"))</f>
        <v>Mandalay_2/21/2019</v>
      </c>
      <c r="J235" s="13" t="str">
        <f>IF(Sheet1!I235=Sheet1!N235*0.05,"Valid","Error")</f>
        <v>Valid</v>
      </c>
      <c r="K235" s="13" t="str">
        <f>IF(Sheet1!N235=Sheet1!G235*Sheet1!H235,"True","False")</f>
        <v>True</v>
      </c>
      <c r="L235" s="13" t="b">
        <v>1</v>
      </c>
      <c r="M235" s="9" t="b">
        <f>ISNUMBER(Sheet1!J235)</f>
        <v>1</v>
      </c>
      <c r="N235" s="13" t="str">
        <f>IF(Sheet1!B235="A","Branch A",IF(Sheet1!B235="B","Branch B","Other Branch"))</f>
        <v>Branch B</v>
      </c>
      <c r="O235" s="13" t="str">
        <f>IF(Sheet1!M235="Credit card","Credit Payment","Other")</f>
        <v>Other</v>
      </c>
      <c r="P235" s="13" t="str">
        <f>IF(Sheet1!O235&gt;7,"Yes","No")</f>
        <v>No</v>
      </c>
    </row>
    <row r="236" spans="5:16">
      <c r="E236" s="13" t="str">
        <v>157</v>
      </c>
      <c r="F236" s="13" t="str">
        <v>5295</v>
      </c>
      <c r="G236" s="13" t="str">
        <v>13</v>
      </c>
      <c r="H236" s="13" t="str">
        <f>_xlfn.CONCAT(Sheet1!A236," --&gt; ",Sheet1!J236)</f>
        <v>157-13-5295 --&gt; 545.37</v>
      </c>
      <c r="I236" s="13" t="str">
        <f>_xlfn.CONCAT(Sheet1!C236,"_",TEXT(Sheet1!K236, "m/d/yyyy"))</f>
        <v>Yangon_3/9/2019</v>
      </c>
      <c r="J236" s="13" t="str">
        <f>IF(Sheet1!I236=Sheet1!N236*0.05,"Valid","Error")</f>
        <v>Valid</v>
      </c>
      <c r="K236" s="13" t="str">
        <f>IF(Sheet1!N236=Sheet1!G236*Sheet1!H236,"True","False")</f>
        <v>True</v>
      </c>
      <c r="L236" s="13" t="b">
        <v>1</v>
      </c>
      <c r="M236" s="9" t="b">
        <f>ISNUMBER(Sheet1!J236)</f>
        <v>1</v>
      </c>
      <c r="N236" s="13" t="str">
        <f>IF(Sheet1!B236="A","Branch A",IF(Sheet1!B236="B","Branch B","Other Branch"))</f>
        <v>Branch A</v>
      </c>
      <c r="O236" s="13" t="str">
        <f>IF(Sheet1!M236="Credit card","Credit Payment","Other")</f>
        <v>Other</v>
      </c>
      <c r="P236" s="13" t="str">
        <f>IF(Sheet1!O236&gt;7,"Yes","No")</f>
        <v>No</v>
      </c>
    </row>
    <row r="237" spans="5:16">
      <c r="E237" s="13" t="str">
        <v>645</v>
      </c>
      <c r="F237" s="13" t="str">
        <v>8093</v>
      </c>
      <c r="G237" s="13" t="str">
        <v>78</v>
      </c>
      <c r="H237" s="13" t="str">
        <f>_xlfn.CONCAT(Sheet1!A237," --&gt; ",Sheet1!J237)</f>
        <v>645-78-8093 --&gt; 195.594</v>
      </c>
      <c r="I237" s="13" t="str">
        <f>_xlfn.CONCAT(Sheet1!C237,"_",TEXT(Sheet1!K237, "m/d/yyyy"))</f>
        <v>Yangon_1/20/2019</v>
      </c>
      <c r="J237" s="13" t="str">
        <f>IF(Sheet1!I237=Sheet1!N237*0.05,"Valid","Error")</f>
        <v>Valid</v>
      </c>
      <c r="K237" s="13" t="str">
        <f>IF(Sheet1!N237=Sheet1!G237*Sheet1!H237,"True","False")</f>
        <v>True</v>
      </c>
      <c r="L237" s="13" t="b">
        <v>1</v>
      </c>
      <c r="M237" s="9" t="b">
        <f>ISNUMBER(Sheet1!J237)</f>
        <v>1</v>
      </c>
      <c r="N237" s="13" t="str">
        <f>IF(Sheet1!B237="A","Branch A",IF(Sheet1!B237="B","Branch B","Other Branch"))</f>
        <v>Branch A</v>
      </c>
      <c r="O237" s="13" t="str">
        <f>IF(Sheet1!M237="Credit card","Credit Payment","Other")</f>
        <v>Other</v>
      </c>
      <c r="P237" s="13" t="str">
        <f>IF(Sheet1!O237&gt;7,"Yes","No")</f>
        <v>No</v>
      </c>
    </row>
    <row r="238" spans="5:16">
      <c r="E238" s="13" t="str">
        <v>211</v>
      </c>
      <c r="F238" s="13" t="str">
        <v>9270</v>
      </c>
      <c r="G238" s="13" t="str">
        <v>30</v>
      </c>
      <c r="H238" s="13" t="str">
        <f>_xlfn.CONCAT(Sheet1!A238," --&gt; ",Sheet1!J238)</f>
        <v>211-30-9270 --&gt; 91.4025</v>
      </c>
      <c r="I238" s="13" t="str">
        <f>_xlfn.CONCAT(Sheet1!C238,"_",TEXT(Sheet1!K238, "m/d/yyyy"))</f>
        <v>Naypyitaw_1/28/2019</v>
      </c>
      <c r="J238" s="13" t="str">
        <f>IF(Sheet1!I238=Sheet1!N238*0.05,"Valid","Error")</f>
        <v>Valid</v>
      </c>
      <c r="K238" s="13" t="str">
        <f>IF(Sheet1!N238=Sheet1!G238*Sheet1!H238,"True","False")</f>
        <v>True</v>
      </c>
      <c r="L238" s="13" t="b">
        <v>1</v>
      </c>
      <c r="M238" s="9" t="b">
        <f>ISNUMBER(Sheet1!J238)</f>
        <v>1</v>
      </c>
      <c r="N238" s="13" t="str">
        <f>IF(Sheet1!B238="A","Branch A",IF(Sheet1!B238="B","Branch B","Other Branch"))</f>
        <v>Other Branch</v>
      </c>
      <c r="O238" s="13" t="str">
        <f>IF(Sheet1!M238="Credit card","Credit Payment","Other")</f>
        <v>Credit Payment</v>
      </c>
      <c r="P238" s="13" t="str">
        <f>IF(Sheet1!O238&gt;7,"Yes","No")</f>
        <v>No</v>
      </c>
    </row>
    <row r="239" spans="5:16">
      <c r="E239" s="13" t="str">
        <v>755</v>
      </c>
      <c r="F239" s="13" t="str">
        <v>3214</v>
      </c>
      <c r="G239" s="13" t="str">
        <v>12</v>
      </c>
      <c r="H239" s="13" t="str">
        <f>_xlfn.CONCAT(Sheet1!A239," --&gt; ",Sheet1!J239)</f>
        <v>755-12-3214 --&gt; 232.155</v>
      </c>
      <c r="I239" s="13" t="str">
        <f>_xlfn.CONCAT(Sheet1!C239,"_",TEXT(Sheet1!K239, "m/d/yyyy"))</f>
        <v>Naypyitaw_3/5/2019</v>
      </c>
      <c r="J239" s="13" t="str">
        <f>IF(Sheet1!I239=Sheet1!N239*0.05,"Valid","Error")</f>
        <v>Valid</v>
      </c>
      <c r="K239" s="13" t="str">
        <f>IF(Sheet1!N239=Sheet1!G239*Sheet1!H239,"True","False")</f>
        <v>True</v>
      </c>
      <c r="L239" s="13" t="b">
        <v>1</v>
      </c>
      <c r="M239" s="9" t="b">
        <f>ISNUMBER(Sheet1!J239)</f>
        <v>1</v>
      </c>
      <c r="N239" s="13" t="str">
        <f>IF(Sheet1!B239="A","Branch A",IF(Sheet1!B239="B","Branch B","Other Branch"))</f>
        <v>Other Branch</v>
      </c>
      <c r="O239" s="13" t="str">
        <f>IF(Sheet1!M239="Credit card","Credit Payment","Other")</f>
        <v>Credit Payment</v>
      </c>
      <c r="P239" s="13" t="str">
        <f>IF(Sheet1!O239&gt;7,"Yes","No")</f>
        <v>Yes</v>
      </c>
    </row>
    <row r="240" spans="5:16">
      <c r="E240" s="13" t="str">
        <v>346</v>
      </c>
      <c r="F240" s="13" t="str">
        <v>3103</v>
      </c>
      <c r="G240" s="13" t="str">
        <v>84</v>
      </c>
      <c r="H240" s="13" t="str">
        <f>_xlfn.CONCAT(Sheet1!A240," --&gt; ",Sheet1!J240)</f>
        <v>346-84-3103 --&gt; 69.405</v>
      </c>
      <c r="I240" s="13" t="str">
        <f>_xlfn.CONCAT(Sheet1!C240,"_",TEXT(Sheet1!K240, "m/d/yyyy"))</f>
        <v>Mandalay_3/2/2019</v>
      </c>
      <c r="J240" s="13" t="str">
        <f>IF(Sheet1!I240=Sheet1!N240*0.05,"Valid","Error")</f>
        <v>Valid</v>
      </c>
      <c r="K240" s="13" t="str">
        <f>IF(Sheet1!N240=Sheet1!G240*Sheet1!H240,"True","False")</f>
        <v>True</v>
      </c>
      <c r="L240" s="13" t="b">
        <v>1</v>
      </c>
      <c r="M240" s="9" t="b">
        <f>ISNUMBER(Sheet1!J240)</f>
        <v>1</v>
      </c>
      <c r="N240" s="13" t="str">
        <f>IF(Sheet1!B240="A","Branch A",IF(Sheet1!B240="B","Branch B","Other Branch"))</f>
        <v>Branch B</v>
      </c>
      <c r="O240" s="13" t="str">
        <f>IF(Sheet1!M240="Credit card","Credit Payment","Other")</f>
        <v>Other</v>
      </c>
      <c r="P240" s="13" t="str">
        <f>IF(Sheet1!O240&gt;7,"Yes","No")</f>
        <v>No</v>
      </c>
    </row>
    <row r="241" spans="5:16">
      <c r="E241" s="13" t="str">
        <v>478</v>
      </c>
      <c r="F241" s="13" t="str">
        <v>7835</v>
      </c>
      <c r="G241" s="13" t="str">
        <v>06</v>
      </c>
      <c r="H241" s="13" t="str">
        <f>_xlfn.CONCAT(Sheet1!A241," --&gt; ",Sheet1!J241)</f>
        <v>478-06-7835 --&gt; 94.1745</v>
      </c>
      <c r="I241" s="13" t="str">
        <f>_xlfn.CONCAT(Sheet1!C241,"_",TEXT(Sheet1!K241, "m/d/yyyy"))</f>
        <v>Yangon_1/11/2019</v>
      </c>
      <c r="J241" s="13" t="str">
        <f>IF(Sheet1!I241=Sheet1!N241*0.05,"Valid","Error")</f>
        <v>Valid</v>
      </c>
      <c r="K241" s="13" t="str">
        <f>IF(Sheet1!N241=Sheet1!G241*Sheet1!H241,"True","False")</f>
        <v>True</v>
      </c>
      <c r="L241" s="13" t="b">
        <v>1</v>
      </c>
      <c r="M241" s="9" t="b">
        <f>ISNUMBER(Sheet1!J241)</f>
        <v>1</v>
      </c>
      <c r="N241" s="13" t="str">
        <f>IF(Sheet1!B241="A","Branch A",IF(Sheet1!B241="B","Branch B","Other Branch"))</f>
        <v>Branch A</v>
      </c>
      <c r="O241" s="13" t="str">
        <f>IF(Sheet1!M241="Credit card","Credit Payment","Other")</f>
        <v>Other</v>
      </c>
      <c r="P241" s="13" t="str">
        <f>IF(Sheet1!O241&gt;7,"Yes","No")</f>
        <v>No</v>
      </c>
    </row>
    <row r="242" spans="5:16">
      <c r="E242" s="13" t="str">
        <v>540</v>
      </c>
      <c r="F242" s="13" t="str">
        <v>4336</v>
      </c>
      <c r="G242" s="13" t="str">
        <v>11</v>
      </c>
      <c r="H242" s="13" t="str">
        <f>_xlfn.CONCAT(Sheet1!A242," --&gt; ",Sheet1!J242)</f>
        <v>540-11-4336 --&gt; 235.683</v>
      </c>
      <c r="I242" s="13" t="str">
        <f>_xlfn.CONCAT(Sheet1!C242,"_",TEXT(Sheet1!K242, "m/d/yyyy"))</f>
        <v>Yangon_1/11/2019</v>
      </c>
      <c r="J242" s="13" t="str">
        <f>IF(Sheet1!I242=Sheet1!N242*0.05,"Valid","Error")</f>
        <v>Valid</v>
      </c>
      <c r="K242" s="13" t="str">
        <f>IF(Sheet1!N242=Sheet1!G242*Sheet1!H242,"True","False")</f>
        <v>True</v>
      </c>
      <c r="L242" s="13" t="b">
        <v>1</v>
      </c>
      <c r="M242" s="9" t="b">
        <f>ISNUMBER(Sheet1!J242)</f>
        <v>1</v>
      </c>
      <c r="N242" s="13" t="str">
        <f>IF(Sheet1!B242="A","Branch A",IF(Sheet1!B242="B","Branch B","Other Branch"))</f>
        <v>Branch A</v>
      </c>
      <c r="O242" s="13" t="str">
        <f>IF(Sheet1!M242="Credit card","Credit Payment","Other")</f>
        <v>Credit Payment</v>
      </c>
      <c r="P242" s="13" t="str">
        <f>IF(Sheet1!O242&gt;7,"Yes","No")</f>
        <v>No</v>
      </c>
    </row>
    <row r="243" spans="5:16">
      <c r="E243" s="13" t="str">
        <v>448</v>
      </c>
      <c r="F243" s="13" t="str">
        <v>5016</v>
      </c>
      <c r="G243" s="13" t="str">
        <v>81</v>
      </c>
      <c r="H243" s="13" t="str">
        <f>_xlfn.CONCAT(Sheet1!A243," --&gt; ",Sheet1!J243)</f>
        <v>448-81-5016 --&gt; 125.517</v>
      </c>
      <c r="I243" s="13" t="str">
        <f>_xlfn.CONCAT(Sheet1!C243,"_",TEXT(Sheet1!K243, "m/d/yyyy"))</f>
        <v>Yangon_3/11/2019</v>
      </c>
      <c r="J243" s="13" t="str">
        <f>IF(Sheet1!I243=Sheet1!N243*0.05,"Valid","Error")</f>
        <v>Valid</v>
      </c>
      <c r="K243" s="13" t="str">
        <f>IF(Sheet1!N243=Sheet1!G243*Sheet1!H243,"True","False")</f>
        <v>True</v>
      </c>
      <c r="L243" s="13" t="b">
        <v>1</v>
      </c>
      <c r="M243" s="9" t="b">
        <f>ISNUMBER(Sheet1!J243)</f>
        <v>1</v>
      </c>
      <c r="N243" s="13" t="str">
        <f>IF(Sheet1!B243="A","Branch A",IF(Sheet1!B243="B","Branch B","Other Branch"))</f>
        <v>Branch A</v>
      </c>
      <c r="O243" s="13" t="str">
        <f>IF(Sheet1!M243="Credit card","Credit Payment","Other")</f>
        <v>Credit Payment</v>
      </c>
      <c r="P243" s="13" t="str">
        <f>IF(Sheet1!O243&gt;7,"Yes","No")</f>
        <v>No</v>
      </c>
    </row>
    <row r="244" spans="5:16">
      <c r="E244" s="13" t="str">
        <v>142</v>
      </c>
      <c r="F244" s="13" t="str">
        <v>4741</v>
      </c>
      <c r="G244" s="13" t="str">
        <v>72</v>
      </c>
      <c r="H244" s="13" t="str">
        <f>_xlfn.CONCAT(Sheet1!A244," --&gt; ",Sheet1!J244)</f>
        <v>142-72-4741 --&gt; 195.72</v>
      </c>
      <c r="I244" s="13" t="str">
        <f>_xlfn.CONCAT(Sheet1!C244,"_",TEXT(Sheet1!K244, "m/d/yyyy"))</f>
        <v>Naypyitaw_2/28/2019</v>
      </c>
      <c r="J244" s="13" t="str">
        <f>IF(Sheet1!I244=Sheet1!N244*0.05,"Valid","Error")</f>
        <v>Valid</v>
      </c>
      <c r="K244" s="13" t="str">
        <f>IF(Sheet1!N244=Sheet1!G244*Sheet1!H244,"True","False")</f>
        <v>True</v>
      </c>
      <c r="L244" s="13" t="b">
        <v>1</v>
      </c>
      <c r="M244" s="9" t="b">
        <f>ISNUMBER(Sheet1!J244)</f>
        <v>1</v>
      </c>
      <c r="N244" s="13" t="str">
        <f>IF(Sheet1!B244="A","Branch A",IF(Sheet1!B244="B","Branch B","Other Branch"))</f>
        <v>Other Branch</v>
      </c>
      <c r="O244" s="13" t="str">
        <f>IF(Sheet1!M244="Credit card","Credit Payment","Other")</f>
        <v>Credit Payment</v>
      </c>
      <c r="P244" s="13" t="str">
        <f>IF(Sheet1!O244&gt;7,"Yes","No")</f>
        <v>No</v>
      </c>
    </row>
    <row r="245" spans="5:16">
      <c r="E245" s="13" t="str">
        <v>217</v>
      </c>
      <c r="F245" s="13" t="str">
        <v>1179</v>
      </c>
      <c r="G245" s="13" t="str">
        <v>58</v>
      </c>
      <c r="H245" s="13" t="str">
        <f>_xlfn.CONCAT(Sheet1!A245," --&gt; ",Sheet1!J245)</f>
        <v>217-58-1179 --&gt; 263.13</v>
      </c>
      <c r="I245" s="13" t="str">
        <f>_xlfn.CONCAT(Sheet1!C245,"_",TEXT(Sheet1!K245, "m/d/yyyy"))</f>
        <v>Yangon_1/5/2019</v>
      </c>
      <c r="J245" s="13" t="str">
        <f>IF(Sheet1!I245=Sheet1!N245*0.05,"Valid","Error")</f>
        <v>Valid</v>
      </c>
      <c r="K245" s="13" t="str">
        <f>IF(Sheet1!N245=Sheet1!G245*Sheet1!H245,"True","False")</f>
        <v>True</v>
      </c>
      <c r="L245" s="13" t="b">
        <v>1</v>
      </c>
      <c r="M245" s="9" t="b">
        <f>ISNUMBER(Sheet1!J245)</f>
        <v>1</v>
      </c>
      <c r="N245" s="13" t="str">
        <f>IF(Sheet1!B245="A","Branch A",IF(Sheet1!B245="B","Branch B","Other Branch"))</f>
        <v>Branch A</v>
      </c>
      <c r="O245" s="13" t="str">
        <f>IF(Sheet1!M245="Credit card","Credit Payment","Other")</f>
        <v>Other</v>
      </c>
      <c r="P245" s="13" t="str">
        <f>IF(Sheet1!O245&gt;7,"Yes","No")</f>
        <v>No</v>
      </c>
    </row>
    <row r="246" spans="5:16">
      <c r="E246" s="13" t="str">
        <v>376</v>
      </c>
      <c r="F246" s="13" t="str">
        <v>8238</v>
      </c>
      <c r="G246" s="13" t="str">
        <v>02</v>
      </c>
      <c r="H246" s="13" t="str">
        <f>_xlfn.CONCAT(Sheet1!A246," --&gt; ",Sheet1!J246)</f>
        <v>376-02-8238 --&gt; 788.508</v>
      </c>
      <c r="I246" s="13" t="str">
        <f>_xlfn.CONCAT(Sheet1!C246,"_",TEXT(Sheet1!K246, "m/d/yyyy"))</f>
        <v>Mandalay_2/2/2019</v>
      </c>
      <c r="J246" s="13" t="str">
        <f>IF(Sheet1!I246=Sheet1!N246*0.05,"Valid","Error")</f>
        <v>Valid</v>
      </c>
      <c r="K246" s="13" t="str">
        <f>IF(Sheet1!N246=Sheet1!G246*Sheet1!H246,"True","False")</f>
        <v>True</v>
      </c>
      <c r="L246" s="13" t="b">
        <v>1</v>
      </c>
      <c r="M246" s="9" t="b">
        <f>ISNUMBER(Sheet1!J246)</f>
        <v>1</v>
      </c>
      <c r="N246" s="13" t="str">
        <f>IF(Sheet1!B246="A","Branch A",IF(Sheet1!B246="B","Branch B","Other Branch"))</f>
        <v>Branch B</v>
      </c>
      <c r="O246" s="13" t="str">
        <f>IF(Sheet1!M246="Credit card","Credit Payment","Other")</f>
        <v>Credit Payment</v>
      </c>
      <c r="P246" s="13" t="str">
        <f>IF(Sheet1!O246&gt;7,"Yes","No")</f>
        <v>Yes</v>
      </c>
    </row>
    <row r="247" spans="5:16">
      <c r="E247" s="13" t="str">
        <v>530</v>
      </c>
      <c r="F247" s="13" t="str">
        <v>9855</v>
      </c>
      <c r="G247" s="13" t="str">
        <v>90</v>
      </c>
      <c r="H247" s="13" t="str">
        <f>_xlfn.CONCAT(Sheet1!A247," --&gt; ",Sheet1!J247)</f>
        <v>530-90-9855 --&gt; 399.756</v>
      </c>
      <c r="I247" s="13" t="str">
        <f>_xlfn.CONCAT(Sheet1!C247,"_",TEXT(Sheet1!K247, "m/d/yyyy"))</f>
        <v>Yangon_1/1/2019</v>
      </c>
      <c r="J247" s="13" t="str">
        <f>IF(Sheet1!I247=Sheet1!N247*0.05,"Valid","Error")</f>
        <v>Valid</v>
      </c>
      <c r="K247" s="13" t="str">
        <f>IF(Sheet1!N247=Sheet1!G247*Sheet1!H247,"True","False")</f>
        <v>True</v>
      </c>
      <c r="L247" s="13" t="b">
        <v>1</v>
      </c>
      <c r="M247" s="9" t="b">
        <f>ISNUMBER(Sheet1!J247)</f>
        <v>1</v>
      </c>
      <c r="N247" s="13" t="str">
        <f>IF(Sheet1!B247="A","Branch A",IF(Sheet1!B247="B","Branch B","Other Branch"))</f>
        <v>Branch A</v>
      </c>
      <c r="O247" s="13" t="str">
        <f>IF(Sheet1!M247="Credit card","Credit Payment","Other")</f>
        <v>Other</v>
      </c>
      <c r="P247" s="13" t="str">
        <f>IF(Sheet1!O247&gt;7,"Yes","No")</f>
        <v>No</v>
      </c>
    </row>
    <row r="248" spans="5:16">
      <c r="E248" s="13" t="str">
        <v>866</v>
      </c>
      <c r="F248" s="13" t="str">
        <v>7563</v>
      </c>
      <c r="G248" s="13" t="str">
        <v>05</v>
      </c>
      <c r="H248" s="13" t="str">
        <f>_xlfn.CONCAT(Sheet1!A248," --&gt; ",Sheet1!J248)</f>
        <v>866-05-7563 --&gt; 256.41</v>
      </c>
      <c r="I248" s="13" t="str">
        <f>_xlfn.CONCAT(Sheet1!C248,"_",TEXT(Sheet1!K248, "m/d/yyyy"))</f>
        <v>Mandalay_2/9/2019</v>
      </c>
      <c r="J248" s="13" t="str">
        <f>IF(Sheet1!I248=Sheet1!N248*0.05,"Valid","Error")</f>
        <v>Valid</v>
      </c>
      <c r="K248" s="13" t="str">
        <f>IF(Sheet1!N248=Sheet1!G248*Sheet1!H248,"True","False")</f>
        <v>True</v>
      </c>
      <c r="L248" s="13" t="b">
        <v>1</v>
      </c>
      <c r="M248" s="9" t="b">
        <f>ISNUMBER(Sheet1!J248)</f>
        <v>1</v>
      </c>
      <c r="N248" s="13" t="str">
        <f>IF(Sheet1!B248="A","Branch A",IF(Sheet1!B248="B","Branch B","Other Branch"))</f>
        <v>Branch B</v>
      </c>
      <c r="O248" s="13" t="str">
        <f>IF(Sheet1!M248="Credit card","Credit Payment","Other")</f>
        <v>Other</v>
      </c>
      <c r="P248" s="13" t="str">
        <f>IF(Sheet1!O248&gt;7,"Yes","No")</f>
        <v>No</v>
      </c>
    </row>
    <row r="249" spans="5:16">
      <c r="E249" s="13" t="str">
        <v>604</v>
      </c>
      <c r="F249" s="13" t="str">
        <v>6476</v>
      </c>
      <c r="G249" s="13" t="str">
        <v>70</v>
      </c>
      <c r="H249" s="13" t="str">
        <f>_xlfn.CONCAT(Sheet1!A249," --&gt; ",Sheet1!J249)</f>
        <v>604-70-6476 --&gt; 94.185</v>
      </c>
      <c r="I249" s="13" t="str">
        <f>_xlfn.CONCAT(Sheet1!C249,"_",TEXT(Sheet1!K249, "m/d/yyyy"))</f>
        <v>Yangon_1/23/2019</v>
      </c>
      <c r="J249" s="13" t="str">
        <f>IF(Sheet1!I249=Sheet1!N249*0.05,"Valid","Error")</f>
        <v>Valid</v>
      </c>
      <c r="K249" s="13" t="str">
        <f>IF(Sheet1!N249=Sheet1!G249*Sheet1!H249,"True","False")</f>
        <v>True</v>
      </c>
      <c r="L249" s="13" t="b">
        <v>1</v>
      </c>
      <c r="M249" s="9" t="b">
        <f>ISNUMBER(Sheet1!J249)</f>
        <v>1</v>
      </c>
      <c r="N249" s="13" t="str">
        <f>IF(Sheet1!B249="A","Branch A",IF(Sheet1!B249="B","Branch B","Other Branch"))</f>
        <v>Branch A</v>
      </c>
      <c r="O249" s="13" t="str">
        <f>IF(Sheet1!M249="Credit card","Credit Payment","Other")</f>
        <v>Other</v>
      </c>
      <c r="P249" s="13" t="str">
        <f>IF(Sheet1!O249&gt;7,"Yes","No")</f>
        <v>No</v>
      </c>
    </row>
    <row r="250" spans="5:16">
      <c r="E250" s="13" t="str">
        <v>799</v>
      </c>
      <c r="F250" s="13" t="str">
        <v>1548</v>
      </c>
      <c r="G250" s="13" t="str">
        <v>71</v>
      </c>
      <c r="H250" s="13" t="str">
        <f>_xlfn.CONCAT(Sheet1!A250," --&gt; ",Sheet1!J250)</f>
        <v>799-71-1548 --&gt; 326.424</v>
      </c>
      <c r="I250" s="13" t="str">
        <f>_xlfn.CONCAT(Sheet1!C250,"_",TEXT(Sheet1!K250, "m/d/yyyy"))</f>
        <v>Yangon_1/7/2019</v>
      </c>
      <c r="J250" s="13" t="str">
        <f>IF(Sheet1!I250=Sheet1!N250*0.05,"Valid","Error")</f>
        <v>Valid</v>
      </c>
      <c r="K250" s="13" t="str">
        <f>IF(Sheet1!N250=Sheet1!G250*Sheet1!H250,"True","False")</f>
        <v>True</v>
      </c>
      <c r="L250" s="13" t="b">
        <v>1</v>
      </c>
      <c r="M250" s="9" t="b">
        <f>ISNUMBER(Sheet1!J250)</f>
        <v>1</v>
      </c>
      <c r="N250" s="13" t="str">
        <f>IF(Sheet1!B250="A","Branch A",IF(Sheet1!B250="B","Branch B","Other Branch"))</f>
        <v>Branch A</v>
      </c>
      <c r="O250" s="13" t="str">
        <f>IF(Sheet1!M250="Credit card","Credit Payment","Other")</f>
        <v>Credit Payment</v>
      </c>
      <c r="P250" s="13" t="str">
        <f>IF(Sheet1!O250&gt;7,"Yes","No")</f>
        <v>Yes</v>
      </c>
    </row>
    <row r="251" spans="5:16">
      <c r="E251" s="13" t="str">
        <v>785</v>
      </c>
      <c r="F251" s="13" t="str">
        <v>7708</v>
      </c>
      <c r="G251" s="13" t="str">
        <v>13</v>
      </c>
      <c r="H251" s="13" t="str">
        <f>_xlfn.CONCAT(Sheet1!A251," --&gt; ",Sheet1!J251)</f>
        <v>785-13-7708 --&gt; 536.991</v>
      </c>
      <c r="I251" s="13" t="str">
        <f>_xlfn.CONCAT(Sheet1!C251,"_",TEXT(Sheet1!K251, "m/d/yyyy"))</f>
        <v>Mandalay_1/14/2019</v>
      </c>
      <c r="J251" s="13" t="str">
        <f>IF(Sheet1!I251=Sheet1!N251*0.05,"Valid","Error")</f>
        <v>Valid</v>
      </c>
      <c r="K251" s="13" t="str">
        <f>IF(Sheet1!N251=Sheet1!G251*Sheet1!H251,"True","False")</f>
        <v>True</v>
      </c>
      <c r="L251" s="13" t="b">
        <v>1</v>
      </c>
      <c r="M251" s="9" t="b">
        <f>ISNUMBER(Sheet1!J251)</f>
        <v>1</v>
      </c>
      <c r="N251" s="13" t="str">
        <f>IF(Sheet1!B251="A","Branch A",IF(Sheet1!B251="B","Branch B","Other Branch"))</f>
        <v>Branch B</v>
      </c>
      <c r="O251" s="13" t="str">
        <f>IF(Sheet1!M251="Credit card","Credit Payment","Other")</f>
        <v>Credit Payment</v>
      </c>
      <c r="P251" s="13" t="str">
        <f>IF(Sheet1!O251&gt;7,"Yes","No")</f>
        <v>No</v>
      </c>
    </row>
    <row r="252" spans="5:16">
      <c r="E252" s="13" t="str">
        <v>845</v>
      </c>
      <c r="F252" s="13" t="str">
        <v>0542</v>
      </c>
      <c r="G252" s="13" t="str">
        <v>51</v>
      </c>
      <c r="H252" s="13" t="str">
        <f>_xlfn.CONCAT(Sheet1!A252," --&gt; ",Sheet1!J252)</f>
        <v>845-51-0542 --&gt; 439.8975</v>
      </c>
      <c r="I252" s="13" t="str">
        <f>_xlfn.CONCAT(Sheet1!C252,"_",TEXT(Sheet1!K252, "m/d/yyyy"))</f>
        <v>Mandalay_2/2/2019</v>
      </c>
      <c r="J252" s="13" t="str">
        <f>IF(Sheet1!I252=Sheet1!N252*0.05,"Valid","Error")</f>
        <v>Valid</v>
      </c>
      <c r="K252" s="13" t="str">
        <f>IF(Sheet1!N252=Sheet1!G252*Sheet1!H252,"True","False")</f>
        <v>True</v>
      </c>
      <c r="L252" s="13" t="b">
        <v>1</v>
      </c>
      <c r="M252" s="9" t="b">
        <f>ISNUMBER(Sheet1!J252)</f>
        <v>1</v>
      </c>
      <c r="N252" s="13" t="str">
        <f>IF(Sheet1!B252="A","Branch A",IF(Sheet1!B252="B","Branch B","Other Branch"))</f>
        <v>Branch B</v>
      </c>
      <c r="O252" s="13" t="str">
        <f>IF(Sheet1!M252="Credit card","Credit Payment","Other")</f>
        <v>Other</v>
      </c>
      <c r="P252" s="13" t="str">
        <f>IF(Sheet1!O252&gt;7,"Yes","No")</f>
        <v>No</v>
      </c>
    </row>
    <row r="253" spans="5:16">
      <c r="E253" s="13" t="str">
        <v>662</v>
      </c>
      <c r="F253" s="13" t="str">
        <v>5456</v>
      </c>
      <c r="G253" s="13" t="str">
        <v>47</v>
      </c>
      <c r="H253" s="13" t="str">
        <f>_xlfn.CONCAT(Sheet1!A253," --&gt; ",Sheet1!J253)</f>
        <v>662-47-5456 --&gt; 369.495</v>
      </c>
      <c r="I253" s="13" t="str">
        <f>_xlfn.CONCAT(Sheet1!C253,"_",TEXT(Sheet1!K253, "m/d/yyyy"))</f>
        <v>Naypyitaw_3/17/2019</v>
      </c>
      <c r="J253" s="13" t="str">
        <f>IF(Sheet1!I253=Sheet1!N253*0.05,"Valid","Error")</f>
        <v>Valid</v>
      </c>
      <c r="K253" s="13" t="str">
        <f>IF(Sheet1!N253=Sheet1!G253*Sheet1!H253,"True","False")</f>
        <v>True</v>
      </c>
      <c r="L253" s="13" t="b">
        <v>1</v>
      </c>
      <c r="M253" s="9" t="b">
        <f>ISNUMBER(Sheet1!J253)</f>
        <v>1</v>
      </c>
      <c r="N253" s="13" t="str">
        <f>IF(Sheet1!B253="A","Branch A",IF(Sheet1!B253="B","Branch B","Other Branch"))</f>
        <v>Other Branch</v>
      </c>
      <c r="O253" s="13" t="str">
        <f>IF(Sheet1!M253="Credit card","Credit Payment","Other")</f>
        <v>Credit Payment</v>
      </c>
      <c r="P253" s="13" t="str">
        <f>IF(Sheet1!O253&gt;7,"Yes","No")</f>
        <v>Yes</v>
      </c>
    </row>
    <row r="254" spans="5:16">
      <c r="E254" s="13" t="str">
        <v>883</v>
      </c>
      <c r="F254" s="13" t="str">
        <v>4236</v>
      </c>
      <c r="G254" s="13" t="str">
        <v>17</v>
      </c>
      <c r="H254" s="13" t="str">
        <f>_xlfn.CONCAT(Sheet1!A254," --&gt; ",Sheet1!J254)</f>
        <v>883-17-4236 --&gt; 30.219</v>
      </c>
      <c r="I254" s="13" t="str">
        <f>_xlfn.CONCAT(Sheet1!C254,"_",TEXT(Sheet1!K254, "m/d/yyyy"))</f>
        <v>Naypyitaw_3/2/2019</v>
      </c>
      <c r="J254" s="13" t="str">
        <f>IF(Sheet1!I254=Sheet1!N254*0.05,"Valid","Error")</f>
        <v>Valid</v>
      </c>
      <c r="K254" s="13" t="str">
        <f>IF(Sheet1!N254=Sheet1!G254*Sheet1!H254,"True","False")</f>
        <v>True</v>
      </c>
      <c r="L254" s="13" t="b">
        <v>1</v>
      </c>
      <c r="M254" s="9" t="b">
        <f>ISNUMBER(Sheet1!J254)</f>
        <v>1</v>
      </c>
      <c r="N254" s="13" t="str">
        <f>IF(Sheet1!B254="A","Branch A",IF(Sheet1!B254="B","Branch B","Other Branch"))</f>
        <v>Other Branch</v>
      </c>
      <c r="O254" s="13" t="str">
        <f>IF(Sheet1!M254="Credit card","Credit Payment","Other")</f>
        <v>Credit Payment</v>
      </c>
      <c r="P254" s="13" t="str">
        <f>IF(Sheet1!O254&gt;7,"Yes","No")</f>
        <v>Yes</v>
      </c>
    </row>
    <row r="255" spans="5:16">
      <c r="E255" s="13" t="str">
        <v>290</v>
      </c>
      <c r="F255" s="13" t="str">
        <v>2984</v>
      </c>
      <c r="G255" s="13" t="str">
        <v>68</v>
      </c>
      <c r="H255" s="13" t="str">
        <f>_xlfn.CONCAT(Sheet1!A255," --&gt; ",Sheet1!J255)</f>
        <v>290-68-2984 --&gt; 99.75</v>
      </c>
      <c r="I255" s="13" t="str">
        <f>_xlfn.CONCAT(Sheet1!C255,"_",TEXT(Sheet1!K255, "m/d/yyyy"))</f>
        <v>Yangon_3/16/2019</v>
      </c>
      <c r="J255" s="13" t="str">
        <f>IF(Sheet1!I255=Sheet1!N255*0.05,"Valid","Error")</f>
        <v>Valid</v>
      </c>
      <c r="K255" s="13" t="str">
        <f>IF(Sheet1!N255=Sheet1!G255*Sheet1!H255,"True","False")</f>
        <v>True</v>
      </c>
      <c r="L255" s="13" t="b">
        <v>1</v>
      </c>
      <c r="M255" s="9" t="b">
        <f>ISNUMBER(Sheet1!J255)</f>
        <v>1</v>
      </c>
      <c r="N255" s="13" t="str">
        <f>IF(Sheet1!B255="A","Branch A",IF(Sheet1!B255="B","Branch B","Other Branch"))</f>
        <v>Branch A</v>
      </c>
      <c r="O255" s="13" t="str">
        <f>IF(Sheet1!M255="Credit card","Credit Payment","Other")</f>
        <v>Other</v>
      </c>
      <c r="P255" s="13" t="str">
        <f>IF(Sheet1!O255&gt;7,"Yes","No")</f>
        <v>No</v>
      </c>
    </row>
    <row r="256" spans="5:16">
      <c r="E256" s="13" t="str">
        <v>704</v>
      </c>
      <c r="F256" s="13" t="str">
        <v>6354</v>
      </c>
      <c r="G256" s="13" t="str">
        <v>11</v>
      </c>
      <c r="H256" s="13" t="str">
        <f>_xlfn.CONCAT(Sheet1!A256," --&gt; ",Sheet1!J256)</f>
        <v>704-11-6354 --&gt; 494.76</v>
      </c>
      <c r="I256" s="13" t="str">
        <f>_xlfn.CONCAT(Sheet1!C256,"_",TEXT(Sheet1!K256, "m/d/yyyy"))</f>
        <v>Yangon_1/6/2019</v>
      </c>
      <c r="J256" s="13" t="str">
        <f>IF(Sheet1!I256=Sheet1!N256*0.05,"Valid","Error")</f>
        <v>Valid</v>
      </c>
      <c r="K256" s="13" t="str">
        <f>IF(Sheet1!N256=Sheet1!G256*Sheet1!H256,"True","False")</f>
        <v>True</v>
      </c>
      <c r="L256" s="13" t="b">
        <v>1</v>
      </c>
      <c r="M256" s="9" t="b">
        <f>ISNUMBER(Sheet1!J256)</f>
        <v>1</v>
      </c>
      <c r="N256" s="13" t="str">
        <f>IF(Sheet1!B256="A","Branch A",IF(Sheet1!B256="B","Branch B","Other Branch"))</f>
        <v>Branch A</v>
      </c>
      <c r="O256" s="13" t="str">
        <f>IF(Sheet1!M256="Credit card","Credit Payment","Other")</f>
        <v>Other</v>
      </c>
      <c r="P256" s="13" t="str">
        <f>IF(Sheet1!O256&gt;7,"Yes","No")</f>
        <v>Yes</v>
      </c>
    </row>
    <row r="257" spans="5:16">
      <c r="E257" s="13" t="str">
        <v>110</v>
      </c>
      <c r="F257" s="13" t="str">
        <v>7033</v>
      </c>
      <c r="G257" s="13" t="str">
        <v>48</v>
      </c>
      <c r="H257" s="13" t="str">
        <f>_xlfn.CONCAT(Sheet1!A257," --&gt; ",Sheet1!J257)</f>
        <v>110-48-7033 --&gt; 137.004</v>
      </c>
      <c r="I257" s="13" t="str">
        <f>_xlfn.CONCAT(Sheet1!C257,"_",TEXT(Sheet1!K257, "m/d/yyyy"))</f>
        <v>Mandalay_1/29/2019</v>
      </c>
      <c r="J257" s="13" t="str">
        <f>IF(Sheet1!I257=Sheet1!N257*0.05,"Valid","Error")</f>
        <v>Valid</v>
      </c>
      <c r="K257" s="13" t="str">
        <f>IF(Sheet1!N257=Sheet1!G257*Sheet1!H257,"True","False")</f>
        <v>True</v>
      </c>
      <c r="L257" s="13" t="b">
        <v>1</v>
      </c>
      <c r="M257" s="9" t="b">
        <f>ISNUMBER(Sheet1!J257)</f>
        <v>1</v>
      </c>
      <c r="N257" s="13" t="str">
        <f>IF(Sheet1!B257="A","Branch A",IF(Sheet1!B257="B","Branch B","Other Branch"))</f>
        <v>Branch B</v>
      </c>
      <c r="O257" s="13" t="str">
        <f>IF(Sheet1!M257="Credit card","Credit Payment","Other")</f>
        <v>Other</v>
      </c>
      <c r="P257" s="13" t="str">
        <f>IF(Sheet1!O257&gt;7,"Yes","No")</f>
        <v>Yes</v>
      </c>
    </row>
    <row r="258" spans="5:16">
      <c r="E258" s="13" t="str">
        <v>366</v>
      </c>
      <c r="F258" s="13" t="str">
        <v>0948</v>
      </c>
      <c r="G258" s="13" t="str">
        <v>93</v>
      </c>
      <c r="H258" s="13" t="str">
        <f>_xlfn.CONCAT(Sheet1!A258," --&gt; ",Sheet1!J258)</f>
        <v>366-93-0948 --&gt; 69.6675</v>
      </c>
      <c r="I258" s="13" t="str">
        <f>_xlfn.CONCAT(Sheet1!C258,"_",TEXT(Sheet1!K258, "m/d/yyyy"))</f>
        <v>Yangon_1/31/2019</v>
      </c>
      <c r="J258" s="13" t="str">
        <f>IF(Sheet1!I258=Sheet1!N258*0.05,"Valid","Error")</f>
        <v>Valid</v>
      </c>
      <c r="K258" s="13" t="str">
        <f>IF(Sheet1!N258=Sheet1!G258*Sheet1!H258,"True","False")</f>
        <v>True</v>
      </c>
      <c r="L258" s="13" t="b">
        <v>1</v>
      </c>
      <c r="M258" s="9" t="b">
        <f>ISNUMBER(Sheet1!J258)</f>
        <v>1</v>
      </c>
      <c r="N258" s="13" t="str">
        <f>IF(Sheet1!B258="A","Branch A",IF(Sheet1!B258="B","Branch B","Other Branch"))</f>
        <v>Branch A</v>
      </c>
      <c r="O258" s="13" t="str">
        <f>IF(Sheet1!M258="Credit card","Credit Payment","Other")</f>
        <v>Credit Payment</v>
      </c>
      <c r="P258" s="13" t="str">
        <f>IF(Sheet1!O258&gt;7,"Yes","No")</f>
        <v>Yes</v>
      </c>
    </row>
    <row r="259" spans="5:16">
      <c r="E259" s="13" t="str">
        <v>729</v>
      </c>
      <c r="F259" s="13" t="str">
        <v>9681</v>
      </c>
      <c r="G259" s="13" t="str">
        <v>09</v>
      </c>
      <c r="H259" s="13" t="str">
        <f>_xlfn.CONCAT(Sheet1!A259," --&gt; ",Sheet1!J259)</f>
        <v>729-09-9681 --&gt; 163.233</v>
      </c>
      <c r="I259" s="13" t="str">
        <f>_xlfn.CONCAT(Sheet1!C259,"_",TEXT(Sheet1!K259, "m/d/yyyy"))</f>
        <v>Yangon_2/5/2019</v>
      </c>
      <c r="J259" s="13" t="str">
        <f>IF(Sheet1!I259=Sheet1!N259*0.05,"Valid","Error")</f>
        <v>Valid</v>
      </c>
      <c r="K259" s="13" t="str">
        <f>IF(Sheet1!N259=Sheet1!G259*Sheet1!H259,"True","False")</f>
        <v>True</v>
      </c>
      <c r="L259" s="13" t="b">
        <v>1</v>
      </c>
      <c r="M259" s="9" t="b">
        <f>ISNUMBER(Sheet1!J259)</f>
        <v>1</v>
      </c>
      <c r="N259" s="13" t="str">
        <f>IF(Sheet1!B259="A","Branch A",IF(Sheet1!B259="B","Branch B","Other Branch"))</f>
        <v>Branch A</v>
      </c>
      <c r="O259" s="13" t="str">
        <f>IF(Sheet1!M259="Credit card","Credit Payment","Other")</f>
        <v>Other</v>
      </c>
      <c r="P259" s="13" t="str">
        <f>IF(Sheet1!O259&gt;7,"Yes","No")</f>
        <v>Yes</v>
      </c>
    </row>
    <row r="260" spans="5:16">
      <c r="E260" s="13" t="str">
        <v>151</v>
      </c>
      <c r="F260" s="13" t="str">
        <v>1484</v>
      </c>
      <c r="G260" s="13" t="str">
        <v>16</v>
      </c>
      <c r="H260" s="13" t="str">
        <f>_xlfn.CONCAT(Sheet1!A260," --&gt; ",Sheet1!J260)</f>
        <v>151-16-1484 --&gt; 135.45</v>
      </c>
      <c r="I260" s="13" t="str">
        <f>_xlfn.CONCAT(Sheet1!C260,"_",TEXT(Sheet1!K260, "m/d/yyyy"))</f>
        <v>Yangon_2/13/2019</v>
      </c>
      <c r="J260" s="13" t="str">
        <f>IF(Sheet1!I260=Sheet1!N260*0.05,"Valid","Error")</f>
        <v>Valid</v>
      </c>
      <c r="K260" s="13" t="str">
        <f>IF(Sheet1!N260=Sheet1!G260*Sheet1!H260,"True","False")</f>
        <v>True</v>
      </c>
      <c r="L260" s="13" t="b">
        <v>1</v>
      </c>
      <c r="M260" s="9" t="b">
        <f>ISNUMBER(Sheet1!J260)</f>
        <v>1</v>
      </c>
      <c r="N260" s="13" t="str">
        <f>IF(Sheet1!B260="A","Branch A",IF(Sheet1!B260="B","Branch B","Other Branch"))</f>
        <v>Branch A</v>
      </c>
      <c r="O260" s="13" t="str">
        <f>IF(Sheet1!M260="Credit card","Credit Payment","Other")</f>
        <v>Other</v>
      </c>
      <c r="P260" s="13" t="str">
        <f>IF(Sheet1!O260&gt;7,"Yes","No")</f>
        <v>No</v>
      </c>
    </row>
    <row r="261" spans="5:16">
      <c r="E261" s="13" t="str">
        <v>380</v>
      </c>
      <c r="F261" s="13" t="str">
        <v>4661</v>
      </c>
      <c r="G261" s="13" t="str">
        <v>94</v>
      </c>
      <c r="H261" s="13" t="str">
        <f>_xlfn.CONCAT(Sheet1!A261," --&gt; ",Sheet1!J261)</f>
        <v>380-94-4661 --&gt; 276.948</v>
      </c>
      <c r="I261" s="13" t="str">
        <f>_xlfn.CONCAT(Sheet1!C261,"_",TEXT(Sheet1!K261, "m/d/yyyy"))</f>
        <v>Naypyitaw_2/7/2019</v>
      </c>
      <c r="J261" s="13" t="str">
        <f>IF(Sheet1!I261=Sheet1!N261*0.05,"Valid","Error")</f>
        <v>Valid</v>
      </c>
      <c r="K261" s="13" t="str">
        <f>IF(Sheet1!N261=Sheet1!G261*Sheet1!H261,"True","False")</f>
        <v>True</v>
      </c>
      <c r="L261" s="13" t="b">
        <v>1</v>
      </c>
      <c r="M261" s="9" t="b">
        <f>ISNUMBER(Sheet1!J261)</f>
        <v>1</v>
      </c>
      <c r="N261" s="13" t="str">
        <f>IF(Sheet1!B261="A","Branch A",IF(Sheet1!B261="B","Branch B","Other Branch"))</f>
        <v>Other Branch</v>
      </c>
      <c r="O261" s="13" t="str">
        <f>IF(Sheet1!M261="Credit card","Credit Payment","Other")</f>
        <v>Credit Payment</v>
      </c>
      <c r="P261" s="13" t="str">
        <f>IF(Sheet1!O261&gt;7,"Yes","No")</f>
        <v>No</v>
      </c>
    </row>
    <row r="262" spans="5:16">
      <c r="E262" s="13" t="str">
        <v>850</v>
      </c>
      <c r="F262" s="13" t="str">
        <v>9669</v>
      </c>
      <c r="G262" s="13" t="str">
        <v>41</v>
      </c>
      <c r="H262" s="13" t="str">
        <f>_xlfn.CONCAT(Sheet1!A262," --&gt; ",Sheet1!J262)</f>
        <v>850-41-9669 --&gt; 709.317</v>
      </c>
      <c r="I262" s="13" t="str">
        <f>_xlfn.CONCAT(Sheet1!C262,"_",TEXT(Sheet1!K262, "m/d/yyyy"))</f>
        <v>Yangon_3/19/2019</v>
      </c>
      <c r="J262" s="13" t="str">
        <f>IF(Sheet1!I262=Sheet1!N262*0.05,"Valid","Error")</f>
        <v>Valid</v>
      </c>
      <c r="K262" s="13" t="str">
        <f>IF(Sheet1!N262=Sheet1!G262*Sheet1!H262,"True","False")</f>
        <v>True</v>
      </c>
      <c r="L262" s="13" t="b">
        <v>1</v>
      </c>
      <c r="M262" s="9" t="b">
        <f>ISNUMBER(Sheet1!J262)</f>
        <v>1</v>
      </c>
      <c r="N262" s="13" t="str">
        <f>IF(Sheet1!B262="A","Branch A",IF(Sheet1!B262="B","Branch B","Other Branch"))</f>
        <v>Branch A</v>
      </c>
      <c r="O262" s="13" t="str">
        <f>IF(Sheet1!M262="Credit card","Credit Payment","Other")</f>
        <v>Other</v>
      </c>
      <c r="P262" s="13" t="str">
        <f>IF(Sheet1!O262&gt;7,"Yes","No")</f>
        <v>No</v>
      </c>
    </row>
    <row r="263" spans="5:16">
      <c r="E263" s="13" t="str">
        <v>821</v>
      </c>
      <c r="F263" s="13" t="str">
        <v>3596</v>
      </c>
      <c r="G263" s="13" t="str">
        <v>07</v>
      </c>
      <c r="H263" s="13" t="str">
        <f>_xlfn.CONCAT(Sheet1!A263," --&gt; ",Sheet1!J263)</f>
        <v>821-07-3596 --&gt; 69.09</v>
      </c>
      <c r="I263" s="13" t="str">
        <f>_xlfn.CONCAT(Sheet1!C263,"_",TEXT(Sheet1!K263, "m/d/yyyy"))</f>
        <v>Naypyitaw_3/7/2019</v>
      </c>
      <c r="J263" s="13" t="str">
        <f>IF(Sheet1!I263=Sheet1!N263*0.05,"Valid","Error")</f>
        <v>Valid</v>
      </c>
      <c r="K263" s="13" t="str">
        <f>IF(Sheet1!N263=Sheet1!G263*Sheet1!H263,"True","False")</f>
        <v>True</v>
      </c>
      <c r="L263" s="13" t="b">
        <v>1</v>
      </c>
      <c r="M263" s="9" t="b">
        <f>ISNUMBER(Sheet1!J263)</f>
        <v>1</v>
      </c>
      <c r="N263" s="13" t="str">
        <f>IF(Sheet1!B263="A","Branch A",IF(Sheet1!B263="B","Branch B","Other Branch"))</f>
        <v>Other Branch</v>
      </c>
      <c r="O263" s="13" t="str">
        <f>IF(Sheet1!M263="Credit card","Credit Payment","Other")</f>
        <v>Other</v>
      </c>
      <c r="P263" s="13" t="str">
        <f>IF(Sheet1!O263&gt;7,"Yes","No")</f>
        <v>No</v>
      </c>
    </row>
    <row r="264" spans="5:16">
      <c r="E264" s="13" t="str">
        <v>655</v>
      </c>
      <c r="F264" s="13" t="str">
        <v>5130</v>
      </c>
      <c r="G264" s="13" t="str">
        <v>85</v>
      </c>
      <c r="H264" s="13" t="str">
        <f>_xlfn.CONCAT(Sheet1!A264," --&gt; ",Sheet1!J264)</f>
        <v>655-85-5130 --&gt; 160.86</v>
      </c>
      <c r="I264" s="13" t="str">
        <f>_xlfn.CONCAT(Sheet1!C264,"_",TEXT(Sheet1!K264, "m/d/yyyy"))</f>
        <v>Mandalay_3/13/2019</v>
      </c>
      <c r="J264" s="13" t="str">
        <f>IF(Sheet1!I264=Sheet1!N264*0.05,"Valid","Error")</f>
        <v>Valid</v>
      </c>
      <c r="K264" s="13" t="str">
        <f>IF(Sheet1!N264=Sheet1!G264*Sheet1!H264,"True","False")</f>
        <v>True</v>
      </c>
      <c r="L264" s="13" t="b">
        <v>1</v>
      </c>
      <c r="M264" s="9" t="b">
        <f>ISNUMBER(Sheet1!J264)</f>
        <v>1</v>
      </c>
      <c r="N264" s="13" t="str">
        <f>IF(Sheet1!B264="A","Branch A",IF(Sheet1!B264="B","Branch B","Other Branch"))</f>
        <v>Branch B</v>
      </c>
      <c r="O264" s="13" t="str">
        <f>IF(Sheet1!M264="Credit card","Credit Payment","Other")</f>
        <v>Other</v>
      </c>
      <c r="P264" s="13" t="str">
        <f>IF(Sheet1!O264&gt;7,"Yes","No")</f>
        <v>No</v>
      </c>
    </row>
    <row r="265" spans="5:16">
      <c r="E265" s="13" t="str">
        <v>447</v>
      </c>
      <c r="F265" s="13" t="str">
        <v>7839</v>
      </c>
      <c r="G265" s="13" t="str">
        <v>15</v>
      </c>
      <c r="H265" s="13" t="str">
        <f>_xlfn.CONCAT(Sheet1!A265," --&gt; ",Sheet1!J265)</f>
        <v>447-15-7839 --&gt; 233.52</v>
      </c>
      <c r="I265" s="13" t="str">
        <f>_xlfn.CONCAT(Sheet1!C265,"_",TEXT(Sheet1!K265, "m/d/yyyy"))</f>
        <v>Yangon_2/9/2019</v>
      </c>
      <c r="J265" s="13" t="str">
        <f>IF(Sheet1!I265=Sheet1!N265*0.05,"Valid","Error")</f>
        <v>Valid</v>
      </c>
      <c r="K265" s="13" t="str">
        <f>IF(Sheet1!N265=Sheet1!G265*Sheet1!H265,"True","False")</f>
        <v>True</v>
      </c>
      <c r="L265" s="13" t="b">
        <v>1</v>
      </c>
      <c r="M265" s="9" t="b">
        <f>ISNUMBER(Sheet1!J265)</f>
        <v>1</v>
      </c>
      <c r="N265" s="13" t="str">
        <f>IF(Sheet1!B265="A","Branch A",IF(Sheet1!B265="B","Branch B","Other Branch"))</f>
        <v>Branch A</v>
      </c>
      <c r="O265" s="13" t="str">
        <f>IF(Sheet1!M265="Credit card","Credit Payment","Other")</f>
        <v>Other</v>
      </c>
      <c r="P265" s="13" t="str">
        <f>IF(Sheet1!O265&gt;7,"Yes","No")</f>
        <v>No</v>
      </c>
    </row>
    <row r="266" spans="5:16">
      <c r="E266" s="13" t="str">
        <v>154</v>
      </c>
      <c r="F266" s="13" t="str">
        <v>7179</v>
      </c>
      <c r="G266" s="13" t="str">
        <v>74</v>
      </c>
      <c r="H266" s="13" t="str">
        <f>_xlfn.CONCAT(Sheet1!A266," --&gt; ",Sheet1!J266)</f>
        <v>154-74-7179 --&gt; 57.1725</v>
      </c>
      <c r="I266" s="13" t="str">
        <f>_xlfn.CONCAT(Sheet1!C266,"_",TEXT(Sheet1!K266, "m/d/yyyy"))</f>
        <v>Mandalay_2/26/2019</v>
      </c>
      <c r="J266" s="13" t="str">
        <f>IF(Sheet1!I266=Sheet1!N266*0.05,"Valid","Error")</f>
        <v>Valid</v>
      </c>
      <c r="K266" s="13" t="str">
        <f>IF(Sheet1!N266=Sheet1!G266*Sheet1!H266,"True","False")</f>
        <v>True</v>
      </c>
      <c r="L266" s="13" t="b">
        <v>1</v>
      </c>
      <c r="M266" s="9" t="b">
        <f>ISNUMBER(Sheet1!J266)</f>
        <v>1</v>
      </c>
      <c r="N266" s="13" t="str">
        <f>IF(Sheet1!B266="A","Branch A",IF(Sheet1!B266="B","Branch B","Other Branch"))</f>
        <v>Branch B</v>
      </c>
      <c r="O266" s="13" t="str">
        <f>IF(Sheet1!M266="Credit card","Credit Payment","Other")</f>
        <v>Other</v>
      </c>
      <c r="P266" s="13" t="str">
        <f>IF(Sheet1!O266&gt;7,"Yes","No")</f>
        <v>Yes</v>
      </c>
    </row>
    <row r="267" spans="5:16">
      <c r="E267" s="13" t="str">
        <v>253</v>
      </c>
      <c r="F267" s="13" t="str">
        <v>6086</v>
      </c>
      <c r="G267" s="13" t="str">
        <v>12</v>
      </c>
      <c r="H267" s="13" t="str">
        <f>_xlfn.CONCAT(Sheet1!A267," --&gt; ",Sheet1!J267)</f>
        <v>253-12-6086 --&gt; 723.24</v>
      </c>
      <c r="I267" s="13" t="str">
        <f>_xlfn.CONCAT(Sheet1!C267,"_",TEXT(Sheet1!K267, "m/d/yyyy"))</f>
        <v>Yangon_3/12/2019</v>
      </c>
      <c r="J267" s="13" t="str">
        <f>IF(Sheet1!I267=Sheet1!N267*0.05,"Valid","Error")</f>
        <v>Valid</v>
      </c>
      <c r="K267" s="13" t="str">
        <f>IF(Sheet1!N267=Sheet1!G267*Sheet1!H267,"True","False")</f>
        <v>True</v>
      </c>
      <c r="L267" s="13" t="b">
        <v>1</v>
      </c>
      <c r="M267" s="9" t="b">
        <f>ISNUMBER(Sheet1!J267)</f>
        <v>1</v>
      </c>
      <c r="N267" s="13" t="str">
        <f>IF(Sheet1!B267="A","Branch A",IF(Sheet1!B267="B","Branch B","Other Branch"))</f>
        <v>Branch A</v>
      </c>
      <c r="O267" s="13" t="str">
        <f>IF(Sheet1!M267="Credit card","Credit Payment","Other")</f>
        <v>Credit Payment</v>
      </c>
      <c r="P267" s="13" t="str">
        <f>IF(Sheet1!O267&gt;7,"Yes","No")</f>
        <v>Yes</v>
      </c>
    </row>
    <row r="268" spans="5:16">
      <c r="E268" s="13" t="str">
        <v>808</v>
      </c>
      <c r="F268" s="13" t="str">
        <v>0703</v>
      </c>
      <c r="G268" s="13" t="str">
        <v>65</v>
      </c>
      <c r="H268" s="13" t="str">
        <f>_xlfn.CONCAT(Sheet1!A268," --&gt; ",Sheet1!J268)</f>
        <v>808-65-0703 --&gt; 148.974</v>
      </c>
      <c r="I268" s="13" t="str">
        <f>_xlfn.CONCAT(Sheet1!C268,"_",TEXT(Sheet1!K268, "m/d/yyyy"))</f>
        <v>Naypyitaw_3/14/2019</v>
      </c>
      <c r="J268" s="13" t="str">
        <f>IF(Sheet1!I268=Sheet1!N268*0.05,"Valid","Error")</f>
        <v>Valid</v>
      </c>
      <c r="K268" s="13" t="str">
        <f>IF(Sheet1!N268=Sheet1!G268*Sheet1!H268,"True","False")</f>
        <v>True</v>
      </c>
      <c r="L268" s="13" t="b">
        <v>1</v>
      </c>
      <c r="M268" s="9" t="b">
        <f>ISNUMBER(Sheet1!J268)</f>
        <v>1</v>
      </c>
      <c r="N268" s="13" t="str">
        <f>IF(Sheet1!B268="A","Branch A",IF(Sheet1!B268="B","Branch B","Other Branch"))</f>
        <v>Other Branch</v>
      </c>
      <c r="O268" s="13" t="str">
        <f>IF(Sheet1!M268="Credit card","Credit Payment","Other")</f>
        <v>Credit Payment</v>
      </c>
      <c r="P268" s="13" t="str">
        <f>IF(Sheet1!O268&gt;7,"Yes","No")</f>
        <v>No</v>
      </c>
    </row>
    <row r="269" spans="5:16">
      <c r="E269" s="13" t="str">
        <v>571</v>
      </c>
      <c r="F269" s="13" t="str">
        <v>0759</v>
      </c>
      <c r="G269" s="13" t="str">
        <v>94</v>
      </c>
      <c r="H269" s="13" t="str">
        <f>_xlfn.CONCAT(Sheet1!A269," --&gt; ",Sheet1!J269)</f>
        <v>571-94-0759 --&gt; 783.3</v>
      </c>
      <c r="I269" s="13" t="str">
        <f>_xlfn.CONCAT(Sheet1!C269,"_",TEXT(Sheet1!K269, "m/d/yyyy"))</f>
        <v>Mandalay_1/8/2019</v>
      </c>
      <c r="J269" s="13" t="str">
        <f>IF(Sheet1!I269=Sheet1!N269*0.05,"Valid","Error")</f>
        <v>Valid</v>
      </c>
      <c r="K269" s="13" t="str">
        <f>IF(Sheet1!N269=Sheet1!G269*Sheet1!H269,"True","False")</f>
        <v>True</v>
      </c>
      <c r="L269" s="13" t="b">
        <v>1</v>
      </c>
      <c r="M269" s="9" t="b">
        <f>ISNUMBER(Sheet1!J269)</f>
        <v>1</v>
      </c>
      <c r="N269" s="13" t="str">
        <f>IF(Sheet1!B269="A","Branch A",IF(Sheet1!B269="B","Branch B","Other Branch"))</f>
        <v>Branch B</v>
      </c>
      <c r="O269" s="13" t="str">
        <f>IF(Sheet1!M269="Credit card","Credit Payment","Other")</f>
        <v>Other</v>
      </c>
      <c r="P269" s="13" t="str">
        <f>IF(Sheet1!O269&gt;7,"Yes","No")</f>
        <v>Yes</v>
      </c>
    </row>
    <row r="270" spans="5:16">
      <c r="E270" s="13" t="str">
        <v>144</v>
      </c>
      <c r="F270" s="13" t="str">
        <v>6085</v>
      </c>
      <c r="G270" s="13" t="str">
        <v>51</v>
      </c>
      <c r="H270" s="13" t="str">
        <f>_xlfn.CONCAT(Sheet1!A270," --&gt; ",Sheet1!J270)</f>
        <v>144-51-6085 --&gt; 297.108</v>
      </c>
      <c r="I270" s="13" t="str">
        <f>_xlfn.CONCAT(Sheet1!C270,"_",TEXT(Sheet1!K270, "m/d/yyyy"))</f>
        <v>Yangon_1/5/2019</v>
      </c>
      <c r="J270" s="13" t="str">
        <f>IF(Sheet1!I270=Sheet1!N270*0.05,"Valid","Error")</f>
        <v>Valid</v>
      </c>
      <c r="K270" s="13" t="str">
        <f>IF(Sheet1!N270=Sheet1!G270*Sheet1!H270,"True","False")</f>
        <v>True</v>
      </c>
      <c r="L270" s="13" t="b">
        <v>1</v>
      </c>
      <c r="M270" s="9" t="b">
        <f>ISNUMBER(Sheet1!J270)</f>
        <v>1</v>
      </c>
      <c r="N270" s="13" t="str">
        <f>IF(Sheet1!B270="A","Branch A",IF(Sheet1!B270="B","Branch B","Other Branch"))</f>
        <v>Branch A</v>
      </c>
      <c r="O270" s="13" t="str">
        <f>IF(Sheet1!M270="Credit card","Credit Payment","Other")</f>
        <v>Credit Payment</v>
      </c>
      <c r="P270" s="13" t="str">
        <f>IF(Sheet1!O270&gt;7,"Yes","No")</f>
        <v>No</v>
      </c>
    </row>
    <row r="271" spans="5:16">
      <c r="E271" s="13" t="str">
        <v>731</v>
      </c>
      <c r="F271" s="13" t="str">
        <v>2199</v>
      </c>
      <c r="G271" s="13" t="str">
        <v>14</v>
      </c>
      <c r="H271" s="13" t="str">
        <f>_xlfn.CONCAT(Sheet1!A271," --&gt; ",Sheet1!J271)</f>
        <v>731-14-2199 --&gt; 373.17</v>
      </c>
      <c r="I271" s="13" t="str">
        <f>_xlfn.CONCAT(Sheet1!C271,"_",TEXT(Sheet1!K271, "m/d/yyyy"))</f>
        <v>Yangon_1/4/2019</v>
      </c>
      <c r="J271" s="13" t="str">
        <f>IF(Sheet1!I271=Sheet1!N271*0.05,"Valid","Error")</f>
        <v>Valid</v>
      </c>
      <c r="K271" s="13" t="str">
        <f>IF(Sheet1!N271=Sheet1!G271*Sheet1!H271,"True","False")</f>
        <v>True</v>
      </c>
      <c r="L271" s="13" t="b">
        <v>1</v>
      </c>
      <c r="M271" s="9" t="b">
        <f>ISNUMBER(Sheet1!J271)</f>
        <v>1</v>
      </c>
      <c r="N271" s="13" t="str">
        <f>IF(Sheet1!B271="A","Branch A",IF(Sheet1!B271="B","Branch B","Other Branch"))</f>
        <v>Branch A</v>
      </c>
      <c r="O271" s="13" t="str">
        <f>IF(Sheet1!M271="Credit card","Credit Payment","Other")</f>
        <v>Other</v>
      </c>
      <c r="P271" s="13" t="str">
        <f>IF(Sheet1!O271&gt;7,"Yes","No")</f>
        <v>No</v>
      </c>
    </row>
    <row r="272" spans="5:16">
      <c r="E272" s="13" t="str">
        <v>783</v>
      </c>
      <c r="F272" s="13" t="str">
        <v>1637</v>
      </c>
      <c r="G272" s="13" t="str">
        <v>09</v>
      </c>
      <c r="H272" s="13" t="str">
        <f>_xlfn.CONCAT(Sheet1!A272," --&gt; ",Sheet1!J272)</f>
        <v>783-09-1637 --&gt; 354.0075</v>
      </c>
      <c r="I272" s="13" t="str">
        <f>_xlfn.CONCAT(Sheet1!C272,"_",TEXT(Sheet1!K272, "m/d/yyyy"))</f>
        <v>Mandalay_3/6/2019</v>
      </c>
      <c r="J272" s="13" t="str">
        <f>IF(Sheet1!I272=Sheet1!N272*0.05,"Valid","Error")</f>
        <v>Valid</v>
      </c>
      <c r="K272" s="13" t="str">
        <f>IF(Sheet1!N272=Sheet1!G272*Sheet1!H272,"True","False")</f>
        <v>True</v>
      </c>
      <c r="L272" s="13" t="b">
        <v>1</v>
      </c>
      <c r="M272" s="9" t="b">
        <f>ISNUMBER(Sheet1!J272)</f>
        <v>1</v>
      </c>
      <c r="N272" s="13" t="str">
        <f>IF(Sheet1!B272="A","Branch A",IF(Sheet1!B272="B","Branch B","Other Branch"))</f>
        <v>Branch B</v>
      </c>
      <c r="O272" s="13" t="str">
        <f>IF(Sheet1!M272="Credit card","Credit Payment","Other")</f>
        <v>Other</v>
      </c>
      <c r="P272" s="13" t="str">
        <f>IF(Sheet1!O272&gt;7,"Yes","No")</f>
        <v>No</v>
      </c>
    </row>
    <row r="273" spans="5:16">
      <c r="E273" s="13" t="str">
        <v>687</v>
      </c>
      <c r="F273" s="13" t="str">
        <v>1097</v>
      </c>
      <c r="G273" s="13" t="str">
        <v>15</v>
      </c>
      <c r="H273" s="13" t="str">
        <f>_xlfn.CONCAT(Sheet1!A273," --&gt; ",Sheet1!J273)</f>
        <v>687-15-1097 --&gt; 44.352</v>
      </c>
      <c r="I273" s="13" t="str">
        <f>_xlfn.CONCAT(Sheet1!C273,"_",TEXT(Sheet1!K273, "m/d/yyyy"))</f>
        <v>Naypyitaw_1/3/2019</v>
      </c>
      <c r="J273" s="13" t="str">
        <f>IF(Sheet1!I273=Sheet1!N273*0.05,"Valid","Error")</f>
        <v>Valid</v>
      </c>
      <c r="K273" s="13" t="str">
        <f>IF(Sheet1!N273=Sheet1!G273*Sheet1!H273,"True","False")</f>
        <v>True</v>
      </c>
      <c r="L273" s="13" t="b">
        <v>1</v>
      </c>
      <c r="M273" s="9" t="b">
        <f>ISNUMBER(Sheet1!J273)</f>
        <v>1</v>
      </c>
      <c r="N273" s="13" t="str">
        <f>IF(Sheet1!B273="A","Branch A",IF(Sheet1!B273="B","Branch B","Other Branch"))</f>
        <v>Other Branch</v>
      </c>
      <c r="O273" s="13" t="str">
        <f>IF(Sheet1!M273="Credit card","Credit Payment","Other")</f>
        <v>Other</v>
      </c>
      <c r="P273" s="13" t="str">
        <f>IF(Sheet1!O273&gt;7,"Yes","No")</f>
        <v>Yes</v>
      </c>
    </row>
    <row r="274" spans="5:16">
      <c r="E274" s="13" t="str">
        <v>126</v>
      </c>
      <c r="F274" s="13" t="str">
        <v>1082</v>
      </c>
      <c r="G274" s="13" t="str">
        <v>54</v>
      </c>
      <c r="H274" s="13" t="str">
        <f>_xlfn.CONCAT(Sheet1!A274," --&gt; ",Sheet1!J274)</f>
        <v>126-54-1082 --&gt; 203.553</v>
      </c>
      <c r="I274" s="13" t="str">
        <f>_xlfn.CONCAT(Sheet1!C274,"_",TEXT(Sheet1!K274, "m/d/yyyy"))</f>
        <v>Yangon_1/7/2019</v>
      </c>
      <c r="J274" s="13" t="str">
        <f>IF(Sheet1!I274=Sheet1!N274*0.05,"Valid","Error")</f>
        <v>Valid</v>
      </c>
      <c r="K274" s="13" t="str">
        <f>IF(Sheet1!N274=Sheet1!G274*Sheet1!H274,"True","False")</f>
        <v>True</v>
      </c>
      <c r="L274" s="13" t="b">
        <v>1</v>
      </c>
      <c r="M274" s="9" t="b">
        <f>ISNUMBER(Sheet1!J274)</f>
        <v>1</v>
      </c>
      <c r="N274" s="13" t="str">
        <f>IF(Sheet1!B274="A","Branch A",IF(Sheet1!B274="B","Branch B","Other Branch"))</f>
        <v>Branch A</v>
      </c>
      <c r="O274" s="13" t="str">
        <f>IF(Sheet1!M274="Credit card","Credit Payment","Other")</f>
        <v>Credit Payment</v>
      </c>
      <c r="P274" s="13" t="str">
        <f>IF(Sheet1!O274&gt;7,"Yes","No")</f>
        <v>Yes</v>
      </c>
    </row>
    <row r="275" spans="5:16">
      <c r="E275" s="13" t="str">
        <v>633</v>
      </c>
      <c r="F275" s="13" t="str">
        <v>1052</v>
      </c>
      <c r="G275" s="13" t="str">
        <v>91</v>
      </c>
      <c r="H275" s="13" t="str">
        <f>_xlfn.CONCAT(Sheet1!A275," --&gt; ",Sheet1!J275)</f>
        <v>633-91-1052 --&gt; 25.263</v>
      </c>
      <c r="I275" s="13" t="str">
        <f>_xlfn.CONCAT(Sheet1!C275,"_",TEXT(Sheet1!K275, "m/d/yyyy"))</f>
        <v>Yangon_1/27/2019</v>
      </c>
      <c r="J275" s="13" t="str">
        <f>IF(Sheet1!I275=Sheet1!N275*0.05,"Valid","Error")</f>
        <v>Valid</v>
      </c>
      <c r="K275" s="13" t="str">
        <f>IF(Sheet1!N275=Sheet1!G275*Sheet1!H275,"True","False")</f>
        <v>True</v>
      </c>
      <c r="L275" s="13" t="b">
        <v>1</v>
      </c>
      <c r="M275" s="9" t="b">
        <f>ISNUMBER(Sheet1!J275)</f>
        <v>1</v>
      </c>
      <c r="N275" s="13" t="str">
        <f>IF(Sheet1!B275="A","Branch A",IF(Sheet1!B275="B","Branch B","Other Branch"))</f>
        <v>Branch A</v>
      </c>
      <c r="O275" s="13" t="str">
        <f>IF(Sheet1!M275="Credit card","Credit Payment","Other")</f>
        <v>Other</v>
      </c>
      <c r="P275" s="13" t="str">
        <f>IF(Sheet1!O275&gt;7,"Yes","No")</f>
        <v>No</v>
      </c>
    </row>
    <row r="276" spans="5:16">
      <c r="E276" s="13" t="str">
        <v>477</v>
      </c>
      <c r="F276" s="13" t="str">
        <v>6490</v>
      </c>
      <c r="G276" s="13" t="str">
        <v>24</v>
      </c>
      <c r="H276" s="13" t="str">
        <f>_xlfn.CONCAT(Sheet1!A276," --&gt; ",Sheet1!J276)</f>
        <v>477-24-6490 --&gt; 628.173</v>
      </c>
      <c r="I276" s="13" t="str">
        <f>_xlfn.CONCAT(Sheet1!C276,"_",TEXT(Sheet1!K276, "m/d/yyyy"))</f>
        <v>Mandalay_2/26/2019</v>
      </c>
      <c r="J276" s="13" t="str">
        <f>IF(Sheet1!I276=Sheet1!N276*0.05,"Valid","Error")</f>
        <v>Valid</v>
      </c>
      <c r="K276" s="13" t="str">
        <f>IF(Sheet1!N276=Sheet1!G276*Sheet1!H276,"True","False")</f>
        <v>True</v>
      </c>
      <c r="L276" s="13" t="b">
        <v>1</v>
      </c>
      <c r="M276" s="9" t="b">
        <f>ISNUMBER(Sheet1!J276)</f>
        <v>1</v>
      </c>
      <c r="N276" s="13" t="str">
        <f>IF(Sheet1!B276="A","Branch A",IF(Sheet1!B276="B","Branch B","Other Branch"))</f>
        <v>Branch B</v>
      </c>
      <c r="O276" s="13" t="str">
        <f>IF(Sheet1!M276="Credit card","Credit Payment","Other")</f>
        <v>Other</v>
      </c>
      <c r="P276" s="13" t="str">
        <f>IF(Sheet1!O276&gt;7,"Yes","No")</f>
        <v>Yes</v>
      </c>
    </row>
    <row r="277" spans="5:16">
      <c r="E277" s="13" t="str">
        <v>566</v>
      </c>
      <c r="F277" s="13" t="str">
        <v>5475</v>
      </c>
      <c r="G277" s="13" t="str">
        <v>19</v>
      </c>
      <c r="H277" s="13" t="str">
        <f>_xlfn.CONCAT(Sheet1!A277," --&gt; ",Sheet1!J277)</f>
        <v>566-19-5475 --&gt; 352.5795</v>
      </c>
      <c r="I277" s="13" t="str">
        <f>_xlfn.CONCAT(Sheet1!C277,"_",TEXT(Sheet1!K277, "m/d/yyyy"))</f>
        <v>Mandalay_1/7/2019</v>
      </c>
      <c r="J277" s="13" t="str">
        <f>IF(Sheet1!I277=Sheet1!N277*0.05,"Valid","Error")</f>
        <v>Valid</v>
      </c>
      <c r="K277" s="13" t="str">
        <f>IF(Sheet1!N277=Sheet1!G277*Sheet1!H277,"True","False")</f>
        <v>True</v>
      </c>
      <c r="L277" s="13" t="b">
        <v>1</v>
      </c>
      <c r="M277" s="9" t="b">
        <f>ISNUMBER(Sheet1!J277)</f>
        <v>1</v>
      </c>
      <c r="N277" s="13" t="str">
        <f>IF(Sheet1!B277="A","Branch A",IF(Sheet1!B277="B","Branch B","Other Branch"))</f>
        <v>Branch B</v>
      </c>
      <c r="O277" s="13" t="str">
        <f>IF(Sheet1!M277="Credit card","Credit Payment","Other")</f>
        <v>Other</v>
      </c>
      <c r="P277" s="13" t="str">
        <f>IF(Sheet1!O277&gt;7,"Yes","No")</f>
        <v>No</v>
      </c>
    </row>
    <row r="278" spans="5:16">
      <c r="E278" s="13" t="str">
        <v>526</v>
      </c>
      <c r="F278" s="13" t="str">
        <v>8552</v>
      </c>
      <c r="G278" s="13" t="str">
        <v>86</v>
      </c>
      <c r="H278" s="13" t="str">
        <f>_xlfn.CONCAT(Sheet1!A278," --&gt; ",Sheet1!J278)</f>
        <v>526-86-8552 --&gt; 229.11</v>
      </c>
      <c r="I278" s="13" t="str">
        <f>_xlfn.CONCAT(Sheet1!C278,"_",TEXT(Sheet1!K278, "m/d/yyyy"))</f>
        <v>Naypyitaw_1/7/2019</v>
      </c>
      <c r="J278" s="13" t="str">
        <f>IF(Sheet1!I278=Sheet1!N278*0.05,"Valid","Error")</f>
        <v>Valid</v>
      </c>
      <c r="K278" s="13" t="str">
        <f>IF(Sheet1!N278=Sheet1!G278*Sheet1!H278,"True","False")</f>
        <v>True</v>
      </c>
      <c r="L278" s="13" t="b">
        <v>1</v>
      </c>
      <c r="M278" s="9" t="b">
        <f>ISNUMBER(Sheet1!J278)</f>
        <v>1</v>
      </c>
      <c r="N278" s="13" t="str">
        <f>IF(Sheet1!B278="A","Branch A",IF(Sheet1!B278="B","Branch B","Other Branch"))</f>
        <v>Other Branch</v>
      </c>
      <c r="O278" s="13" t="str">
        <f>IF(Sheet1!M278="Credit card","Credit Payment","Other")</f>
        <v>Other</v>
      </c>
      <c r="P278" s="13" t="str">
        <f>IF(Sheet1!O278&gt;7,"Yes","No")</f>
        <v>Yes</v>
      </c>
    </row>
    <row r="279" spans="5:16">
      <c r="E279" s="13" t="str">
        <v>376</v>
      </c>
      <c r="F279" s="13" t="str">
        <v>3573</v>
      </c>
      <c r="G279" s="13" t="str">
        <v>56</v>
      </c>
      <c r="H279" s="13" t="str">
        <f>_xlfn.CONCAT(Sheet1!A279," --&gt; ",Sheet1!J279)</f>
        <v>376-56-3573 --&gt; 400.764</v>
      </c>
      <c r="I279" s="13" t="str">
        <f>_xlfn.CONCAT(Sheet1!C279,"_",TEXT(Sheet1!K279, "m/d/yyyy"))</f>
        <v>Naypyitaw_2/2/2019</v>
      </c>
      <c r="J279" s="13" t="str">
        <f>IF(Sheet1!I279=Sheet1!N279*0.05,"Valid","Error")</f>
        <v>Valid</v>
      </c>
      <c r="K279" s="13" t="str">
        <f>IF(Sheet1!N279=Sheet1!G279*Sheet1!H279,"True","False")</f>
        <v>True</v>
      </c>
      <c r="L279" s="13" t="b">
        <v>1</v>
      </c>
      <c r="M279" s="9" t="b">
        <f>ISNUMBER(Sheet1!J279)</f>
        <v>1</v>
      </c>
      <c r="N279" s="13" t="str">
        <f>IF(Sheet1!B279="A","Branch A",IF(Sheet1!B279="B","Branch B","Other Branch"))</f>
        <v>Other Branch</v>
      </c>
      <c r="O279" s="13" t="str">
        <f>IF(Sheet1!M279="Credit card","Credit Payment","Other")</f>
        <v>Other</v>
      </c>
      <c r="P279" s="13" t="str">
        <f>IF(Sheet1!O279&gt;7,"Yes","No")</f>
        <v>No</v>
      </c>
    </row>
    <row r="280" spans="5:16">
      <c r="E280" s="13" t="str">
        <v>537</v>
      </c>
      <c r="F280" s="13" t="str">
        <v>0426</v>
      </c>
      <c r="G280" s="13" t="str">
        <v>72</v>
      </c>
      <c r="H280" s="13" t="str">
        <f>_xlfn.CONCAT(Sheet1!A280," --&gt; ",Sheet1!J280)</f>
        <v>537-72-0426 --&gt; 745.395</v>
      </c>
      <c r="I280" s="13" t="str">
        <f>_xlfn.CONCAT(Sheet1!C280,"_",TEXT(Sheet1!K280, "m/d/yyyy"))</f>
        <v>Naypyitaw_3/20/2019</v>
      </c>
      <c r="J280" s="13" t="str">
        <f>IF(Sheet1!I280=Sheet1!N280*0.05,"Valid","Error")</f>
        <v>Valid</v>
      </c>
      <c r="K280" s="13" t="str">
        <f>IF(Sheet1!N280=Sheet1!G280*Sheet1!H280,"True","False")</f>
        <v>True</v>
      </c>
      <c r="L280" s="13" t="b">
        <v>1</v>
      </c>
      <c r="M280" s="9" t="b">
        <f>ISNUMBER(Sheet1!J280)</f>
        <v>1</v>
      </c>
      <c r="N280" s="13" t="str">
        <f>IF(Sheet1!B280="A","Branch A",IF(Sheet1!B280="B","Branch B","Other Branch"))</f>
        <v>Other Branch</v>
      </c>
      <c r="O280" s="13" t="str">
        <f>IF(Sheet1!M280="Credit card","Credit Payment","Other")</f>
        <v>Other</v>
      </c>
      <c r="P280" s="13" t="str">
        <f>IF(Sheet1!O280&gt;7,"Yes","No")</f>
        <v>No</v>
      </c>
    </row>
    <row r="281" spans="5:16">
      <c r="E281" s="13" t="str">
        <v>828</v>
      </c>
      <c r="F281" s="13" t="str">
        <v>5674</v>
      </c>
      <c r="G281" s="13" t="str">
        <v>61</v>
      </c>
      <c r="H281" s="13" t="str">
        <f>_xlfn.CONCAT(Sheet1!A281," --&gt; ",Sheet1!J281)</f>
        <v>828-61-5674 --&gt; 462.21</v>
      </c>
      <c r="I281" s="13" t="str">
        <f>_xlfn.CONCAT(Sheet1!C281,"_",TEXT(Sheet1!K281, "m/d/yyyy"))</f>
        <v>Yangon_3/20/2019</v>
      </c>
      <c r="J281" s="13" t="str">
        <f>IF(Sheet1!I281=Sheet1!N281*0.05,"Valid","Error")</f>
        <v>Valid</v>
      </c>
      <c r="K281" s="13" t="str">
        <f>IF(Sheet1!N281=Sheet1!G281*Sheet1!H281,"True","False")</f>
        <v>True</v>
      </c>
      <c r="L281" s="13" t="b">
        <v>1</v>
      </c>
      <c r="M281" s="9" t="b">
        <f>ISNUMBER(Sheet1!J281)</f>
        <v>1</v>
      </c>
      <c r="N281" s="13" t="str">
        <f>IF(Sheet1!B281="A","Branch A",IF(Sheet1!B281="B","Branch B","Other Branch"))</f>
        <v>Branch A</v>
      </c>
      <c r="O281" s="13" t="str">
        <f>IF(Sheet1!M281="Credit card","Credit Payment","Other")</f>
        <v>Credit Payment</v>
      </c>
      <c r="P281" s="13" t="str">
        <f>IF(Sheet1!O281&gt;7,"Yes","No")</f>
        <v>Yes</v>
      </c>
    </row>
    <row r="282" spans="5:16">
      <c r="E282" s="13" t="str">
        <v>136</v>
      </c>
      <c r="F282" s="13" t="str">
        <v>6195</v>
      </c>
      <c r="G282" s="13" t="str">
        <v>08</v>
      </c>
      <c r="H282" s="13" t="str">
        <f>_xlfn.CONCAT(Sheet1!A282," --&gt; ",Sheet1!J282)</f>
        <v>136-08-6195 --&gt; 587.664</v>
      </c>
      <c r="I282" s="13" t="str">
        <f>_xlfn.CONCAT(Sheet1!C282,"_",TEXT(Sheet1!K282, "m/d/yyyy"))</f>
        <v>Yangon_2/15/2019</v>
      </c>
      <c r="J282" s="13" t="str">
        <f>IF(Sheet1!I282=Sheet1!N282*0.05,"Valid","Error")</f>
        <v>Valid</v>
      </c>
      <c r="K282" s="13" t="str">
        <f>IF(Sheet1!N282=Sheet1!G282*Sheet1!H282,"True","False")</f>
        <v>True</v>
      </c>
      <c r="L282" s="13" t="b">
        <v>1</v>
      </c>
      <c r="M282" s="9" t="b">
        <f>ISNUMBER(Sheet1!J282)</f>
        <v>1</v>
      </c>
      <c r="N282" s="13" t="str">
        <f>IF(Sheet1!B282="A","Branch A",IF(Sheet1!B282="B","Branch B","Other Branch"))</f>
        <v>Branch A</v>
      </c>
      <c r="O282" s="13" t="str">
        <f>IF(Sheet1!M282="Credit card","Credit Payment","Other")</f>
        <v>Credit Payment</v>
      </c>
      <c r="P282" s="13" t="str">
        <f>IF(Sheet1!O282&gt;7,"Yes","No")</f>
        <v>No</v>
      </c>
    </row>
    <row r="283" spans="5:16">
      <c r="E283" s="13" t="str">
        <v>523</v>
      </c>
      <c r="F283" s="13" t="str">
        <v>0215</v>
      </c>
      <c r="G283" s="13" t="str">
        <v>38</v>
      </c>
      <c r="H283" s="13" t="str">
        <f>_xlfn.CONCAT(Sheet1!A283," --&gt; ",Sheet1!J283)</f>
        <v>523-38-0215 --&gt; 38.85</v>
      </c>
      <c r="I283" s="13" t="str">
        <f>_xlfn.CONCAT(Sheet1!C283,"_",TEXT(Sheet1!K283, "m/d/yyyy"))</f>
        <v>Naypyitaw_3/6/2019</v>
      </c>
      <c r="J283" s="13" t="str">
        <f>IF(Sheet1!I283=Sheet1!N283*0.05,"Valid","Error")</f>
        <v>Valid</v>
      </c>
      <c r="K283" s="13" t="str">
        <f>IF(Sheet1!N283=Sheet1!G283*Sheet1!H283,"True","False")</f>
        <v>True</v>
      </c>
      <c r="L283" s="13" t="b">
        <v>1</v>
      </c>
      <c r="M283" s="9" t="b">
        <f>ISNUMBER(Sheet1!J283)</f>
        <v>1</v>
      </c>
      <c r="N283" s="13" t="str">
        <f>IF(Sheet1!B283="A","Branch A",IF(Sheet1!B283="B","Branch B","Other Branch"))</f>
        <v>Other Branch</v>
      </c>
      <c r="O283" s="13" t="str">
        <f>IF(Sheet1!M283="Credit card","Credit Payment","Other")</f>
        <v>Credit Payment</v>
      </c>
      <c r="P283" s="13" t="str">
        <f>IF(Sheet1!O283&gt;7,"Yes","No")</f>
        <v>Yes</v>
      </c>
    </row>
    <row r="284" spans="5:16">
      <c r="E284" s="13" t="str">
        <v>490</v>
      </c>
      <c r="F284" s="13" t="str">
        <v>1201</v>
      </c>
      <c r="G284" s="13" t="str">
        <v>29</v>
      </c>
      <c r="H284" s="13" t="str">
        <f>_xlfn.CONCAT(Sheet1!A284," --&gt; ",Sheet1!J284)</f>
        <v>490-29-1201 --&gt; 16.107</v>
      </c>
      <c r="I284" s="13" t="str">
        <f>_xlfn.CONCAT(Sheet1!C284,"_",TEXT(Sheet1!K284, "m/d/yyyy"))</f>
        <v>Yangon_1/6/2019</v>
      </c>
      <c r="J284" s="13" t="str">
        <f>IF(Sheet1!I284=Sheet1!N284*0.05,"Valid","Error")</f>
        <v>Valid</v>
      </c>
      <c r="K284" s="13" t="str">
        <f>IF(Sheet1!N284=Sheet1!G284*Sheet1!H284,"True","False")</f>
        <v>True</v>
      </c>
      <c r="L284" s="13" t="b">
        <v>1</v>
      </c>
      <c r="M284" s="9" t="b">
        <f>ISNUMBER(Sheet1!J284)</f>
        <v>1</v>
      </c>
      <c r="N284" s="13" t="str">
        <f>IF(Sheet1!B284="A","Branch A",IF(Sheet1!B284="B","Branch B","Other Branch"))</f>
        <v>Branch A</v>
      </c>
      <c r="O284" s="13" t="str">
        <f>IF(Sheet1!M284="Credit card","Credit Payment","Other")</f>
        <v>Other</v>
      </c>
      <c r="P284" s="13" t="str">
        <f>IF(Sheet1!O284&gt;7,"Yes","No")</f>
        <v>No</v>
      </c>
    </row>
    <row r="285" spans="5:16">
      <c r="E285" s="13" t="str">
        <v>667</v>
      </c>
      <c r="F285" s="13" t="str">
        <v>0055</v>
      </c>
      <c r="G285" s="13" t="str">
        <v>92</v>
      </c>
      <c r="H285" s="13" t="str">
        <f>_xlfn.CONCAT(Sheet1!A285," --&gt; ",Sheet1!J285)</f>
        <v>667-92-0055 --&gt; 628.929</v>
      </c>
      <c r="I285" s="13" t="str">
        <f>_xlfn.CONCAT(Sheet1!C285,"_",TEXT(Sheet1!K285, "m/d/yyyy"))</f>
        <v>Yangon_3/4/2019</v>
      </c>
      <c r="J285" s="13" t="str">
        <f>IF(Sheet1!I285=Sheet1!N285*0.05,"Valid","Error")</f>
        <v>Valid</v>
      </c>
      <c r="K285" s="13" t="str">
        <f>IF(Sheet1!N285=Sheet1!G285*Sheet1!H285,"True","False")</f>
        <v>True</v>
      </c>
      <c r="L285" s="13" t="b">
        <v>1</v>
      </c>
      <c r="M285" s="9" t="b">
        <f>ISNUMBER(Sheet1!J285)</f>
        <v>1</v>
      </c>
      <c r="N285" s="13" t="str">
        <f>IF(Sheet1!B285="A","Branch A",IF(Sheet1!B285="B","Branch B","Other Branch"))</f>
        <v>Branch A</v>
      </c>
      <c r="O285" s="13" t="str">
        <f>IF(Sheet1!M285="Credit card","Credit Payment","Other")</f>
        <v>Other</v>
      </c>
      <c r="P285" s="13" t="str">
        <f>IF(Sheet1!O285&gt;7,"Yes","No")</f>
        <v>Yes</v>
      </c>
    </row>
    <row r="286" spans="5:16">
      <c r="E286" s="13" t="str">
        <v>565</v>
      </c>
      <c r="F286" s="13" t="str">
        <v>3836</v>
      </c>
      <c r="G286" s="13" t="str">
        <v>17</v>
      </c>
      <c r="H286" s="13" t="str">
        <f>_xlfn.CONCAT(Sheet1!A286," --&gt; ",Sheet1!J286)</f>
        <v>565-17-3836 --&gt; 200.214</v>
      </c>
      <c r="I286" s="13" t="str">
        <f>_xlfn.CONCAT(Sheet1!C286,"_",TEXT(Sheet1!K286, "m/d/yyyy"))</f>
        <v>Yangon_3/12/2019</v>
      </c>
      <c r="J286" s="13" t="str">
        <f>IF(Sheet1!I286=Sheet1!N286*0.05,"Valid","Error")</f>
        <v>Valid</v>
      </c>
      <c r="K286" s="13" t="str">
        <f>IF(Sheet1!N286=Sheet1!G286*Sheet1!H286,"True","False")</f>
        <v>True</v>
      </c>
      <c r="L286" s="13" t="b">
        <v>1</v>
      </c>
      <c r="M286" s="9" t="b">
        <f>ISNUMBER(Sheet1!J286)</f>
        <v>1</v>
      </c>
      <c r="N286" s="13" t="str">
        <f>IF(Sheet1!B286="A","Branch A",IF(Sheet1!B286="B","Branch B","Other Branch"))</f>
        <v>Branch A</v>
      </c>
      <c r="O286" s="13" t="str">
        <f>IF(Sheet1!M286="Credit card","Credit Payment","Other")</f>
        <v>Other</v>
      </c>
      <c r="P286" s="13" t="str">
        <f>IF(Sheet1!O286&gt;7,"Yes","No")</f>
        <v>Yes</v>
      </c>
    </row>
    <row r="287" spans="5:16">
      <c r="E287" s="13" t="str">
        <v>498</v>
      </c>
      <c r="F287" s="13" t="str">
        <v>1961</v>
      </c>
      <c r="G287" s="13" t="str">
        <v>41</v>
      </c>
      <c r="H287" s="13" t="str">
        <f>_xlfn.CONCAT(Sheet1!A287," --&gt; ",Sheet1!J287)</f>
        <v>498-41-1961 --&gt; 350.07</v>
      </c>
      <c r="I287" s="13" t="str">
        <f>_xlfn.CONCAT(Sheet1!C287,"_",TEXT(Sheet1!K287, "m/d/yyyy"))</f>
        <v>Mandalay_2/20/2019</v>
      </c>
      <c r="J287" s="13" t="str">
        <f>IF(Sheet1!I287=Sheet1!N287*0.05,"Valid","Error")</f>
        <v>Valid</v>
      </c>
      <c r="K287" s="13" t="str">
        <f>IF(Sheet1!N287=Sheet1!G287*Sheet1!H287,"True","False")</f>
        <v>True</v>
      </c>
      <c r="L287" s="13" t="b">
        <v>1</v>
      </c>
      <c r="M287" s="9" t="b">
        <f>ISNUMBER(Sheet1!J287)</f>
        <v>1</v>
      </c>
      <c r="N287" s="13" t="str">
        <f>IF(Sheet1!B287="A","Branch A",IF(Sheet1!B287="B","Branch B","Other Branch"))</f>
        <v>Branch B</v>
      </c>
      <c r="O287" s="13" t="str">
        <f>IF(Sheet1!M287="Credit card","Credit Payment","Other")</f>
        <v>Other</v>
      </c>
      <c r="P287" s="13" t="str">
        <f>IF(Sheet1!O287&gt;7,"Yes","No")</f>
        <v>Yes</v>
      </c>
    </row>
    <row r="288" spans="5:16">
      <c r="E288" s="13" t="str">
        <v>593</v>
      </c>
      <c r="F288" s="13" t="str">
        <v>4461</v>
      </c>
      <c r="G288" s="13" t="str">
        <v>95</v>
      </c>
      <c r="H288" s="13" t="str">
        <f>_xlfn.CONCAT(Sheet1!A288," --&gt; ",Sheet1!J288)</f>
        <v>593-95-4461 --&gt; 78.603</v>
      </c>
      <c r="I288" s="13" t="str">
        <f>_xlfn.CONCAT(Sheet1!C288,"_",TEXT(Sheet1!K288, "m/d/yyyy"))</f>
        <v>Naypyitaw_3/24/2019</v>
      </c>
      <c r="J288" s="13" t="str">
        <f>IF(Sheet1!I288=Sheet1!N288*0.05,"Valid","Error")</f>
        <v>Valid</v>
      </c>
      <c r="K288" s="13" t="str">
        <f>IF(Sheet1!N288=Sheet1!G288*Sheet1!H288,"True","False")</f>
        <v>True</v>
      </c>
      <c r="L288" s="13" t="b">
        <v>1</v>
      </c>
      <c r="M288" s="9" t="b">
        <f>ISNUMBER(Sheet1!J288)</f>
        <v>1</v>
      </c>
      <c r="N288" s="13" t="str">
        <f>IF(Sheet1!B288="A","Branch A",IF(Sheet1!B288="B","Branch B","Other Branch"))</f>
        <v>Other Branch</v>
      </c>
      <c r="O288" s="13" t="str">
        <f>IF(Sheet1!M288="Credit card","Credit Payment","Other")</f>
        <v>Other</v>
      </c>
      <c r="P288" s="13" t="str">
        <f>IF(Sheet1!O288&gt;7,"Yes","No")</f>
        <v>No</v>
      </c>
    </row>
    <row r="289" spans="5:16">
      <c r="E289" s="13" t="str">
        <v>226</v>
      </c>
      <c r="F289" s="13" t="str">
        <v>3580</v>
      </c>
      <c r="G289" s="13" t="str">
        <v>71</v>
      </c>
      <c r="H289" s="13" t="str">
        <f>_xlfn.CONCAT(Sheet1!A289," --&gt; ",Sheet1!J289)</f>
        <v>226-71-3580 --&gt; 224.4375</v>
      </c>
      <c r="I289" s="13" t="str">
        <f>_xlfn.CONCAT(Sheet1!C289,"_",TEXT(Sheet1!K289, "m/d/yyyy"))</f>
        <v>Naypyitaw_1/31/2019</v>
      </c>
      <c r="J289" s="13" t="str">
        <f>IF(Sheet1!I289=Sheet1!N289*0.05,"Valid","Error")</f>
        <v>Valid</v>
      </c>
      <c r="K289" s="13" t="str">
        <f>IF(Sheet1!N289=Sheet1!G289*Sheet1!H289,"True","False")</f>
        <v>True</v>
      </c>
      <c r="L289" s="13" t="b">
        <v>1</v>
      </c>
      <c r="M289" s="9" t="b">
        <f>ISNUMBER(Sheet1!J289)</f>
        <v>1</v>
      </c>
      <c r="N289" s="13" t="str">
        <f>IF(Sheet1!B289="A","Branch A",IF(Sheet1!B289="B","Branch B","Other Branch"))</f>
        <v>Other Branch</v>
      </c>
      <c r="O289" s="13" t="str">
        <f>IF(Sheet1!M289="Credit card","Credit Payment","Other")</f>
        <v>Other</v>
      </c>
      <c r="P289" s="13" t="str">
        <f>IF(Sheet1!O289&gt;7,"Yes","No")</f>
        <v>Yes</v>
      </c>
    </row>
    <row r="290" spans="5:16">
      <c r="E290" s="13" t="str">
        <v>283</v>
      </c>
      <c r="F290" s="13" t="str">
        <v>9594</v>
      </c>
      <c r="G290" s="13" t="str">
        <v>79</v>
      </c>
      <c r="H290" s="13" t="str">
        <f>_xlfn.CONCAT(Sheet1!A290," --&gt; ",Sheet1!J290)</f>
        <v>283-79-9594 --&gt; 356.5485</v>
      </c>
      <c r="I290" s="13" t="str">
        <f>_xlfn.CONCAT(Sheet1!C290,"_",TEXT(Sheet1!K290, "m/d/yyyy"))</f>
        <v>Mandalay_1/25/2019</v>
      </c>
      <c r="J290" s="13" t="str">
        <f>IF(Sheet1!I290=Sheet1!N290*0.05,"Valid","Error")</f>
        <v>Valid</v>
      </c>
      <c r="K290" s="13" t="str">
        <f>IF(Sheet1!N290=Sheet1!G290*Sheet1!H290,"True","False")</f>
        <v>True</v>
      </c>
      <c r="L290" s="13" t="b">
        <v>1</v>
      </c>
      <c r="M290" s="9" t="b">
        <f>ISNUMBER(Sheet1!J290)</f>
        <v>1</v>
      </c>
      <c r="N290" s="13" t="str">
        <f>IF(Sheet1!B290="A","Branch A",IF(Sheet1!B290="B","Branch B","Other Branch"))</f>
        <v>Branch B</v>
      </c>
      <c r="O290" s="13" t="str">
        <f>IF(Sheet1!M290="Credit card","Credit Payment","Other")</f>
        <v>Credit Payment</v>
      </c>
      <c r="P290" s="13" t="str">
        <f>IF(Sheet1!O290&gt;7,"Yes","No")</f>
        <v>No</v>
      </c>
    </row>
    <row r="291" spans="5:16">
      <c r="E291" s="13" t="str">
        <v>430</v>
      </c>
      <c r="F291" s="13" t="str">
        <v>3493</v>
      </c>
      <c r="G291" s="13" t="str">
        <v>60</v>
      </c>
      <c r="H291" s="13" t="str">
        <f>_xlfn.CONCAT(Sheet1!A291," --&gt; ",Sheet1!J291)</f>
        <v>430-60-3493 --&gt; 697.368</v>
      </c>
      <c r="I291" s="13" t="str">
        <f>_xlfn.CONCAT(Sheet1!C291,"_",TEXT(Sheet1!K291, "m/d/yyyy"))</f>
        <v>Yangon_2/3/2019</v>
      </c>
      <c r="J291" s="13" t="str">
        <f>IF(Sheet1!I291=Sheet1!N291*0.05,"Valid","Error")</f>
        <v>Valid</v>
      </c>
      <c r="K291" s="13" t="str">
        <f>IF(Sheet1!N291=Sheet1!G291*Sheet1!H291,"True","False")</f>
        <v>True</v>
      </c>
      <c r="L291" s="13" t="b">
        <v>1</v>
      </c>
      <c r="M291" s="9" t="b">
        <f>ISNUMBER(Sheet1!J291)</f>
        <v>1</v>
      </c>
      <c r="N291" s="13" t="str">
        <f>IF(Sheet1!B291="A","Branch A",IF(Sheet1!B291="B","Branch B","Other Branch"))</f>
        <v>Branch A</v>
      </c>
      <c r="O291" s="13" t="str">
        <f>IF(Sheet1!M291="Credit card","Credit Payment","Other")</f>
        <v>Other</v>
      </c>
      <c r="P291" s="13" t="str">
        <f>IF(Sheet1!O291&gt;7,"Yes","No")</f>
        <v>No</v>
      </c>
    </row>
    <row r="292" spans="5:16">
      <c r="E292" s="13" t="str">
        <v>139</v>
      </c>
      <c r="F292" s="13" t="str">
        <v>0155</v>
      </c>
      <c r="G292" s="13" t="str">
        <v>20</v>
      </c>
      <c r="H292" s="13" t="str">
        <f>_xlfn.CONCAT(Sheet1!A292," --&gt; ",Sheet1!J292)</f>
        <v>139-20-0155 --&gt; 423.15</v>
      </c>
      <c r="I292" s="13" t="str">
        <f>_xlfn.CONCAT(Sheet1!C292,"_",TEXT(Sheet1!K292, "m/d/yyyy"))</f>
        <v>Mandalay_1/24/2019</v>
      </c>
      <c r="J292" s="13" t="str">
        <f>IF(Sheet1!I292=Sheet1!N292*0.05,"Valid","Error")</f>
        <v>Valid</v>
      </c>
      <c r="K292" s="13" t="str">
        <f>IF(Sheet1!N292=Sheet1!G292*Sheet1!H292,"True","False")</f>
        <v>True</v>
      </c>
      <c r="L292" s="13" t="b">
        <v>1</v>
      </c>
      <c r="M292" s="9" t="b">
        <f>ISNUMBER(Sheet1!J292)</f>
        <v>1</v>
      </c>
      <c r="N292" s="13" t="str">
        <f>IF(Sheet1!B292="A","Branch A",IF(Sheet1!B292="B","Branch B","Other Branch"))</f>
        <v>Branch B</v>
      </c>
      <c r="O292" s="13" t="str">
        <f>IF(Sheet1!M292="Credit card","Credit Payment","Other")</f>
        <v>Credit Payment</v>
      </c>
      <c r="P292" s="13" t="str">
        <f>IF(Sheet1!O292&gt;7,"Yes","No")</f>
        <v>No</v>
      </c>
    </row>
    <row r="293" spans="5:16">
      <c r="E293" s="13" t="str">
        <v>558</v>
      </c>
      <c r="F293" s="13" t="str">
        <v>4082</v>
      </c>
      <c r="G293" s="13" t="str">
        <v>80</v>
      </c>
      <c r="H293" s="13" t="str">
        <f>_xlfn.CONCAT(Sheet1!A293," --&gt; ",Sheet1!J293)</f>
        <v>558-80-4082 --&gt; 204.6975</v>
      </c>
      <c r="I293" s="13" t="str">
        <f>_xlfn.CONCAT(Sheet1!C293,"_",TEXT(Sheet1!K293, "m/d/yyyy"))</f>
        <v>Naypyitaw_3/14/2019</v>
      </c>
      <c r="J293" s="13" t="str">
        <f>IF(Sheet1!I293=Sheet1!N293*0.05,"Valid","Error")</f>
        <v>Valid</v>
      </c>
      <c r="K293" s="13" t="str">
        <f>IF(Sheet1!N293=Sheet1!G293*Sheet1!H293,"True","False")</f>
        <v>True</v>
      </c>
      <c r="L293" s="13" t="b">
        <v>1</v>
      </c>
      <c r="M293" s="9" t="b">
        <f>ISNUMBER(Sheet1!J293)</f>
        <v>1</v>
      </c>
      <c r="N293" s="13" t="str">
        <f>IF(Sheet1!B293="A","Branch A",IF(Sheet1!B293="B","Branch B","Other Branch"))</f>
        <v>Other Branch</v>
      </c>
      <c r="O293" s="13" t="str">
        <f>IF(Sheet1!M293="Credit card","Credit Payment","Other")</f>
        <v>Other</v>
      </c>
      <c r="P293" s="13" t="str">
        <f>IF(Sheet1!O293&gt;7,"Yes","No")</f>
        <v>No</v>
      </c>
    </row>
    <row r="294" spans="5:16">
      <c r="E294" s="13" t="str">
        <v>278</v>
      </c>
      <c r="F294" s="13" t="str">
        <v>7759</v>
      </c>
      <c r="G294" s="13" t="str">
        <v>97</v>
      </c>
      <c r="H294" s="13" t="str">
        <f>_xlfn.CONCAT(Sheet1!A294," --&gt; ",Sheet1!J294)</f>
        <v>278-97-7759 --&gt; 65.604</v>
      </c>
      <c r="I294" s="13" t="str">
        <f>_xlfn.CONCAT(Sheet1!C294,"_",TEXT(Sheet1!K294, "m/d/yyyy"))</f>
        <v>Yangon_2/18/2019</v>
      </c>
      <c r="J294" s="13" t="str">
        <f>IF(Sheet1!I294=Sheet1!N294*0.05,"Valid","Error")</f>
        <v>Valid</v>
      </c>
      <c r="K294" s="13" t="str">
        <f>IF(Sheet1!N294=Sheet1!G294*Sheet1!H294,"True","False")</f>
        <v>True</v>
      </c>
      <c r="L294" s="13" t="b">
        <v>1</v>
      </c>
      <c r="M294" s="9" t="b">
        <f>ISNUMBER(Sheet1!J294)</f>
        <v>1</v>
      </c>
      <c r="N294" s="13" t="str">
        <f>IF(Sheet1!B294="A","Branch A",IF(Sheet1!B294="B","Branch B","Other Branch"))</f>
        <v>Branch A</v>
      </c>
      <c r="O294" s="13" t="str">
        <f>IF(Sheet1!M294="Credit card","Credit Payment","Other")</f>
        <v>Other</v>
      </c>
      <c r="P294" s="13" t="str">
        <f>IF(Sheet1!O294&gt;7,"Yes","No")</f>
        <v>No</v>
      </c>
    </row>
    <row r="295" spans="5:16">
      <c r="E295" s="13" t="str">
        <v>316</v>
      </c>
      <c r="F295" s="13" t="str">
        <v>6352</v>
      </c>
      <c r="G295" s="13" t="str">
        <v>68</v>
      </c>
      <c r="H295" s="13" t="str">
        <f>_xlfn.CONCAT(Sheet1!A295," --&gt; ",Sheet1!J295)</f>
        <v>316-68-6352 --&gt; 76.356</v>
      </c>
      <c r="I295" s="13" t="str">
        <f>_xlfn.CONCAT(Sheet1!C295,"_",TEXT(Sheet1!K295, "m/d/yyyy"))</f>
        <v>Yangon_1/21/2019</v>
      </c>
      <c r="J295" s="13" t="str">
        <f>IF(Sheet1!I295=Sheet1!N295*0.05,"Valid","Error")</f>
        <v>Valid</v>
      </c>
      <c r="K295" s="13" t="str">
        <f>IF(Sheet1!N295=Sheet1!G295*Sheet1!H295,"True","False")</f>
        <v>True</v>
      </c>
      <c r="L295" s="13" t="b">
        <v>1</v>
      </c>
      <c r="M295" s="9" t="b">
        <f>ISNUMBER(Sheet1!J295)</f>
        <v>1</v>
      </c>
      <c r="N295" s="13" t="str">
        <f>IF(Sheet1!B295="A","Branch A",IF(Sheet1!B295="B","Branch B","Other Branch"))</f>
        <v>Branch A</v>
      </c>
      <c r="O295" s="13" t="str">
        <f>IF(Sheet1!M295="Credit card","Credit Payment","Other")</f>
        <v>Other</v>
      </c>
      <c r="P295" s="13" t="str">
        <f>IF(Sheet1!O295&gt;7,"Yes","No")</f>
        <v>Yes</v>
      </c>
    </row>
    <row r="296" spans="5:16">
      <c r="E296" s="13" t="str">
        <v>585</v>
      </c>
      <c r="F296" s="13" t="str">
        <v>5943</v>
      </c>
      <c r="G296" s="13" t="str">
        <v>03</v>
      </c>
      <c r="H296" s="13" t="str">
        <f>_xlfn.CONCAT(Sheet1!A296," --&gt; ",Sheet1!J296)</f>
        <v>585-03-5943 --&gt; 190.155</v>
      </c>
      <c r="I296" s="13" t="str">
        <f>_xlfn.CONCAT(Sheet1!C296,"_",TEXT(Sheet1!K296, "m/d/yyyy"))</f>
        <v>Mandalay_3/13/2019</v>
      </c>
      <c r="J296" s="13" t="str">
        <f>IF(Sheet1!I296=Sheet1!N296*0.05,"Valid","Error")</f>
        <v>Valid</v>
      </c>
      <c r="K296" s="13" t="str">
        <f>IF(Sheet1!N296=Sheet1!G296*Sheet1!H296,"True","False")</f>
        <v>True</v>
      </c>
      <c r="L296" s="13" t="b">
        <v>1</v>
      </c>
      <c r="M296" s="9" t="b">
        <f>ISNUMBER(Sheet1!J296)</f>
        <v>1</v>
      </c>
      <c r="N296" s="13" t="str">
        <f>IF(Sheet1!B296="A","Branch A",IF(Sheet1!B296="B","Branch B","Other Branch"))</f>
        <v>Branch B</v>
      </c>
      <c r="O296" s="13" t="str">
        <f>IF(Sheet1!M296="Credit card","Credit Payment","Other")</f>
        <v>Other</v>
      </c>
      <c r="P296" s="13" t="str">
        <f>IF(Sheet1!O296&gt;7,"Yes","No")</f>
        <v>No</v>
      </c>
    </row>
    <row r="297" spans="5:16">
      <c r="E297" s="13" t="str">
        <v>211</v>
      </c>
      <c r="F297" s="13" t="str">
        <v>0490</v>
      </c>
      <c r="G297" s="13" t="str">
        <v>05</v>
      </c>
      <c r="H297" s="13" t="str">
        <f>_xlfn.CONCAT(Sheet1!A297," --&gt; ",Sheet1!J297)</f>
        <v>211-05-0490 --&gt; 272.58</v>
      </c>
      <c r="I297" s="13" t="str">
        <f>_xlfn.CONCAT(Sheet1!C297,"_",TEXT(Sheet1!K297, "m/d/yyyy"))</f>
        <v>Naypyitaw_3/3/2019</v>
      </c>
      <c r="J297" s="13" t="str">
        <f>IF(Sheet1!I297=Sheet1!N297*0.05,"Valid","Error")</f>
        <v>Valid</v>
      </c>
      <c r="K297" s="13" t="str">
        <f>IF(Sheet1!N297=Sheet1!G297*Sheet1!H297,"True","False")</f>
        <v>True</v>
      </c>
      <c r="L297" s="13" t="b">
        <v>1</v>
      </c>
      <c r="M297" s="9" t="b">
        <f>ISNUMBER(Sheet1!J297)</f>
        <v>1</v>
      </c>
      <c r="N297" s="13" t="str">
        <f>IF(Sheet1!B297="A","Branch A",IF(Sheet1!B297="B","Branch B","Other Branch"))</f>
        <v>Other Branch</v>
      </c>
      <c r="O297" s="13" t="str">
        <f>IF(Sheet1!M297="Credit card","Credit Payment","Other")</f>
        <v>Other</v>
      </c>
      <c r="P297" s="13" t="str">
        <f>IF(Sheet1!O297&gt;7,"Yes","No")</f>
        <v>Yes</v>
      </c>
    </row>
    <row r="298" spans="5:16">
      <c r="E298" s="13" t="str">
        <v>727</v>
      </c>
      <c r="F298" s="13" t="str">
        <v>6477</v>
      </c>
      <c r="G298" s="13" t="str">
        <v>75</v>
      </c>
      <c r="H298" s="13" t="str">
        <f>_xlfn.CONCAT(Sheet1!A298," --&gt; ",Sheet1!J298)</f>
        <v>727-75-6477 --&gt; 121.128</v>
      </c>
      <c r="I298" s="13" t="str">
        <f>_xlfn.CONCAT(Sheet1!C298,"_",TEXT(Sheet1!K298, "m/d/yyyy"))</f>
        <v>Naypyitaw_3/29/2019</v>
      </c>
      <c r="J298" s="13" t="str">
        <f>IF(Sheet1!I298=Sheet1!N298*0.05,"Valid","Error")</f>
        <v>Valid</v>
      </c>
      <c r="K298" s="13" t="str">
        <f>IF(Sheet1!N298=Sheet1!G298*Sheet1!H298,"True","False")</f>
        <v>True</v>
      </c>
      <c r="L298" s="13" t="b">
        <v>1</v>
      </c>
      <c r="M298" s="9" t="b">
        <f>ISNUMBER(Sheet1!J298)</f>
        <v>1</v>
      </c>
      <c r="N298" s="13" t="str">
        <f>IF(Sheet1!B298="A","Branch A",IF(Sheet1!B298="B","Branch B","Other Branch"))</f>
        <v>Other Branch</v>
      </c>
      <c r="O298" s="13" t="str">
        <f>IF(Sheet1!M298="Credit card","Credit Payment","Other")</f>
        <v>Other</v>
      </c>
      <c r="P298" s="13" t="str">
        <f>IF(Sheet1!O298&gt;7,"Yes","No")</f>
        <v>No</v>
      </c>
    </row>
    <row r="299" spans="5:16">
      <c r="E299" s="13" t="str">
        <v>744</v>
      </c>
      <c r="F299" s="13" t="str">
        <v>5987</v>
      </c>
      <c r="G299" s="13" t="str">
        <v>02</v>
      </c>
      <c r="H299" s="13" t="str">
        <f>_xlfn.CONCAT(Sheet1!A299," --&gt; ",Sheet1!J299)</f>
        <v>744-02-5987 --&gt; 493.794</v>
      </c>
      <c r="I299" s="13" t="str">
        <f>_xlfn.CONCAT(Sheet1!C299,"_",TEXT(Sheet1!K299, "m/d/yyyy"))</f>
        <v>Yangon_1/10/2019</v>
      </c>
      <c r="J299" s="13" t="str">
        <f>IF(Sheet1!I299=Sheet1!N299*0.05,"Valid","Error")</f>
        <v>Valid</v>
      </c>
      <c r="K299" s="13" t="str">
        <f>IF(Sheet1!N299=Sheet1!G299*Sheet1!H299,"True","False")</f>
        <v>True</v>
      </c>
      <c r="L299" s="13" t="b">
        <v>1</v>
      </c>
      <c r="M299" s="9" t="b">
        <f>ISNUMBER(Sheet1!J299)</f>
        <v>1</v>
      </c>
      <c r="N299" s="13" t="str">
        <f>IF(Sheet1!B299="A","Branch A",IF(Sheet1!B299="B","Branch B","Other Branch"))</f>
        <v>Branch A</v>
      </c>
      <c r="O299" s="13" t="str">
        <f>IF(Sheet1!M299="Credit card","Credit Payment","Other")</f>
        <v>Other</v>
      </c>
      <c r="P299" s="13" t="str">
        <f>IF(Sheet1!O299&gt;7,"Yes","No")</f>
        <v>No</v>
      </c>
    </row>
    <row r="300" spans="5:16">
      <c r="E300" s="13" t="str">
        <v>307</v>
      </c>
      <c r="F300" s="13" t="str">
        <v>9164</v>
      </c>
      <c r="G300" s="13" t="str">
        <v>83</v>
      </c>
      <c r="H300" s="13" t="str">
        <f>_xlfn.CONCAT(Sheet1!A300," --&gt; ",Sheet1!J300)</f>
        <v>307-83-9164 --&gt; 252.042</v>
      </c>
      <c r="I300" s="13" t="str">
        <f>_xlfn.CONCAT(Sheet1!C300,"_",TEXT(Sheet1!K300, "m/d/yyyy"))</f>
        <v>Yangon_1/25/2019</v>
      </c>
      <c r="J300" s="13" t="str">
        <f>IF(Sheet1!I300=Sheet1!N300*0.05,"Valid","Error")</f>
        <v>Valid</v>
      </c>
      <c r="K300" s="13" t="str">
        <f>IF(Sheet1!N300=Sheet1!G300*Sheet1!H300,"True","False")</f>
        <v>True</v>
      </c>
      <c r="L300" s="13" t="b">
        <v>1</v>
      </c>
      <c r="M300" s="9" t="b">
        <f>ISNUMBER(Sheet1!J300)</f>
        <v>1</v>
      </c>
      <c r="N300" s="13" t="str">
        <f>IF(Sheet1!B300="A","Branch A",IF(Sheet1!B300="B","Branch B","Other Branch"))</f>
        <v>Branch A</v>
      </c>
      <c r="O300" s="13" t="str">
        <f>IF(Sheet1!M300="Credit card","Credit Payment","Other")</f>
        <v>Other</v>
      </c>
      <c r="P300" s="13" t="str">
        <f>IF(Sheet1!O300&gt;7,"Yes","No")</f>
        <v>No</v>
      </c>
    </row>
    <row r="301" spans="5:16">
      <c r="E301" s="13" t="str">
        <v>779</v>
      </c>
      <c r="F301" s="13" t="str">
        <v>0012</v>
      </c>
      <c r="G301" s="13" t="str">
        <v>06</v>
      </c>
      <c r="H301" s="13" t="str">
        <f>_xlfn.CONCAT(Sheet1!A301," --&gt; ",Sheet1!J301)</f>
        <v>779-06-0012 --&gt; 93.0405</v>
      </c>
      <c r="I301" s="13" t="str">
        <f>_xlfn.CONCAT(Sheet1!C301,"_",TEXT(Sheet1!K301, "m/d/yyyy"))</f>
        <v>Naypyitaw_1/19/2019</v>
      </c>
      <c r="J301" s="13" t="str">
        <f>IF(Sheet1!I301=Sheet1!N301*0.05,"Valid","Error")</f>
        <v>Valid</v>
      </c>
      <c r="K301" s="13" t="str">
        <f>IF(Sheet1!N301=Sheet1!G301*Sheet1!H301,"True","False")</f>
        <v>True</v>
      </c>
      <c r="L301" s="13" t="b">
        <v>1</v>
      </c>
      <c r="M301" s="9" t="b">
        <f>ISNUMBER(Sheet1!J301)</f>
        <v>1</v>
      </c>
      <c r="N301" s="13" t="str">
        <f>IF(Sheet1!B301="A","Branch A",IF(Sheet1!B301="B","Branch B","Other Branch"))</f>
        <v>Other Branch</v>
      </c>
      <c r="O301" s="13" t="str">
        <f>IF(Sheet1!M301="Credit card","Credit Payment","Other")</f>
        <v>Other</v>
      </c>
      <c r="P301" s="13" t="str">
        <f>IF(Sheet1!O301&gt;7,"Yes","No")</f>
        <v>Yes</v>
      </c>
    </row>
    <row r="302" spans="5:16">
      <c r="E302" s="13" t="str">
        <v>446</v>
      </c>
      <c r="F302" s="13" t="str">
        <v>6729</v>
      </c>
      <c r="G302" s="13" t="str">
        <v>47</v>
      </c>
      <c r="H302" s="13" t="str">
        <f>_xlfn.CONCAT(Sheet1!A302," --&gt; ",Sheet1!J302)</f>
        <v>446-47-6729 --&gt; 209.622</v>
      </c>
      <c r="I302" s="13" t="str">
        <f>_xlfn.CONCAT(Sheet1!C302,"_",TEXT(Sheet1!K302, "m/d/yyyy"))</f>
        <v>Naypyitaw_1/2/2019</v>
      </c>
      <c r="J302" s="13" t="str">
        <f>IF(Sheet1!I302=Sheet1!N302*0.05,"Valid","Error")</f>
        <v>Valid</v>
      </c>
      <c r="K302" s="13" t="str">
        <f>IF(Sheet1!N302=Sheet1!G302*Sheet1!H302,"True","False")</f>
        <v>True</v>
      </c>
      <c r="L302" s="13" t="b">
        <v>1</v>
      </c>
      <c r="M302" s="9" t="b">
        <f>ISNUMBER(Sheet1!J302)</f>
        <v>1</v>
      </c>
      <c r="N302" s="13" t="str">
        <f>IF(Sheet1!B302="A","Branch A",IF(Sheet1!B302="B","Branch B","Other Branch"))</f>
        <v>Other Branch</v>
      </c>
      <c r="O302" s="13" t="str">
        <f>IF(Sheet1!M302="Credit card","Credit Payment","Other")</f>
        <v>Credit Payment</v>
      </c>
      <c r="P302" s="13" t="str">
        <f>IF(Sheet1!O302&gt;7,"Yes","No")</f>
        <v>No</v>
      </c>
    </row>
    <row r="303" spans="5:16">
      <c r="E303" s="13" t="str">
        <v>573</v>
      </c>
      <c r="F303" s="13" t="str">
        <v>3877</v>
      </c>
      <c r="G303" s="13" t="str">
        <v>10</v>
      </c>
      <c r="H303" s="13" t="str">
        <f>_xlfn.CONCAT(Sheet1!A303," --&gt; ",Sheet1!J303)</f>
        <v>573-10-3877 --&gt; 40.9605</v>
      </c>
      <c r="I303" s="13" t="str">
        <f>_xlfn.CONCAT(Sheet1!C303,"_",TEXT(Sheet1!K303, "m/d/yyyy"))</f>
        <v>Mandalay_3/12/2019</v>
      </c>
      <c r="J303" s="13" t="str">
        <f>IF(Sheet1!I303=Sheet1!N303*0.05,"Valid","Error")</f>
        <v>Valid</v>
      </c>
      <c r="K303" s="13" t="str">
        <f>IF(Sheet1!N303=Sheet1!G303*Sheet1!H303,"True","False")</f>
        <v>True</v>
      </c>
      <c r="L303" s="13" t="b">
        <v>1</v>
      </c>
      <c r="M303" s="9" t="b">
        <f>ISNUMBER(Sheet1!J303)</f>
        <v>1</v>
      </c>
      <c r="N303" s="13" t="str">
        <f>IF(Sheet1!B303="A","Branch A",IF(Sheet1!B303="B","Branch B","Other Branch"))</f>
        <v>Branch B</v>
      </c>
      <c r="O303" s="13" t="str">
        <f>IF(Sheet1!M303="Credit card","Credit Payment","Other")</f>
        <v>Credit Payment</v>
      </c>
      <c r="P303" s="13" t="str">
        <f>IF(Sheet1!O303&gt;7,"Yes","No")</f>
        <v>No</v>
      </c>
    </row>
    <row r="304" spans="5:16">
      <c r="E304" s="13" t="str">
        <v>735</v>
      </c>
      <c r="F304" s="13" t="str">
        <v>4124</v>
      </c>
      <c r="G304" s="13" t="str">
        <v>06</v>
      </c>
      <c r="H304" s="13" t="str">
        <f>_xlfn.CONCAT(Sheet1!A304," --&gt; ",Sheet1!J304)</f>
        <v>735-06-4124 --&gt; 51.0405</v>
      </c>
      <c r="I304" s="13" t="str">
        <f>_xlfn.CONCAT(Sheet1!C304,"_",TEXT(Sheet1!K304, "m/d/yyyy"))</f>
        <v>Naypyitaw_2/25/2019</v>
      </c>
      <c r="J304" s="13" t="str">
        <f>IF(Sheet1!I304=Sheet1!N304*0.05,"Valid","Error")</f>
        <v>Valid</v>
      </c>
      <c r="K304" s="13" t="str">
        <f>IF(Sheet1!N304=Sheet1!G304*Sheet1!H304,"True","False")</f>
        <v>True</v>
      </c>
      <c r="L304" s="13" t="b">
        <v>1</v>
      </c>
      <c r="M304" s="9" t="b">
        <f>ISNUMBER(Sheet1!J304)</f>
        <v>1</v>
      </c>
      <c r="N304" s="13" t="str">
        <f>IF(Sheet1!B304="A","Branch A",IF(Sheet1!B304="B","Branch B","Other Branch"))</f>
        <v>Other Branch</v>
      </c>
      <c r="O304" s="13" t="str">
        <f>IF(Sheet1!M304="Credit card","Credit Payment","Other")</f>
        <v>Other</v>
      </c>
      <c r="P304" s="13" t="str">
        <f>IF(Sheet1!O304&gt;7,"Yes","No")</f>
        <v>No</v>
      </c>
    </row>
    <row r="305" spans="5:16">
      <c r="E305" s="13" t="str">
        <v>439</v>
      </c>
      <c r="F305" s="13" t="str">
        <v>7422</v>
      </c>
      <c r="G305" s="13" t="str">
        <v>54</v>
      </c>
      <c r="H305" s="13" t="str">
        <f>_xlfn.CONCAT(Sheet1!A305," --&gt; ",Sheet1!J305)</f>
        <v>439-54-7422 --&gt; 214.998</v>
      </c>
      <c r="I305" s="13" t="str">
        <f>_xlfn.CONCAT(Sheet1!C305,"_",TEXT(Sheet1!K305, "m/d/yyyy"))</f>
        <v>Yangon_3/18/2019</v>
      </c>
      <c r="J305" s="13" t="str">
        <f>IF(Sheet1!I305=Sheet1!N305*0.05,"Valid","Error")</f>
        <v>Valid</v>
      </c>
      <c r="K305" s="13" t="str">
        <f>IF(Sheet1!N305=Sheet1!G305*Sheet1!H305,"True","False")</f>
        <v>True</v>
      </c>
      <c r="L305" s="13" t="b">
        <v>1</v>
      </c>
      <c r="M305" s="9" t="b">
        <f>ISNUMBER(Sheet1!J305)</f>
        <v>1</v>
      </c>
      <c r="N305" s="13" t="str">
        <f>IF(Sheet1!B305="A","Branch A",IF(Sheet1!B305="B","Branch B","Other Branch"))</f>
        <v>Branch A</v>
      </c>
      <c r="O305" s="13" t="str">
        <f>IF(Sheet1!M305="Credit card","Credit Payment","Other")</f>
        <v>Credit Payment</v>
      </c>
      <c r="P305" s="13" t="str">
        <f>IF(Sheet1!O305&gt;7,"Yes","No")</f>
        <v>No</v>
      </c>
    </row>
    <row r="306" spans="5:16">
      <c r="E306" s="13" t="str">
        <v>396</v>
      </c>
      <c r="F306" s="13" t="str">
        <v>2219</v>
      </c>
      <c r="G306" s="13" t="str">
        <v>90</v>
      </c>
      <c r="H306" s="13" t="str">
        <f>_xlfn.CONCAT(Sheet1!A306," --&gt; ",Sheet1!J306)</f>
        <v>396-90-2219 --&gt; 125.664</v>
      </c>
      <c r="I306" s="13" t="str">
        <f>_xlfn.CONCAT(Sheet1!C306,"_",TEXT(Sheet1!K306, "m/d/yyyy"))</f>
        <v>Mandalay_2/23/2019</v>
      </c>
      <c r="J306" s="13" t="str">
        <f>IF(Sheet1!I306=Sheet1!N306*0.05,"Valid","Error")</f>
        <v>Valid</v>
      </c>
      <c r="K306" s="13" t="str">
        <f>IF(Sheet1!N306=Sheet1!G306*Sheet1!H306,"True","False")</f>
        <v>True</v>
      </c>
      <c r="L306" s="13" t="b">
        <v>1</v>
      </c>
      <c r="M306" s="9" t="b">
        <f>ISNUMBER(Sheet1!J306)</f>
        <v>1</v>
      </c>
      <c r="N306" s="13" t="str">
        <f>IF(Sheet1!B306="A","Branch A",IF(Sheet1!B306="B","Branch B","Other Branch"))</f>
        <v>Branch B</v>
      </c>
      <c r="O306" s="13" t="str">
        <f>IF(Sheet1!M306="Credit card","Credit Payment","Other")</f>
        <v>Other</v>
      </c>
      <c r="P306" s="13" t="str">
        <f>IF(Sheet1!O306&gt;7,"Yes","No")</f>
        <v>Yes</v>
      </c>
    </row>
    <row r="307" spans="5:16">
      <c r="E307" s="13" t="str">
        <v>411</v>
      </c>
      <c r="F307" s="13" t="str">
        <v>0180</v>
      </c>
      <c r="G307" s="13" t="str">
        <v>77</v>
      </c>
      <c r="H307" s="13" t="str">
        <f>_xlfn.CONCAT(Sheet1!A307," --&gt; ",Sheet1!J307)</f>
        <v>411-77-0180 --&gt; 530.67</v>
      </c>
      <c r="I307" s="13" t="str">
        <f>_xlfn.CONCAT(Sheet1!C307,"_",TEXT(Sheet1!K307, "m/d/yyyy"))</f>
        <v>Yangon_3/26/2019</v>
      </c>
      <c r="J307" s="13" t="str">
        <f>IF(Sheet1!I307=Sheet1!N307*0.05,"Valid","Error")</f>
        <v>Valid</v>
      </c>
      <c r="K307" s="13" t="str">
        <f>IF(Sheet1!N307=Sheet1!G307*Sheet1!H307,"True","False")</f>
        <v>True</v>
      </c>
      <c r="L307" s="13" t="b">
        <v>1</v>
      </c>
      <c r="M307" s="9" t="b">
        <f>ISNUMBER(Sheet1!J307)</f>
        <v>1</v>
      </c>
      <c r="N307" s="13" t="str">
        <f>IF(Sheet1!B307="A","Branch A",IF(Sheet1!B307="B","Branch B","Other Branch"))</f>
        <v>Branch A</v>
      </c>
      <c r="O307" s="13" t="str">
        <f>IF(Sheet1!M307="Credit card","Credit Payment","Other")</f>
        <v>Other</v>
      </c>
      <c r="P307" s="13" t="str">
        <f>IF(Sheet1!O307&gt;7,"Yes","No")</f>
        <v>No</v>
      </c>
    </row>
    <row r="308" spans="5:16">
      <c r="E308" s="13" t="str">
        <v>286</v>
      </c>
      <c r="F308" s="13" t="str">
        <v>5402</v>
      </c>
      <c r="G308" s="13" t="str">
        <v>01</v>
      </c>
      <c r="H308" s="13" t="str">
        <f>_xlfn.CONCAT(Sheet1!A308," --&gt; ",Sheet1!J308)</f>
        <v>286-01-5402 --&gt; 295.6905</v>
      </c>
      <c r="I308" s="13" t="str">
        <f>_xlfn.CONCAT(Sheet1!C308,"_",TEXT(Sheet1!K308, "m/d/yyyy"))</f>
        <v>Yangon_3/30/2019</v>
      </c>
      <c r="J308" s="13" t="str">
        <f>IF(Sheet1!I308=Sheet1!N308*0.05,"Valid","Error")</f>
        <v>Valid</v>
      </c>
      <c r="K308" s="13" t="str">
        <f>IF(Sheet1!N308=Sheet1!G308*Sheet1!H308,"True","False")</f>
        <v>True</v>
      </c>
      <c r="L308" s="13" t="b">
        <v>1</v>
      </c>
      <c r="M308" s="9" t="b">
        <f>ISNUMBER(Sheet1!J308)</f>
        <v>1</v>
      </c>
      <c r="N308" s="13" t="str">
        <f>IF(Sheet1!B308="A","Branch A",IF(Sheet1!B308="B","Branch B","Other Branch"))</f>
        <v>Branch A</v>
      </c>
      <c r="O308" s="13" t="str">
        <f>IF(Sheet1!M308="Credit card","Credit Payment","Other")</f>
        <v>Other</v>
      </c>
      <c r="P308" s="13" t="str">
        <f>IF(Sheet1!O308&gt;7,"Yes","No")</f>
        <v>Yes</v>
      </c>
    </row>
    <row r="309" spans="5:16">
      <c r="E309" s="13" t="str">
        <v>803</v>
      </c>
      <c r="F309" s="13" t="str">
        <v>8013</v>
      </c>
      <c r="G309" s="13" t="str">
        <v>17</v>
      </c>
      <c r="H309" s="13" t="str">
        <f>_xlfn.CONCAT(Sheet1!A309," --&gt; ",Sheet1!J309)</f>
        <v>803-17-8013 --&gt; 745.836</v>
      </c>
      <c r="I309" s="13" t="str">
        <f>_xlfn.CONCAT(Sheet1!C309,"_",TEXT(Sheet1!K309, "m/d/yyyy"))</f>
        <v>Yangon_2/17/2019</v>
      </c>
      <c r="J309" s="13" t="str">
        <f>IF(Sheet1!I309=Sheet1!N309*0.05,"Valid","Error")</f>
        <v>Valid</v>
      </c>
      <c r="K309" s="13" t="str">
        <f>IF(Sheet1!N309=Sheet1!G309*Sheet1!H309,"True","False")</f>
        <v>True</v>
      </c>
      <c r="L309" s="13" t="b">
        <v>1</v>
      </c>
      <c r="M309" s="9" t="b">
        <f>ISNUMBER(Sheet1!J309)</f>
        <v>1</v>
      </c>
      <c r="N309" s="13" t="str">
        <f>IF(Sheet1!B309="A","Branch A",IF(Sheet1!B309="B","Branch B","Other Branch"))</f>
        <v>Branch A</v>
      </c>
      <c r="O309" s="13" t="str">
        <f>IF(Sheet1!M309="Credit card","Credit Payment","Other")</f>
        <v>Other</v>
      </c>
      <c r="P309" s="13" t="str">
        <f>IF(Sheet1!O309&gt;7,"Yes","No")</f>
        <v>No</v>
      </c>
    </row>
    <row r="310" spans="5:16">
      <c r="E310" s="13" t="str">
        <v>512</v>
      </c>
      <c r="F310" s="13" t="str">
        <v>1403</v>
      </c>
      <c r="G310" s="13" t="str">
        <v>98</v>
      </c>
      <c r="H310" s="13" t="str">
        <f>_xlfn.CONCAT(Sheet1!A310," --&gt; ",Sheet1!J310)</f>
        <v>512-98-1403 --&gt; 83.412</v>
      </c>
      <c r="I310" s="13" t="str">
        <f>_xlfn.CONCAT(Sheet1!C310,"_",TEXT(Sheet1!K310, "m/d/yyyy"))</f>
        <v>Yangon_3/21/2019</v>
      </c>
      <c r="J310" s="13" t="str">
        <f>IF(Sheet1!I310=Sheet1!N310*0.05,"Valid","Error")</f>
        <v>Valid</v>
      </c>
      <c r="K310" s="13" t="str">
        <f>IF(Sheet1!N310=Sheet1!G310*Sheet1!H310,"True","False")</f>
        <v>True</v>
      </c>
      <c r="L310" s="13" t="b">
        <v>1</v>
      </c>
      <c r="M310" s="9" t="b">
        <f>ISNUMBER(Sheet1!J310)</f>
        <v>1</v>
      </c>
      <c r="N310" s="13" t="str">
        <f>IF(Sheet1!B310="A","Branch A",IF(Sheet1!B310="B","Branch B","Other Branch"))</f>
        <v>Branch A</v>
      </c>
      <c r="O310" s="13" t="str">
        <f>IF(Sheet1!M310="Credit card","Credit Payment","Other")</f>
        <v>Other</v>
      </c>
      <c r="P310" s="13" t="str">
        <f>IF(Sheet1!O310&gt;7,"Yes","No")</f>
        <v>No</v>
      </c>
    </row>
    <row r="311" spans="5:16">
      <c r="E311" s="13" t="str">
        <v>848</v>
      </c>
      <c r="F311" s="13" t="str">
        <v>2560</v>
      </c>
      <c r="G311" s="13" t="str">
        <v>42</v>
      </c>
      <c r="H311" s="13" t="str">
        <f>_xlfn.CONCAT(Sheet1!A311," --&gt; ",Sheet1!J311)</f>
        <v>848-42-2560 --&gt; 172.011</v>
      </c>
      <c r="I311" s="13" t="str">
        <f>_xlfn.CONCAT(Sheet1!C311,"_",TEXT(Sheet1!K311, "m/d/yyyy"))</f>
        <v>Yangon_3/5/2019</v>
      </c>
      <c r="J311" s="13" t="str">
        <f>IF(Sheet1!I311=Sheet1!N311*0.05,"Valid","Error")</f>
        <v>Valid</v>
      </c>
      <c r="K311" s="13" t="str">
        <f>IF(Sheet1!N311=Sheet1!G311*Sheet1!H311,"True","False")</f>
        <v>True</v>
      </c>
      <c r="L311" s="13" t="b">
        <v>1</v>
      </c>
      <c r="M311" s="9" t="b">
        <f>ISNUMBER(Sheet1!J311)</f>
        <v>1</v>
      </c>
      <c r="N311" s="13" t="str">
        <f>IF(Sheet1!B311="A","Branch A",IF(Sheet1!B311="B","Branch B","Other Branch"))</f>
        <v>Branch A</v>
      </c>
      <c r="O311" s="13" t="str">
        <f>IF(Sheet1!M311="Credit card","Credit Payment","Other")</f>
        <v>Other</v>
      </c>
      <c r="P311" s="13" t="str">
        <f>IF(Sheet1!O311&gt;7,"Yes","No")</f>
        <v>Yes</v>
      </c>
    </row>
    <row r="312" spans="5:16">
      <c r="E312" s="13" t="str">
        <v>532</v>
      </c>
      <c r="F312" s="13" t="str">
        <v>7201</v>
      </c>
      <c r="G312" s="13" t="str">
        <v>59</v>
      </c>
      <c r="H312" s="13" t="str">
        <f>_xlfn.CONCAT(Sheet1!A312," --&gt; ",Sheet1!J312)</f>
        <v>532-59-7201 --&gt; 503.559</v>
      </c>
      <c r="I312" s="13" t="str">
        <f>_xlfn.CONCAT(Sheet1!C312,"_",TEXT(Sheet1!K312, "m/d/yyyy"))</f>
        <v>Mandalay_1/31/2019</v>
      </c>
      <c r="J312" s="13" t="str">
        <f>IF(Sheet1!I312=Sheet1!N312*0.05,"Valid","Error")</f>
        <v>Valid</v>
      </c>
      <c r="K312" s="13" t="str">
        <f>IF(Sheet1!N312=Sheet1!G312*Sheet1!H312,"True","False")</f>
        <v>True</v>
      </c>
      <c r="L312" s="13" t="b">
        <v>1</v>
      </c>
      <c r="M312" s="9" t="b">
        <f>ISNUMBER(Sheet1!J312)</f>
        <v>1</v>
      </c>
      <c r="N312" s="13" t="str">
        <f>IF(Sheet1!B312="A","Branch A",IF(Sheet1!B312="B","Branch B","Other Branch"))</f>
        <v>Branch B</v>
      </c>
      <c r="O312" s="13" t="str">
        <f>IF(Sheet1!M312="Credit card","Credit Payment","Other")</f>
        <v>Other</v>
      </c>
      <c r="P312" s="13" t="str">
        <f>IF(Sheet1!O312&gt;7,"Yes","No")</f>
        <v>No</v>
      </c>
    </row>
    <row r="313" spans="5:16">
      <c r="E313" s="13" t="str">
        <v>181</v>
      </c>
      <c r="F313" s="13" t="str">
        <v>6432</v>
      </c>
      <c r="G313" s="13" t="str">
        <v>94</v>
      </c>
      <c r="H313" s="13" t="str">
        <f>_xlfn.CONCAT(Sheet1!A313," --&gt; ",Sheet1!J313)</f>
        <v>181-94-6432 --&gt; 145.593</v>
      </c>
      <c r="I313" s="13" t="str">
        <f>_xlfn.CONCAT(Sheet1!C313,"_",TEXT(Sheet1!K313, "m/d/yyyy"))</f>
        <v>Naypyitaw_2/5/2019</v>
      </c>
      <c r="J313" s="13" t="str">
        <f>IF(Sheet1!I313=Sheet1!N313*0.05,"Valid","Error")</f>
        <v>Valid</v>
      </c>
      <c r="K313" s="13" t="str">
        <f>IF(Sheet1!N313=Sheet1!G313*Sheet1!H313,"True","False")</f>
        <v>True</v>
      </c>
      <c r="L313" s="13" t="b">
        <v>1</v>
      </c>
      <c r="M313" s="9" t="b">
        <f>ISNUMBER(Sheet1!J313)</f>
        <v>1</v>
      </c>
      <c r="N313" s="13" t="str">
        <f>IF(Sheet1!B313="A","Branch A",IF(Sheet1!B313="B","Branch B","Other Branch"))</f>
        <v>Other Branch</v>
      </c>
      <c r="O313" s="13" t="str">
        <f>IF(Sheet1!M313="Credit card","Credit Payment","Other")</f>
        <v>Other</v>
      </c>
      <c r="P313" s="13" t="str">
        <f>IF(Sheet1!O313&gt;7,"Yes","No")</f>
        <v>Yes</v>
      </c>
    </row>
    <row r="314" spans="5:16">
      <c r="E314" s="13" t="str">
        <v>870</v>
      </c>
      <c r="F314" s="13" t="str">
        <v>1733</v>
      </c>
      <c r="G314" s="13" t="str">
        <v>76</v>
      </c>
      <c r="H314" s="13" t="str">
        <f>_xlfn.CONCAT(Sheet1!A314," --&gt; ",Sheet1!J314)</f>
        <v>870-76-1733 --&gt; 74.7075</v>
      </c>
      <c r="I314" s="13" t="str">
        <f>_xlfn.CONCAT(Sheet1!C314,"_",TEXT(Sheet1!K314, "m/d/yyyy"))</f>
        <v>Yangon_2/1/2019</v>
      </c>
      <c r="J314" s="13" t="str">
        <f>IF(Sheet1!I314=Sheet1!N314*0.05,"Valid","Error")</f>
        <v>Valid</v>
      </c>
      <c r="K314" s="13" t="str">
        <f>IF(Sheet1!N314=Sheet1!G314*Sheet1!H314,"True","False")</f>
        <v>True</v>
      </c>
      <c r="L314" s="13" t="b">
        <v>1</v>
      </c>
      <c r="M314" s="9" t="b">
        <f>ISNUMBER(Sheet1!J314)</f>
        <v>1</v>
      </c>
      <c r="N314" s="13" t="str">
        <f>IF(Sheet1!B314="A","Branch A",IF(Sheet1!B314="B","Branch B","Other Branch"))</f>
        <v>Branch A</v>
      </c>
      <c r="O314" s="13" t="str">
        <f>IF(Sheet1!M314="Credit card","Credit Payment","Other")</f>
        <v>Credit Payment</v>
      </c>
      <c r="P314" s="13" t="str">
        <f>IF(Sheet1!O314&gt;7,"Yes","No")</f>
        <v>No</v>
      </c>
    </row>
    <row r="315" spans="5:16">
      <c r="E315" s="13" t="str">
        <v>423</v>
      </c>
      <c r="F315" s="13" t="str">
        <v>4619</v>
      </c>
      <c r="G315" s="13" t="str">
        <v>64</v>
      </c>
      <c r="H315" s="13" t="str">
        <f>_xlfn.CONCAT(Sheet1!A315," --&gt; ",Sheet1!J315)</f>
        <v>423-64-4619 --&gt; 146.9475</v>
      </c>
      <c r="I315" s="13" t="str">
        <f>_xlfn.CONCAT(Sheet1!C315,"_",TEXT(Sheet1!K315, "m/d/yyyy"))</f>
        <v>Yangon_3/7/2019</v>
      </c>
      <c r="J315" s="13" t="str">
        <f>IF(Sheet1!I315=Sheet1!N315*0.05,"Valid","Error")</f>
        <v>Valid</v>
      </c>
      <c r="K315" s="13" t="str">
        <f>IF(Sheet1!N315=Sheet1!G315*Sheet1!H315,"True","False")</f>
        <v>True</v>
      </c>
      <c r="L315" s="13" t="b">
        <v>1</v>
      </c>
      <c r="M315" s="9" t="b">
        <f>ISNUMBER(Sheet1!J315)</f>
        <v>1</v>
      </c>
      <c r="N315" s="13" t="str">
        <f>IF(Sheet1!B315="A","Branch A",IF(Sheet1!B315="B","Branch B","Other Branch"))</f>
        <v>Branch A</v>
      </c>
      <c r="O315" s="13" t="str">
        <f>IF(Sheet1!M315="Credit card","Credit Payment","Other")</f>
        <v>Other</v>
      </c>
      <c r="P315" s="13" t="str">
        <f>IF(Sheet1!O315&gt;7,"Yes","No")</f>
        <v>No</v>
      </c>
    </row>
    <row r="316" spans="5:16">
      <c r="E316" s="13" t="str">
        <v>227</v>
      </c>
      <c r="F316" s="13" t="str">
        <v>4446</v>
      </c>
      <c r="G316" s="13" t="str">
        <v>07</v>
      </c>
      <c r="H316" s="13" t="str">
        <f>_xlfn.CONCAT(Sheet1!A316," --&gt; ",Sheet1!J316)</f>
        <v>227-07-4446 --&gt; 820.365</v>
      </c>
      <c r="I316" s="13" t="str">
        <f>_xlfn.CONCAT(Sheet1!C316,"_",TEXT(Sheet1!K316, "m/d/yyyy"))</f>
        <v>Naypyitaw_2/10/2019</v>
      </c>
      <c r="J316" s="13" t="str">
        <f>IF(Sheet1!I316=Sheet1!N316*0.05,"Valid","Error")</f>
        <v>Valid</v>
      </c>
      <c r="K316" s="13" t="str">
        <f>IF(Sheet1!N316=Sheet1!G316*Sheet1!H316,"True","False")</f>
        <v>True</v>
      </c>
      <c r="L316" s="13" t="b">
        <v>1</v>
      </c>
      <c r="M316" s="9" t="b">
        <f>ISNUMBER(Sheet1!J316)</f>
        <v>1</v>
      </c>
      <c r="N316" s="13" t="str">
        <f>IF(Sheet1!B316="A","Branch A",IF(Sheet1!B316="B","Branch B","Other Branch"))</f>
        <v>Other Branch</v>
      </c>
      <c r="O316" s="13" t="str">
        <f>IF(Sheet1!M316="Credit card","Credit Payment","Other")</f>
        <v>Other</v>
      </c>
      <c r="P316" s="13" t="str">
        <f>IF(Sheet1!O316&gt;7,"Yes","No")</f>
        <v>No</v>
      </c>
    </row>
    <row r="317" spans="5:16">
      <c r="E317" s="13" t="str">
        <v>174</v>
      </c>
      <c r="F317" s="13" t="str">
        <v>3675</v>
      </c>
      <c r="G317" s="13" t="str">
        <v>36</v>
      </c>
      <c r="H317" s="13" t="str">
        <f>_xlfn.CONCAT(Sheet1!A317," --&gt; ",Sheet1!J317)</f>
        <v>174-36-3675 --&gt; 208.677</v>
      </c>
      <c r="I317" s="13" t="str">
        <f>_xlfn.CONCAT(Sheet1!C317,"_",TEXT(Sheet1!K317, "m/d/yyyy"))</f>
        <v>Naypyitaw_2/14/2019</v>
      </c>
      <c r="J317" s="13" t="str">
        <f>IF(Sheet1!I317=Sheet1!N317*0.05,"Valid","Error")</f>
        <v>Valid</v>
      </c>
      <c r="K317" s="13" t="str">
        <f>IF(Sheet1!N317=Sheet1!G317*Sheet1!H317,"True","False")</f>
        <v>True</v>
      </c>
      <c r="L317" s="13" t="b">
        <v>1</v>
      </c>
      <c r="M317" s="9" t="b">
        <f>ISNUMBER(Sheet1!J317)</f>
        <v>1</v>
      </c>
      <c r="N317" s="13" t="str">
        <f>IF(Sheet1!B317="A","Branch A",IF(Sheet1!B317="B","Branch B","Other Branch"))</f>
        <v>Other Branch</v>
      </c>
      <c r="O317" s="13" t="str">
        <f>IF(Sheet1!M317="Credit card","Credit Payment","Other")</f>
        <v>Other</v>
      </c>
      <c r="P317" s="13" t="str">
        <f>IF(Sheet1!O317&gt;7,"Yes","No")</f>
        <v>No</v>
      </c>
    </row>
    <row r="318" spans="5:16">
      <c r="E318" s="13" t="str">
        <v>428</v>
      </c>
      <c r="F318" s="13" t="str">
        <v>5800</v>
      </c>
      <c r="G318" s="13" t="str">
        <v>83</v>
      </c>
      <c r="H318" s="13" t="str">
        <f>_xlfn.CONCAT(Sheet1!A318," --&gt; ",Sheet1!J318)</f>
        <v>428-83-5800 --&gt; 66.402</v>
      </c>
      <c r="I318" s="13" t="str">
        <f>_xlfn.CONCAT(Sheet1!C318,"_",TEXT(Sheet1!K318, "m/d/yyyy"))</f>
        <v>Naypyitaw_2/9/2019</v>
      </c>
      <c r="J318" s="13" t="str">
        <f>IF(Sheet1!I318=Sheet1!N318*0.05,"Valid","Error")</f>
        <v>Valid</v>
      </c>
      <c r="K318" s="13" t="str">
        <f>IF(Sheet1!N318=Sheet1!G318*Sheet1!H318,"True","False")</f>
        <v>True</v>
      </c>
      <c r="L318" s="13" t="b">
        <v>1</v>
      </c>
      <c r="M318" s="9" t="b">
        <f>ISNUMBER(Sheet1!J318)</f>
        <v>1</v>
      </c>
      <c r="N318" s="13" t="str">
        <f>IF(Sheet1!B318="A","Branch A",IF(Sheet1!B318="B","Branch B","Other Branch"))</f>
        <v>Other Branch</v>
      </c>
      <c r="O318" s="13" t="str">
        <f>IF(Sheet1!M318="Credit card","Credit Payment","Other")</f>
        <v>Other</v>
      </c>
      <c r="P318" s="13" t="str">
        <f>IF(Sheet1!O318&gt;7,"Yes","No")</f>
        <v>Yes</v>
      </c>
    </row>
    <row r="319" spans="5:16">
      <c r="E319" s="13" t="str">
        <v>603</v>
      </c>
      <c r="F319" s="13" t="str">
        <v>0961</v>
      </c>
      <c r="G319" s="13" t="str">
        <v>07</v>
      </c>
      <c r="H319" s="13" t="str">
        <f>_xlfn.CONCAT(Sheet1!A319," --&gt; ",Sheet1!J319)</f>
        <v>603-07-0961 --&gt; 392.6475</v>
      </c>
      <c r="I319" s="13" t="str">
        <f>_xlfn.CONCAT(Sheet1!C319,"_",TEXT(Sheet1!K319, "m/d/yyyy"))</f>
        <v>Naypyitaw_1/10/2019</v>
      </c>
      <c r="J319" s="13" t="str">
        <f>IF(Sheet1!I319=Sheet1!N319*0.05,"Valid","Error")</f>
        <v>Valid</v>
      </c>
      <c r="K319" s="13" t="str">
        <f>IF(Sheet1!N319=Sheet1!G319*Sheet1!H319,"True","False")</f>
        <v>True</v>
      </c>
      <c r="L319" s="13" t="b">
        <v>1</v>
      </c>
      <c r="M319" s="9" t="b">
        <f>ISNUMBER(Sheet1!J319)</f>
        <v>1</v>
      </c>
      <c r="N319" s="13" t="str">
        <f>IF(Sheet1!B319="A","Branch A",IF(Sheet1!B319="B","Branch B","Other Branch"))</f>
        <v>Other Branch</v>
      </c>
      <c r="O319" s="13" t="str">
        <f>IF(Sheet1!M319="Credit card","Credit Payment","Other")</f>
        <v>Other</v>
      </c>
      <c r="P319" s="13" t="str">
        <f>IF(Sheet1!O319&gt;7,"Yes","No")</f>
        <v>No</v>
      </c>
    </row>
    <row r="320" spans="5:16">
      <c r="E320" s="13" t="str">
        <v>704</v>
      </c>
      <c r="F320" s="13" t="str">
        <v>4138</v>
      </c>
      <c r="G320" s="13" t="str">
        <v>20</v>
      </c>
      <c r="H320" s="13" t="str">
        <f>_xlfn.CONCAT(Sheet1!A320," --&gt; ",Sheet1!J320)</f>
        <v>704-20-4138 --&gt; 218.0745</v>
      </c>
      <c r="I320" s="13" t="str">
        <f>_xlfn.CONCAT(Sheet1!C320,"_",TEXT(Sheet1!K320, "m/d/yyyy"))</f>
        <v>Naypyitaw_3/11/2019</v>
      </c>
      <c r="J320" s="13" t="str">
        <f>IF(Sheet1!I320=Sheet1!N320*0.05,"Valid","Error")</f>
        <v>Valid</v>
      </c>
      <c r="K320" s="13" t="str">
        <f>IF(Sheet1!N320=Sheet1!G320*Sheet1!H320,"True","False")</f>
        <v>True</v>
      </c>
      <c r="L320" s="13" t="b">
        <v>1</v>
      </c>
      <c r="M320" s="9" t="b">
        <f>ISNUMBER(Sheet1!J320)</f>
        <v>1</v>
      </c>
      <c r="N320" s="13" t="str">
        <f>IF(Sheet1!B320="A","Branch A",IF(Sheet1!B320="B","Branch B","Other Branch"))</f>
        <v>Other Branch</v>
      </c>
      <c r="O320" s="13" t="str">
        <f>IF(Sheet1!M320="Credit card","Credit Payment","Other")</f>
        <v>Credit Payment</v>
      </c>
      <c r="P320" s="13" t="str">
        <f>IF(Sheet1!O320&gt;7,"Yes","No")</f>
        <v>Yes</v>
      </c>
    </row>
    <row r="321" spans="5:16">
      <c r="E321" s="13" t="str">
        <v>787</v>
      </c>
      <c r="F321" s="13" t="str">
        <v>1757</v>
      </c>
      <c r="G321" s="13" t="str">
        <v>15</v>
      </c>
      <c r="H321" s="13" t="str">
        <f>_xlfn.CONCAT(Sheet1!A321," --&gt; ",Sheet1!J321)</f>
        <v>787-15-1757 --&gt; 185.094</v>
      </c>
      <c r="I321" s="13" t="str">
        <f>_xlfn.CONCAT(Sheet1!C321,"_",TEXT(Sheet1!K321, "m/d/yyyy"))</f>
        <v>Naypyitaw_2/18/2019</v>
      </c>
      <c r="J321" s="13" t="str">
        <f>IF(Sheet1!I321=Sheet1!N321*0.05,"Valid","Error")</f>
        <v>Valid</v>
      </c>
      <c r="K321" s="13" t="str">
        <f>IF(Sheet1!N321=Sheet1!G321*Sheet1!H321,"True","False")</f>
        <v>True</v>
      </c>
      <c r="L321" s="13" t="b">
        <v>1</v>
      </c>
      <c r="M321" s="9" t="b">
        <f>ISNUMBER(Sheet1!J321)</f>
        <v>1</v>
      </c>
      <c r="N321" s="13" t="str">
        <f>IF(Sheet1!B321="A","Branch A",IF(Sheet1!B321="B","Branch B","Other Branch"))</f>
        <v>Other Branch</v>
      </c>
      <c r="O321" s="13" t="str">
        <f>IF(Sheet1!M321="Credit card","Credit Payment","Other")</f>
        <v>Other</v>
      </c>
      <c r="P321" s="13" t="str">
        <f>IF(Sheet1!O321&gt;7,"Yes","No")</f>
        <v>Yes</v>
      </c>
    </row>
    <row r="322" spans="5:16">
      <c r="E322" s="13" t="str">
        <v>649</v>
      </c>
      <c r="F322" s="13" t="str">
        <v>3678</v>
      </c>
      <c r="G322" s="13" t="str">
        <v>11</v>
      </c>
      <c r="H322" s="13" t="str">
        <f>_xlfn.CONCAT(Sheet1!A322," --&gt; ",Sheet1!J322)</f>
        <v>649-11-3678 --&gt; 216.6885</v>
      </c>
      <c r="I322" s="13" t="str">
        <f>_xlfn.CONCAT(Sheet1!C322,"_",TEXT(Sheet1!K322, "m/d/yyyy"))</f>
        <v>Naypyitaw_2/26/2019</v>
      </c>
      <c r="J322" s="13" t="str">
        <f>IF(Sheet1!I322=Sheet1!N322*0.05,"Valid","Error")</f>
        <v>Valid</v>
      </c>
      <c r="K322" s="13" t="str">
        <f>IF(Sheet1!N322=Sheet1!G322*Sheet1!H322,"True","False")</f>
        <v>True</v>
      </c>
      <c r="L322" s="13" t="b">
        <v>1</v>
      </c>
      <c r="M322" s="9" t="b">
        <f>ISNUMBER(Sheet1!J322)</f>
        <v>1</v>
      </c>
      <c r="N322" s="13" t="str">
        <f>IF(Sheet1!B322="A","Branch A",IF(Sheet1!B322="B","Branch B","Other Branch"))</f>
        <v>Other Branch</v>
      </c>
      <c r="O322" s="13" t="str">
        <f>IF(Sheet1!M322="Credit card","Credit Payment","Other")</f>
        <v>Other</v>
      </c>
      <c r="P322" s="13" t="str">
        <f>IF(Sheet1!O322&gt;7,"Yes","No")</f>
        <v>No</v>
      </c>
    </row>
    <row r="323" spans="5:16">
      <c r="E323" s="13" t="str">
        <v>622</v>
      </c>
      <c r="F323" s="13" t="str">
        <v>1945</v>
      </c>
      <c r="G323" s="13" t="str">
        <v>20</v>
      </c>
      <c r="H323" s="13" t="str">
        <f>_xlfn.CONCAT(Sheet1!A323," --&gt; ",Sheet1!J323)</f>
        <v>622-20-1945 --&gt; 41.391</v>
      </c>
      <c r="I323" s="13" t="str">
        <f>_xlfn.CONCAT(Sheet1!C323,"_",TEXT(Sheet1!K323, "m/d/yyyy"))</f>
        <v>Naypyitaw_1/18/2019</v>
      </c>
      <c r="J323" s="13" t="str">
        <f>IF(Sheet1!I323=Sheet1!N323*0.05,"Valid","Error")</f>
        <v>Valid</v>
      </c>
      <c r="K323" s="13" t="str">
        <f>IF(Sheet1!N323=Sheet1!G323*Sheet1!H323,"True","False")</f>
        <v>True</v>
      </c>
      <c r="L323" s="13" t="b">
        <v>1</v>
      </c>
      <c r="M323" s="9" t="b">
        <f>ISNUMBER(Sheet1!J323)</f>
        <v>1</v>
      </c>
      <c r="N323" s="13" t="str">
        <f>IF(Sheet1!B323="A","Branch A",IF(Sheet1!B323="B","Branch B","Other Branch"))</f>
        <v>Other Branch</v>
      </c>
      <c r="O323" s="13" t="str">
        <f>IF(Sheet1!M323="Credit card","Credit Payment","Other")</f>
        <v>Other</v>
      </c>
      <c r="P323" s="13" t="str">
        <f>IF(Sheet1!O323&gt;7,"Yes","No")</f>
        <v>Yes</v>
      </c>
    </row>
    <row r="324" spans="5:16">
      <c r="E324" s="13" t="str">
        <v>372</v>
      </c>
      <c r="F324" s="13" t="str">
        <v>8041</v>
      </c>
      <c r="G324" s="13" t="str">
        <v>94</v>
      </c>
      <c r="H324" s="13" t="str">
        <f>_xlfn.CONCAT(Sheet1!A324," --&gt; ",Sheet1!J324)</f>
        <v>372-94-8041 --&gt; 96.138</v>
      </c>
      <c r="I324" s="13" t="str">
        <f>_xlfn.CONCAT(Sheet1!C324,"_",TEXT(Sheet1!K324, "m/d/yyyy"))</f>
        <v>Yangon_2/15/2019</v>
      </c>
      <c r="J324" s="13" t="str">
        <f>IF(Sheet1!I324=Sheet1!N324*0.05,"Valid","Error")</f>
        <v>Valid</v>
      </c>
      <c r="K324" s="13" t="str">
        <f>IF(Sheet1!N324=Sheet1!G324*Sheet1!H324,"True","False")</f>
        <v>True</v>
      </c>
      <c r="L324" s="13" t="b">
        <v>1</v>
      </c>
      <c r="M324" s="9" t="b">
        <f>ISNUMBER(Sheet1!J324)</f>
        <v>1</v>
      </c>
      <c r="N324" s="13" t="str">
        <f>IF(Sheet1!B324="A","Branch A",IF(Sheet1!B324="B","Branch B","Other Branch"))</f>
        <v>Branch A</v>
      </c>
      <c r="O324" s="13" t="str">
        <f>IF(Sheet1!M324="Credit card","Credit Payment","Other")</f>
        <v>Other</v>
      </c>
      <c r="P324" s="13" t="str">
        <f>IF(Sheet1!O324&gt;7,"Yes","No")</f>
        <v>Yes</v>
      </c>
    </row>
    <row r="325" spans="5:16">
      <c r="E325" s="13" t="str">
        <v>563</v>
      </c>
      <c r="F325" s="13" t="str">
        <v>7120</v>
      </c>
      <c r="G325" s="13" t="str">
        <v>91</v>
      </c>
      <c r="H325" s="13" t="str">
        <f>_xlfn.CONCAT(Sheet1!A325," --&gt; ",Sheet1!J325)</f>
        <v>563-91-7120 --&gt; 324.2925</v>
      </c>
      <c r="I325" s="13" t="str">
        <f>_xlfn.CONCAT(Sheet1!C325,"_",TEXT(Sheet1!K325, "m/d/yyyy"))</f>
        <v>Yangon_3/8/2019</v>
      </c>
      <c r="J325" s="13" t="str">
        <f>IF(Sheet1!I325=Sheet1!N325*0.05,"Valid","Error")</f>
        <v>Valid</v>
      </c>
      <c r="K325" s="13" t="str">
        <f>IF(Sheet1!N325=Sheet1!G325*Sheet1!H325,"True","False")</f>
        <v>True</v>
      </c>
      <c r="L325" s="13" t="b">
        <v>1</v>
      </c>
      <c r="M325" s="9" t="b">
        <f>ISNUMBER(Sheet1!J325)</f>
        <v>1</v>
      </c>
      <c r="N325" s="13" t="str">
        <f>IF(Sheet1!B325="A","Branch A",IF(Sheet1!B325="B","Branch B","Other Branch"))</f>
        <v>Branch A</v>
      </c>
      <c r="O325" s="13" t="str">
        <f>IF(Sheet1!M325="Credit card","Credit Payment","Other")</f>
        <v>Other</v>
      </c>
      <c r="P325" s="13" t="str">
        <f>IF(Sheet1!O325&gt;7,"Yes","No")</f>
        <v>No</v>
      </c>
    </row>
    <row r="326" spans="5:16">
      <c r="E326" s="13" t="str">
        <v>746</v>
      </c>
      <c r="F326" s="13" t="str">
        <v>5508</v>
      </c>
      <c r="G326" s="13" t="str">
        <v>54</v>
      </c>
      <c r="H326" s="13" t="str">
        <f>_xlfn.CONCAT(Sheet1!A326," --&gt; ",Sheet1!J326)</f>
        <v>746-54-5508 --&gt; 135.576</v>
      </c>
      <c r="I326" s="13" t="str">
        <f>_xlfn.CONCAT(Sheet1!C326,"_",TEXT(Sheet1!K326, "m/d/yyyy"))</f>
        <v>Yangon_1/17/2019</v>
      </c>
      <c r="J326" s="13" t="str">
        <f>IF(Sheet1!I326=Sheet1!N326*0.05,"Valid","Error")</f>
        <v>Valid</v>
      </c>
      <c r="K326" s="13" t="str">
        <f>IF(Sheet1!N326=Sheet1!G326*Sheet1!H326,"True","False")</f>
        <v>True</v>
      </c>
      <c r="L326" s="13" t="b">
        <v>1</v>
      </c>
      <c r="M326" s="9" t="b">
        <f>ISNUMBER(Sheet1!J326)</f>
        <v>1</v>
      </c>
      <c r="N326" s="13" t="str">
        <f>IF(Sheet1!B326="A","Branch A",IF(Sheet1!B326="B","Branch B","Other Branch"))</f>
        <v>Branch A</v>
      </c>
      <c r="O326" s="13" t="str">
        <f>IF(Sheet1!M326="Credit card","Credit Payment","Other")</f>
        <v>Credit Payment</v>
      </c>
      <c r="P326" s="13" t="str">
        <f>IF(Sheet1!O326&gt;7,"Yes","No")</f>
        <v>Yes</v>
      </c>
    </row>
    <row r="327" spans="5:16">
      <c r="E327" s="13" t="str">
        <v>276</v>
      </c>
      <c r="F327" s="13" t="str">
        <v>0879</v>
      </c>
      <c r="G327" s="13" t="str">
        <v>54</v>
      </c>
      <c r="H327" s="13" t="str">
        <f>_xlfn.CONCAT(Sheet1!A327," --&gt; ",Sheet1!J327)</f>
        <v>276-54-0879 --&gt; 410.508</v>
      </c>
      <c r="I327" s="13" t="str">
        <f>_xlfn.CONCAT(Sheet1!C327,"_",TEXT(Sheet1!K327, "m/d/yyyy"))</f>
        <v>Mandalay_3/12/2019</v>
      </c>
      <c r="J327" s="13" t="str">
        <f>IF(Sheet1!I327=Sheet1!N327*0.05,"Valid","Error")</f>
        <v>Valid</v>
      </c>
      <c r="K327" s="13" t="str">
        <f>IF(Sheet1!N327=Sheet1!G327*Sheet1!H327,"True","False")</f>
        <v>True</v>
      </c>
      <c r="L327" s="13" t="b">
        <v>1</v>
      </c>
      <c r="M327" s="9" t="b">
        <f>ISNUMBER(Sheet1!J327)</f>
        <v>1</v>
      </c>
      <c r="N327" s="13" t="str">
        <f>IF(Sheet1!B327="A","Branch A",IF(Sheet1!B327="B","Branch B","Other Branch"))</f>
        <v>Branch B</v>
      </c>
      <c r="O327" s="13" t="str">
        <f>IF(Sheet1!M327="Credit card","Credit Payment","Other")</f>
        <v>Other</v>
      </c>
      <c r="P327" s="13" t="str">
        <f>IF(Sheet1!O327&gt;7,"Yes","No")</f>
        <v>No</v>
      </c>
    </row>
    <row r="328" spans="5:16">
      <c r="E328" s="13" t="str">
        <v>815</v>
      </c>
      <c r="F328" s="13" t="str">
        <v>1168</v>
      </c>
      <c r="G328" s="13" t="str">
        <v>11</v>
      </c>
      <c r="H328" s="13" t="str">
        <f>_xlfn.CONCAT(Sheet1!A328," --&gt; ",Sheet1!J328)</f>
        <v>815-11-1168 --&gt; 523.845</v>
      </c>
      <c r="I328" s="13" t="str">
        <f>_xlfn.CONCAT(Sheet1!C328,"_",TEXT(Sheet1!K328, "m/d/yyyy"))</f>
        <v>Yangon_3/9/2019</v>
      </c>
      <c r="J328" s="13" t="str">
        <f>IF(Sheet1!I328=Sheet1!N328*0.05,"Valid","Error")</f>
        <v>Valid</v>
      </c>
      <c r="K328" s="13" t="str">
        <f>IF(Sheet1!N328=Sheet1!G328*Sheet1!H328,"True","False")</f>
        <v>True</v>
      </c>
      <c r="L328" s="13" t="b">
        <v>1</v>
      </c>
      <c r="M328" s="9" t="b">
        <f>ISNUMBER(Sheet1!J328)</f>
        <v>1</v>
      </c>
      <c r="N328" s="13" t="str">
        <f>IF(Sheet1!B328="A","Branch A",IF(Sheet1!B328="B","Branch B","Other Branch"))</f>
        <v>Branch A</v>
      </c>
      <c r="O328" s="13" t="str">
        <f>IF(Sheet1!M328="Credit card","Credit Payment","Other")</f>
        <v>Other</v>
      </c>
      <c r="P328" s="13" t="str">
        <f>IF(Sheet1!O328&gt;7,"Yes","No")</f>
        <v>No</v>
      </c>
    </row>
    <row r="329" spans="5:16">
      <c r="E329" s="13" t="str">
        <v>719</v>
      </c>
      <c r="F329" s="13" t="str">
        <v>3868</v>
      </c>
      <c r="G329" s="13" t="str">
        <v>76</v>
      </c>
      <c r="H329" s="13" t="str">
        <f>_xlfn.CONCAT(Sheet1!A329," --&gt; ",Sheet1!J329)</f>
        <v>719-76-3868 --&gt; 395.892</v>
      </c>
      <c r="I329" s="13" t="str">
        <f>_xlfn.CONCAT(Sheet1!C329,"_",TEXT(Sheet1!K329, "m/d/yyyy"))</f>
        <v>Naypyitaw_3/12/2019</v>
      </c>
      <c r="J329" s="13" t="str">
        <f>IF(Sheet1!I329=Sheet1!N329*0.05,"Valid","Error")</f>
        <v>Valid</v>
      </c>
      <c r="K329" s="13" t="str">
        <f>IF(Sheet1!N329=Sheet1!G329*Sheet1!H329,"True","False")</f>
        <v>True</v>
      </c>
      <c r="L329" s="13" t="b">
        <v>1</v>
      </c>
      <c r="M329" s="9" t="b">
        <f>ISNUMBER(Sheet1!J329)</f>
        <v>1</v>
      </c>
      <c r="N329" s="13" t="str">
        <f>IF(Sheet1!B329="A","Branch A",IF(Sheet1!B329="B","Branch B","Other Branch"))</f>
        <v>Other Branch</v>
      </c>
      <c r="O329" s="13" t="str">
        <f>IF(Sheet1!M329="Credit card","Credit Payment","Other")</f>
        <v>Other</v>
      </c>
      <c r="P329" s="13" t="str">
        <f>IF(Sheet1!O329&gt;7,"Yes","No")</f>
        <v>Yes</v>
      </c>
    </row>
    <row r="330" spans="5:16">
      <c r="E330" s="13" t="str">
        <v>730</v>
      </c>
      <c r="F330" s="13" t="str">
        <v>8757</v>
      </c>
      <c r="G330" s="13" t="str">
        <v>61</v>
      </c>
      <c r="H330" s="13" t="str">
        <f>_xlfn.CONCAT(Sheet1!A330," --&gt; ",Sheet1!J330)</f>
        <v>730-61-8757 --&gt; 214.746</v>
      </c>
      <c r="I330" s="13" t="str">
        <f>_xlfn.CONCAT(Sheet1!C330,"_",TEXT(Sheet1!K330, "m/d/yyyy"))</f>
        <v>Mandalay_1/25/2019</v>
      </c>
      <c r="J330" s="13" t="str">
        <f>IF(Sheet1!I330=Sheet1!N330*0.05,"Valid","Error")</f>
        <v>Valid</v>
      </c>
      <c r="K330" s="13" t="str">
        <f>IF(Sheet1!N330=Sheet1!G330*Sheet1!H330,"True","False")</f>
        <v>True</v>
      </c>
      <c r="L330" s="13" t="b">
        <v>1</v>
      </c>
      <c r="M330" s="9" t="b">
        <f>ISNUMBER(Sheet1!J330)</f>
        <v>1</v>
      </c>
      <c r="N330" s="13" t="str">
        <f>IF(Sheet1!B330="A","Branch A",IF(Sheet1!B330="B","Branch B","Other Branch"))</f>
        <v>Branch B</v>
      </c>
      <c r="O330" s="13" t="str">
        <f>IF(Sheet1!M330="Credit card","Credit Payment","Other")</f>
        <v>Credit Payment</v>
      </c>
      <c r="P330" s="13" t="str">
        <f>IF(Sheet1!O330&gt;7,"Yes","No")</f>
        <v>No</v>
      </c>
    </row>
    <row r="331" spans="5:16">
      <c r="E331" s="13" t="str">
        <v>340</v>
      </c>
      <c r="F331" s="13" t="str">
        <v>0321</v>
      </c>
      <c r="G331" s="13" t="str">
        <v>66</v>
      </c>
      <c r="H331" s="13" t="str">
        <f>_xlfn.CONCAT(Sheet1!A331," --&gt; ",Sheet1!J331)</f>
        <v>340-66-0321 --&gt; 152.712</v>
      </c>
      <c r="I331" s="13" t="str">
        <f>_xlfn.CONCAT(Sheet1!C331,"_",TEXT(Sheet1!K331, "m/d/yyyy"))</f>
        <v>Yangon_3/25/2019</v>
      </c>
      <c r="J331" s="13" t="str">
        <f>IF(Sheet1!I331=Sheet1!N331*0.05,"Valid","Error")</f>
        <v>Valid</v>
      </c>
      <c r="K331" s="13" t="str">
        <f>IF(Sheet1!N331=Sheet1!G331*Sheet1!H331,"True","False")</f>
        <v>True</v>
      </c>
      <c r="L331" s="13" t="b">
        <v>1</v>
      </c>
      <c r="M331" s="9" t="b">
        <f>ISNUMBER(Sheet1!J331)</f>
        <v>1</v>
      </c>
      <c r="N331" s="13" t="str">
        <f>IF(Sheet1!B331="A","Branch A",IF(Sheet1!B331="B","Branch B","Other Branch"))</f>
        <v>Branch A</v>
      </c>
      <c r="O331" s="13" t="str">
        <f>IF(Sheet1!M331="Credit card","Credit Payment","Other")</f>
        <v>Other</v>
      </c>
      <c r="P331" s="13" t="str">
        <f>IF(Sheet1!O331&gt;7,"Yes","No")</f>
        <v>Yes</v>
      </c>
    </row>
    <row r="332" spans="5:16">
      <c r="E332" s="13" t="str">
        <v>868</v>
      </c>
      <c r="F332" s="13" t="str">
        <v>1752</v>
      </c>
      <c r="G332" s="13" t="str">
        <v>81</v>
      </c>
      <c r="H332" s="13" t="str">
        <f>_xlfn.CONCAT(Sheet1!A332," --&gt; ",Sheet1!J332)</f>
        <v>868-81-1752 --&gt; 208.089</v>
      </c>
      <c r="I332" s="13" t="str">
        <f>_xlfn.CONCAT(Sheet1!C332,"_",TEXT(Sheet1!K332, "m/d/yyyy"))</f>
        <v>Mandalay_2/7/2019</v>
      </c>
      <c r="J332" s="13" t="str">
        <f>IF(Sheet1!I332=Sheet1!N332*0.05,"Valid","Error")</f>
        <v>Valid</v>
      </c>
      <c r="K332" s="13" t="str">
        <f>IF(Sheet1!N332=Sheet1!G332*Sheet1!H332,"True","False")</f>
        <v>True</v>
      </c>
      <c r="L332" s="13" t="b">
        <v>1</v>
      </c>
      <c r="M332" s="9" t="b">
        <f>ISNUMBER(Sheet1!J332)</f>
        <v>1</v>
      </c>
      <c r="N332" s="13" t="str">
        <f>IF(Sheet1!B332="A","Branch A",IF(Sheet1!B332="B","Branch B","Other Branch"))</f>
        <v>Branch B</v>
      </c>
      <c r="O332" s="13" t="str">
        <f>IF(Sheet1!M332="Credit card","Credit Payment","Other")</f>
        <v>Other</v>
      </c>
      <c r="P332" s="13" t="str">
        <f>IF(Sheet1!O332&gt;7,"Yes","No")</f>
        <v>No</v>
      </c>
    </row>
    <row r="333" spans="5:16">
      <c r="E333" s="13" t="str">
        <v>634</v>
      </c>
      <c r="F333" s="13" t="str">
        <v>8956</v>
      </c>
      <c r="G333" s="13" t="str">
        <v>97</v>
      </c>
      <c r="H333" s="13" t="str">
        <f>_xlfn.CONCAT(Sheet1!A333," --&gt; ",Sheet1!J333)</f>
        <v>634-97-8956 --&gt; 103.635</v>
      </c>
      <c r="I333" s="13" t="str">
        <f>_xlfn.CONCAT(Sheet1!C333,"_",TEXT(Sheet1!K333, "m/d/yyyy"))</f>
        <v>Yangon_2/17/2019</v>
      </c>
      <c r="J333" s="13" t="str">
        <f>IF(Sheet1!I333=Sheet1!N333*0.05,"Valid","Error")</f>
        <v>Valid</v>
      </c>
      <c r="K333" s="13" t="str">
        <f>IF(Sheet1!N333=Sheet1!G333*Sheet1!H333,"True","False")</f>
        <v>True</v>
      </c>
      <c r="L333" s="13" t="b">
        <v>1</v>
      </c>
      <c r="M333" s="9" t="b">
        <f>ISNUMBER(Sheet1!J333)</f>
        <v>1</v>
      </c>
      <c r="N333" s="13" t="str">
        <f>IF(Sheet1!B333="A","Branch A",IF(Sheet1!B333="B","Branch B","Other Branch"))</f>
        <v>Branch A</v>
      </c>
      <c r="O333" s="13" t="str">
        <f>IF(Sheet1!M333="Credit card","Credit Payment","Other")</f>
        <v>Credit Payment</v>
      </c>
      <c r="P333" s="13" t="str">
        <f>IF(Sheet1!O333&gt;7,"Yes","No")</f>
        <v>Yes</v>
      </c>
    </row>
    <row r="334" spans="5:16">
      <c r="E334" s="13" t="str">
        <v>566</v>
      </c>
      <c r="F334" s="13" t="str">
        <v>1091</v>
      </c>
      <c r="G334" s="13" t="str">
        <v>71</v>
      </c>
      <c r="H334" s="13" t="str">
        <f>_xlfn.CONCAT(Sheet1!A334," --&gt; ",Sheet1!J334)</f>
        <v>566-71-1091 --&gt; 404.355</v>
      </c>
      <c r="I334" s="13" t="str">
        <f>_xlfn.CONCAT(Sheet1!C334,"_",TEXT(Sheet1!K334, "m/d/yyyy"))</f>
        <v>Yangon_2/3/2019</v>
      </c>
      <c r="J334" s="13" t="str">
        <f>IF(Sheet1!I334=Sheet1!N334*0.05,"Valid","Error")</f>
        <v>Valid</v>
      </c>
      <c r="K334" s="13" t="str">
        <f>IF(Sheet1!N334=Sheet1!G334*Sheet1!H334,"True","False")</f>
        <v>True</v>
      </c>
      <c r="L334" s="13" t="b">
        <v>1</v>
      </c>
      <c r="M334" s="9" t="b">
        <f>ISNUMBER(Sheet1!J334)</f>
        <v>1</v>
      </c>
      <c r="N334" s="13" t="str">
        <f>IF(Sheet1!B334="A","Branch A",IF(Sheet1!B334="B","Branch B","Other Branch"))</f>
        <v>Branch A</v>
      </c>
      <c r="O334" s="13" t="str">
        <f>IF(Sheet1!M334="Credit card","Credit Payment","Other")</f>
        <v>Other</v>
      </c>
      <c r="P334" s="13" t="str">
        <f>IF(Sheet1!O334&gt;7,"Yes","No")</f>
        <v>No</v>
      </c>
    </row>
    <row r="335" spans="5:16">
      <c r="E335" s="13" t="str">
        <v>442</v>
      </c>
      <c r="F335" s="13" t="str">
        <v>3607</v>
      </c>
      <c r="G335" s="13" t="str">
        <v>48</v>
      </c>
      <c r="H335" s="13" t="str">
        <f>_xlfn.CONCAT(Sheet1!A335," --&gt; ",Sheet1!J335)</f>
        <v>442-48-3607 --&gt; 49.308</v>
      </c>
      <c r="I335" s="13" t="str">
        <f>_xlfn.CONCAT(Sheet1!C335,"_",TEXT(Sheet1!K335, "m/d/yyyy"))</f>
        <v>Yangon_3/14/2019</v>
      </c>
      <c r="J335" s="13" t="str">
        <f>IF(Sheet1!I335=Sheet1!N335*0.05,"Valid","Error")</f>
        <v>Valid</v>
      </c>
      <c r="K335" s="13" t="str">
        <f>IF(Sheet1!N335=Sheet1!G335*Sheet1!H335,"True","False")</f>
        <v>True</v>
      </c>
      <c r="L335" s="13" t="b">
        <v>1</v>
      </c>
      <c r="M335" s="9" t="b">
        <f>ISNUMBER(Sheet1!J335)</f>
        <v>1</v>
      </c>
      <c r="N335" s="13" t="str">
        <f>IF(Sheet1!B335="A","Branch A",IF(Sheet1!B335="B","Branch B","Other Branch"))</f>
        <v>Branch A</v>
      </c>
      <c r="O335" s="13" t="str">
        <f>IF(Sheet1!M335="Credit card","Credit Payment","Other")</f>
        <v>Credit Payment</v>
      </c>
      <c r="P335" s="13" t="str">
        <f>IF(Sheet1!O335&gt;7,"Yes","No")</f>
        <v>Yes</v>
      </c>
    </row>
    <row r="336" spans="5:16">
      <c r="E336" s="13" t="str">
        <v>835</v>
      </c>
      <c r="F336" s="13" t="str">
        <v>0096</v>
      </c>
      <c r="G336" s="13" t="str">
        <v>16</v>
      </c>
      <c r="H336" s="13" t="str">
        <f>_xlfn.CONCAT(Sheet1!A336," --&gt; ",Sheet1!J336)</f>
        <v>835-16-0096 --&gt; 77.175</v>
      </c>
      <c r="I336" s="13" t="str">
        <f>_xlfn.CONCAT(Sheet1!C336,"_",TEXT(Sheet1!K336, "m/d/yyyy"))</f>
        <v>Naypyitaw_3/24/2019</v>
      </c>
      <c r="J336" s="13" t="str">
        <f>IF(Sheet1!I336=Sheet1!N336*0.05,"Valid","Error")</f>
        <v>Valid</v>
      </c>
      <c r="K336" s="13" t="str">
        <f>IF(Sheet1!N336=Sheet1!G336*Sheet1!H336,"True","False")</f>
        <v>True</v>
      </c>
      <c r="L336" s="13" t="b">
        <v>1</v>
      </c>
      <c r="M336" s="9" t="b">
        <f>ISNUMBER(Sheet1!J336)</f>
        <v>1</v>
      </c>
      <c r="N336" s="13" t="str">
        <f>IF(Sheet1!B336="A","Branch A",IF(Sheet1!B336="B","Branch B","Other Branch"))</f>
        <v>Other Branch</v>
      </c>
      <c r="O336" s="13" t="str">
        <f>IF(Sheet1!M336="Credit card","Credit Payment","Other")</f>
        <v>Other</v>
      </c>
      <c r="P336" s="13" t="str">
        <f>IF(Sheet1!O336&gt;7,"Yes","No")</f>
        <v>Yes</v>
      </c>
    </row>
    <row r="337" spans="5:16">
      <c r="E337" s="13" t="str">
        <v>527</v>
      </c>
      <c r="F337" s="13" t="str">
        <v>6272</v>
      </c>
      <c r="G337" s="13" t="str">
        <v>09</v>
      </c>
      <c r="H337" s="13" t="str">
        <f>_xlfn.CONCAT(Sheet1!A337," --&gt; ",Sheet1!J337)</f>
        <v>527-09-6272 --&gt; 149.3625</v>
      </c>
      <c r="I337" s="13" t="str">
        <f>_xlfn.CONCAT(Sheet1!C337,"_",TEXT(Sheet1!K337, "m/d/yyyy"))</f>
        <v>Yangon_3/21/2019</v>
      </c>
      <c r="J337" s="13" t="str">
        <f>IF(Sheet1!I337=Sheet1!N337*0.05,"Valid","Error")</f>
        <v>Valid</v>
      </c>
      <c r="K337" s="13" t="str">
        <f>IF(Sheet1!N337=Sheet1!G337*Sheet1!H337,"True","False")</f>
        <v>True</v>
      </c>
      <c r="L337" s="13" t="b">
        <v>1</v>
      </c>
      <c r="M337" s="9" t="b">
        <f>ISNUMBER(Sheet1!J337)</f>
        <v>1</v>
      </c>
      <c r="N337" s="13" t="str">
        <f>IF(Sheet1!B337="A","Branch A",IF(Sheet1!B337="B","Branch B","Other Branch"))</f>
        <v>Branch A</v>
      </c>
      <c r="O337" s="13" t="str">
        <f>IF(Sheet1!M337="Credit card","Credit Payment","Other")</f>
        <v>Credit Payment</v>
      </c>
      <c r="P337" s="13" t="str">
        <f>IF(Sheet1!O337&gt;7,"Yes","No")</f>
        <v>Yes</v>
      </c>
    </row>
    <row r="338" spans="5:16">
      <c r="E338" s="13" t="str">
        <v>898</v>
      </c>
      <c r="F338" s="13" t="str">
        <v>2717</v>
      </c>
      <c r="G338" s="13" t="str">
        <v>04</v>
      </c>
      <c r="H338" s="13" t="str">
        <f>_xlfn.CONCAT(Sheet1!A338," --&gt; ",Sheet1!J338)</f>
        <v>898-04-2717 --&gt; 721.98</v>
      </c>
      <c r="I338" s="13" t="str">
        <f>_xlfn.CONCAT(Sheet1!C338,"_",TEXT(Sheet1!K338, "m/d/yyyy"))</f>
        <v>Yangon_3/19/2019</v>
      </c>
      <c r="J338" s="13" t="str">
        <f>IF(Sheet1!I338=Sheet1!N338*0.05,"Valid","Error")</f>
        <v>Valid</v>
      </c>
      <c r="K338" s="13" t="str">
        <f>IF(Sheet1!N338=Sheet1!G338*Sheet1!H338,"True","False")</f>
        <v>True</v>
      </c>
      <c r="L338" s="13" t="b">
        <v>1</v>
      </c>
      <c r="M338" s="9" t="b">
        <f>ISNUMBER(Sheet1!J338)</f>
        <v>1</v>
      </c>
      <c r="N338" s="13" t="str">
        <f>IF(Sheet1!B338="A","Branch A",IF(Sheet1!B338="B","Branch B","Other Branch"))</f>
        <v>Branch A</v>
      </c>
      <c r="O338" s="13" t="str">
        <f>IF(Sheet1!M338="Credit card","Credit Payment","Other")</f>
        <v>Other</v>
      </c>
      <c r="P338" s="13" t="str">
        <f>IF(Sheet1!O338&gt;7,"Yes","No")</f>
        <v>Yes</v>
      </c>
    </row>
    <row r="339" spans="5:16">
      <c r="E339" s="13" t="str">
        <v>692</v>
      </c>
      <c r="F339" s="13" t="str">
        <v>8933</v>
      </c>
      <c r="G339" s="13" t="str">
        <v>27</v>
      </c>
      <c r="H339" s="13" t="str">
        <f>_xlfn.CONCAT(Sheet1!A339," --&gt; ",Sheet1!J339)</f>
        <v>692-27-8933 --&gt; 365.085</v>
      </c>
      <c r="I339" s="13" t="str">
        <f>_xlfn.CONCAT(Sheet1!C339,"_",TEXT(Sheet1!K339, "m/d/yyyy"))</f>
        <v>Mandalay_2/24/2019</v>
      </c>
      <c r="J339" s="13" t="str">
        <f>IF(Sheet1!I339=Sheet1!N339*0.05,"Valid","Error")</f>
        <v>Valid</v>
      </c>
      <c r="K339" s="13" t="str">
        <f>IF(Sheet1!N339=Sheet1!G339*Sheet1!H339,"True","False")</f>
        <v>True</v>
      </c>
      <c r="L339" s="13" t="b">
        <v>1</v>
      </c>
      <c r="M339" s="9" t="b">
        <f>ISNUMBER(Sheet1!J339)</f>
        <v>1</v>
      </c>
      <c r="N339" s="13" t="str">
        <f>IF(Sheet1!B339="A","Branch A",IF(Sheet1!B339="B","Branch B","Other Branch"))</f>
        <v>Branch B</v>
      </c>
      <c r="O339" s="13" t="str">
        <f>IF(Sheet1!M339="Credit card","Credit Payment","Other")</f>
        <v>Other</v>
      </c>
      <c r="P339" s="13" t="str">
        <f>IF(Sheet1!O339&gt;7,"Yes","No")</f>
        <v>No</v>
      </c>
    </row>
    <row r="340" spans="5:16">
      <c r="E340" s="13" t="str">
        <v>633</v>
      </c>
      <c r="F340" s="13" t="str">
        <v>3463</v>
      </c>
      <c r="G340" s="13" t="str">
        <v>09</v>
      </c>
      <c r="H340" s="13" t="str">
        <f>_xlfn.CONCAT(Sheet1!A340," --&gt; ",Sheet1!J340)</f>
        <v>633-09-3463 --&gt; 150.0975</v>
      </c>
      <c r="I340" s="13" t="str">
        <f>_xlfn.CONCAT(Sheet1!C340,"_",TEXT(Sheet1!K340, "m/d/yyyy"))</f>
        <v>Naypyitaw_3/28/2019</v>
      </c>
      <c r="J340" s="13" t="str">
        <f>IF(Sheet1!I340=Sheet1!N340*0.05,"Valid","Error")</f>
        <v>Valid</v>
      </c>
      <c r="K340" s="13" t="str">
        <f>IF(Sheet1!N340=Sheet1!G340*Sheet1!H340,"True","False")</f>
        <v>True</v>
      </c>
      <c r="L340" s="13" t="b">
        <v>1</v>
      </c>
      <c r="M340" s="9" t="b">
        <f>ISNUMBER(Sheet1!J340)</f>
        <v>1</v>
      </c>
      <c r="N340" s="13" t="str">
        <f>IF(Sheet1!B340="A","Branch A",IF(Sheet1!B340="B","Branch B","Other Branch"))</f>
        <v>Other Branch</v>
      </c>
      <c r="O340" s="13" t="str">
        <f>IF(Sheet1!M340="Credit card","Credit Payment","Other")</f>
        <v>Credit Payment</v>
      </c>
      <c r="P340" s="13" t="str">
        <f>IF(Sheet1!O340&gt;7,"Yes","No")</f>
        <v>Yes</v>
      </c>
    </row>
    <row r="341" spans="5:16">
      <c r="E341" s="13" t="str">
        <v>374</v>
      </c>
      <c r="F341" s="13" t="str">
        <v>3652</v>
      </c>
      <c r="G341" s="13" t="str">
        <v>17</v>
      </c>
      <c r="H341" s="13" t="str">
        <f>_xlfn.CONCAT(Sheet1!A341," --&gt; ",Sheet1!J341)</f>
        <v>374-17-3652 --&gt; 404.649</v>
      </c>
      <c r="I341" s="13" t="str">
        <f>_xlfn.CONCAT(Sheet1!C341,"_",TEXT(Sheet1!K341, "m/d/yyyy"))</f>
        <v>Mandalay_2/5/2019</v>
      </c>
      <c r="J341" s="13" t="str">
        <f>IF(Sheet1!I341=Sheet1!N341*0.05,"Valid","Error")</f>
        <v>Valid</v>
      </c>
      <c r="K341" s="13" t="str">
        <f>IF(Sheet1!N341=Sheet1!G341*Sheet1!H341,"True","False")</f>
        <v>True</v>
      </c>
      <c r="L341" s="13" t="b">
        <v>1</v>
      </c>
      <c r="M341" s="9" t="b">
        <f>ISNUMBER(Sheet1!J341)</f>
        <v>1</v>
      </c>
      <c r="N341" s="13" t="str">
        <f>IF(Sheet1!B341="A","Branch A",IF(Sheet1!B341="B","Branch B","Other Branch"))</f>
        <v>Branch B</v>
      </c>
      <c r="O341" s="13" t="str">
        <f>IF(Sheet1!M341="Credit card","Credit Payment","Other")</f>
        <v>Credit Payment</v>
      </c>
      <c r="P341" s="13" t="str">
        <f>IF(Sheet1!O341&gt;7,"Yes","No")</f>
        <v>Yes</v>
      </c>
    </row>
    <row r="342" spans="5:16">
      <c r="E342" s="13" t="str">
        <v>378</v>
      </c>
      <c r="F342" s="13" t="str">
        <v>7001</v>
      </c>
      <c r="G342" s="13" t="str">
        <v>07</v>
      </c>
      <c r="H342" s="13" t="str">
        <f>_xlfn.CONCAT(Sheet1!A342," --&gt; ",Sheet1!J342)</f>
        <v>378-07-7001 --&gt; 151.4835</v>
      </c>
      <c r="I342" s="13" t="str">
        <f>_xlfn.CONCAT(Sheet1!C342,"_",TEXT(Sheet1!K342, "m/d/yyyy"))</f>
        <v>Mandalay_2/10/2019</v>
      </c>
      <c r="J342" s="13" t="str">
        <f>IF(Sheet1!I342=Sheet1!N342*0.05,"Valid","Error")</f>
        <v>Valid</v>
      </c>
      <c r="K342" s="13" t="str">
        <f>IF(Sheet1!N342=Sheet1!G342*Sheet1!H342,"True","False")</f>
        <v>True</v>
      </c>
      <c r="L342" s="13" t="b">
        <v>1</v>
      </c>
      <c r="M342" s="9" t="b">
        <f>ISNUMBER(Sheet1!J342)</f>
        <v>1</v>
      </c>
      <c r="N342" s="13" t="str">
        <f>IF(Sheet1!B342="A","Branch A",IF(Sheet1!B342="B","Branch B","Other Branch"))</f>
        <v>Branch B</v>
      </c>
      <c r="O342" s="13" t="str">
        <f>IF(Sheet1!M342="Credit card","Credit Payment","Other")</f>
        <v>Credit Payment</v>
      </c>
      <c r="P342" s="13" t="str">
        <f>IF(Sheet1!O342&gt;7,"Yes","No")</f>
        <v>Yes</v>
      </c>
    </row>
    <row r="343" spans="5:16">
      <c r="E343" s="13" t="str">
        <v>433</v>
      </c>
      <c r="F343" s="13" t="str">
        <v>6987</v>
      </c>
      <c r="G343" s="13" t="str">
        <v>75</v>
      </c>
      <c r="H343" s="13" t="str">
        <f>_xlfn.CONCAT(Sheet1!A343," --&gt; ",Sheet1!J343)</f>
        <v>433-75-6987 --&gt; 411.3795</v>
      </c>
      <c r="I343" s="13" t="str">
        <f>_xlfn.CONCAT(Sheet1!C343,"_",TEXT(Sheet1!K343, "m/d/yyyy"))</f>
        <v>Mandalay_3/5/2019</v>
      </c>
      <c r="J343" s="13" t="str">
        <f>IF(Sheet1!I343=Sheet1!N343*0.05,"Valid","Error")</f>
        <v>Valid</v>
      </c>
      <c r="K343" s="13" t="str">
        <f>IF(Sheet1!N343=Sheet1!G343*Sheet1!H343,"True","False")</f>
        <v>True</v>
      </c>
      <c r="L343" s="13" t="b">
        <v>1</v>
      </c>
      <c r="M343" s="9" t="b">
        <f>ISNUMBER(Sheet1!J343)</f>
        <v>1</v>
      </c>
      <c r="N343" s="13" t="str">
        <f>IF(Sheet1!B343="A","Branch A",IF(Sheet1!B343="B","Branch B","Other Branch"))</f>
        <v>Branch B</v>
      </c>
      <c r="O343" s="13" t="str">
        <f>IF(Sheet1!M343="Credit card","Credit Payment","Other")</f>
        <v>Other</v>
      </c>
      <c r="P343" s="13" t="str">
        <f>IF(Sheet1!O343&gt;7,"Yes","No")</f>
        <v>Yes</v>
      </c>
    </row>
    <row r="344" spans="5:16">
      <c r="E344" s="13" t="str">
        <v>873</v>
      </c>
      <c r="F344" s="13" t="str">
        <v>4984</v>
      </c>
      <c r="G344" s="13" t="str">
        <v>95</v>
      </c>
      <c r="H344" s="13" t="str">
        <f>_xlfn.CONCAT(Sheet1!A344," --&gt; ",Sheet1!J344)</f>
        <v>873-95-4984 --&gt; 565.215</v>
      </c>
      <c r="I344" s="13" t="str">
        <f>_xlfn.CONCAT(Sheet1!C344,"_",TEXT(Sheet1!K344, "m/d/yyyy"))</f>
        <v>Mandalay_2/15/2019</v>
      </c>
      <c r="J344" s="13" t="str">
        <f>IF(Sheet1!I344=Sheet1!N344*0.05,"Valid","Error")</f>
        <v>Valid</v>
      </c>
      <c r="K344" s="13" t="str">
        <f>IF(Sheet1!N344=Sheet1!G344*Sheet1!H344,"True","False")</f>
        <v>True</v>
      </c>
      <c r="L344" s="13" t="b">
        <v>1</v>
      </c>
      <c r="M344" s="9" t="b">
        <f>ISNUMBER(Sheet1!J344)</f>
        <v>1</v>
      </c>
      <c r="N344" s="13" t="str">
        <f>IF(Sheet1!B344="A","Branch A",IF(Sheet1!B344="B","Branch B","Other Branch"))</f>
        <v>Branch B</v>
      </c>
      <c r="O344" s="13" t="str">
        <f>IF(Sheet1!M344="Credit card","Credit Payment","Other")</f>
        <v>Other</v>
      </c>
      <c r="P344" s="13" t="str">
        <f>IF(Sheet1!O344&gt;7,"Yes","No")</f>
        <v>Yes</v>
      </c>
    </row>
    <row r="345" spans="5:16">
      <c r="E345" s="13" t="str">
        <v>416</v>
      </c>
      <c r="F345" s="13" t="str">
        <v>5917</v>
      </c>
      <c r="G345" s="13" t="str">
        <v>13</v>
      </c>
      <c r="H345" s="13" t="str">
        <f>_xlfn.CONCAT(Sheet1!A345," --&gt; ",Sheet1!J345)</f>
        <v>416-13-5917 --&gt; 509.4075</v>
      </c>
      <c r="I345" s="13" t="str">
        <f>_xlfn.CONCAT(Sheet1!C345,"_",TEXT(Sheet1!K345, "m/d/yyyy"))</f>
        <v>Naypyitaw_1/30/2019</v>
      </c>
      <c r="J345" s="13" t="str">
        <f>IF(Sheet1!I345=Sheet1!N345*0.05,"Valid","Error")</f>
        <v>Valid</v>
      </c>
      <c r="K345" s="13" t="str">
        <f>IF(Sheet1!N345=Sheet1!G345*Sheet1!H345,"True","False")</f>
        <v>True</v>
      </c>
      <c r="L345" s="13" t="b">
        <v>1</v>
      </c>
      <c r="M345" s="9" t="b">
        <f>ISNUMBER(Sheet1!J345)</f>
        <v>1</v>
      </c>
      <c r="N345" s="13" t="str">
        <f>IF(Sheet1!B345="A","Branch A",IF(Sheet1!B345="B","Branch B","Other Branch"))</f>
        <v>Other Branch</v>
      </c>
      <c r="O345" s="13" t="str">
        <f>IF(Sheet1!M345="Credit card","Credit Payment","Other")</f>
        <v>Other</v>
      </c>
      <c r="P345" s="13" t="str">
        <f>IF(Sheet1!O345&gt;7,"Yes","No")</f>
        <v>Yes</v>
      </c>
    </row>
    <row r="346" spans="5:16">
      <c r="E346" s="13" t="str">
        <v>150</v>
      </c>
      <c r="F346" s="13" t="str">
        <v>8043</v>
      </c>
      <c r="G346" s="13" t="str">
        <v>89</v>
      </c>
      <c r="H346" s="13" t="str">
        <f>_xlfn.CONCAT(Sheet1!A346," --&gt; ",Sheet1!J346)</f>
        <v>150-89-8043 --&gt; 140.6475</v>
      </c>
      <c r="I346" s="13" t="str">
        <f>_xlfn.CONCAT(Sheet1!C346,"_",TEXT(Sheet1!K346, "m/d/yyyy"))</f>
        <v>Yangon_2/14/2019</v>
      </c>
      <c r="J346" s="13" t="str">
        <f>IF(Sheet1!I346=Sheet1!N346*0.05,"Valid","Error")</f>
        <v>Valid</v>
      </c>
      <c r="K346" s="13" t="str">
        <f>IF(Sheet1!N346=Sheet1!G346*Sheet1!H346,"True","False")</f>
        <v>True</v>
      </c>
      <c r="L346" s="13" t="b">
        <v>1</v>
      </c>
      <c r="M346" s="9" t="b">
        <f>ISNUMBER(Sheet1!J346)</f>
        <v>1</v>
      </c>
      <c r="N346" s="13" t="str">
        <f>IF(Sheet1!B346="A","Branch A",IF(Sheet1!B346="B","Branch B","Other Branch"))</f>
        <v>Branch A</v>
      </c>
      <c r="O346" s="13" t="str">
        <f>IF(Sheet1!M346="Credit card","Credit Payment","Other")</f>
        <v>Other</v>
      </c>
      <c r="P346" s="13" t="str">
        <f>IF(Sheet1!O346&gt;7,"Yes","No")</f>
        <v>No</v>
      </c>
    </row>
    <row r="347" spans="5:16">
      <c r="E347" s="13" t="str">
        <v>135</v>
      </c>
      <c r="F347" s="13" t="str">
        <v>8019</v>
      </c>
      <c r="G347" s="13" t="str">
        <v>84</v>
      </c>
      <c r="H347" s="13" t="str">
        <f>_xlfn.CONCAT(Sheet1!A347," --&gt; ",Sheet1!J347)</f>
        <v>135-84-8019 --&gt; 736.4385</v>
      </c>
      <c r="I347" s="13" t="str">
        <f>_xlfn.CONCAT(Sheet1!C347,"_",TEXT(Sheet1!K347, "m/d/yyyy"))</f>
        <v>Yangon_2/27/2019</v>
      </c>
      <c r="J347" s="13" t="str">
        <f>IF(Sheet1!I347=Sheet1!N347*0.05,"Valid","Error")</f>
        <v>Valid</v>
      </c>
      <c r="K347" s="13" t="str">
        <f>IF(Sheet1!N347=Sheet1!G347*Sheet1!H347,"True","False")</f>
        <v>True</v>
      </c>
      <c r="L347" s="13" t="b">
        <v>1</v>
      </c>
      <c r="M347" s="9" t="b">
        <f>ISNUMBER(Sheet1!J347)</f>
        <v>1</v>
      </c>
      <c r="N347" s="13" t="str">
        <f>IF(Sheet1!B347="A","Branch A",IF(Sheet1!B347="B","Branch B","Other Branch"))</f>
        <v>Branch A</v>
      </c>
      <c r="O347" s="13" t="str">
        <f>IF(Sheet1!M347="Credit card","Credit Payment","Other")</f>
        <v>Other</v>
      </c>
      <c r="P347" s="13" t="str">
        <f>IF(Sheet1!O347&gt;7,"Yes","No")</f>
        <v>Yes</v>
      </c>
    </row>
    <row r="348" spans="5:16">
      <c r="E348" s="13" t="str">
        <v>441</v>
      </c>
      <c r="F348" s="13" t="str">
        <v>7118</v>
      </c>
      <c r="G348" s="13" t="str">
        <v>94</v>
      </c>
      <c r="H348" s="13" t="str">
        <f>_xlfn.CONCAT(Sheet1!A348," --&gt; ",Sheet1!J348)</f>
        <v>441-94-7118 --&gt; 75.5475</v>
      </c>
      <c r="I348" s="13" t="str">
        <f>_xlfn.CONCAT(Sheet1!C348,"_",TEXT(Sheet1!K348, "m/d/yyyy"))</f>
        <v>Yangon_2/4/2019</v>
      </c>
      <c r="J348" s="13" t="str">
        <f>IF(Sheet1!I348=Sheet1!N348*0.05,"Valid","Error")</f>
        <v>Valid</v>
      </c>
      <c r="K348" s="13" t="str">
        <f>IF(Sheet1!N348=Sheet1!G348*Sheet1!H348,"True","False")</f>
        <v>True</v>
      </c>
      <c r="L348" s="13" t="b">
        <v>1</v>
      </c>
      <c r="M348" s="9" t="b">
        <f>ISNUMBER(Sheet1!J348)</f>
        <v>1</v>
      </c>
      <c r="N348" s="13" t="str">
        <f>IF(Sheet1!B348="A","Branch A",IF(Sheet1!B348="B","Branch B","Other Branch"))</f>
        <v>Branch A</v>
      </c>
      <c r="O348" s="13" t="str">
        <f>IF(Sheet1!M348="Credit card","Credit Payment","Other")</f>
        <v>Other</v>
      </c>
      <c r="P348" s="13" t="str">
        <f>IF(Sheet1!O348&gt;7,"Yes","No")</f>
        <v>Yes</v>
      </c>
    </row>
    <row r="349" spans="5:16">
      <c r="E349" s="13" t="str">
        <v>725</v>
      </c>
      <c r="F349" s="13" t="str">
        <v>3778</v>
      </c>
      <c r="G349" s="13" t="str">
        <v>96</v>
      </c>
      <c r="H349" s="13" t="str">
        <f>_xlfn.CONCAT(Sheet1!A349," --&gt; ",Sheet1!J349)</f>
        <v>725-96-3778 --&gt; 749.7</v>
      </c>
      <c r="I349" s="13" t="str">
        <f>_xlfn.CONCAT(Sheet1!C349,"_",TEXT(Sheet1!K349, "m/d/yyyy"))</f>
        <v>Naypyitaw_1/20/2019</v>
      </c>
      <c r="J349" s="13" t="str">
        <f>IF(Sheet1!I349=Sheet1!N349*0.05,"Valid","Error")</f>
        <v>Valid</v>
      </c>
      <c r="K349" s="13" t="str">
        <f>IF(Sheet1!N349=Sheet1!G349*Sheet1!H349,"True","False")</f>
        <v>True</v>
      </c>
      <c r="L349" s="13" t="b">
        <v>1</v>
      </c>
      <c r="M349" s="9" t="b">
        <f>ISNUMBER(Sheet1!J349)</f>
        <v>1</v>
      </c>
      <c r="N349" s="13" t="str">
        <f>IF(Sheet1!B349="A","Branch A",IF(Sheet1!B349="B","Branch B","Other Branch"))</f>
        <v>Other Branch</v>
      </c>
      <c r="O349" s="13" t="str">
        <f>IF(Sheet1!M349="Credit card","Credit Payment","Other")</f>
        <v>Other</v>
      </c>
      <c r="P349" s="13" t="str">
        <f>IF(Sheet1!O349&gt;7,"Yes","No")</f>
        <v>No</v>
      </c>
    </row>
    <row r="350" spans="5:16">
      <c r="E350" s="13" t="str">
        <v>531</v>
      </c>
      <c r="F350" s="13" t="str">
        <v>1784</v>
      </c>
      <c r="G350" s="13" t="str">
        <v>80</v>
      </c>
      <c r="H350" s="13" t="str">
        <f>_xlfn.CONCAT(Sheet1!A350," --&gt; ",Sheet1!J350)</f>
        <v>531-80-1784 --&gt; 191.247</v>
      </c>
      <c r="I350" s="13" t="str">
        <f>_xlfn.CONCAT(Sheet1!C350,"_",TEXT(Sheet1!K350, "m/d/yyyy"))</f>
        <v>Yangon_3/28/2019</v>
      </c>
      <c r="J350" s="13" t="str">
        <f>IF(Sheet1!I350=Sheet1!N350*0.05,"Valid","Error")</f>
        <v>Valid</v>
      </c>
      <c r="K350" s="13" t="str">
        <f>IF(Sheet1!N350=Sheet1!G350*Sheet1!H350,"True","False")</f>
        <v>True</v>
      </c>
      <c r="L350" s="13" t="b">
        <v>1</v>
      </c>
      <c r="M350" s="9" t="b">
        <f>ISNUMBER(Sheet1!J350)</f>
        <v>1</v>
      </c>
      <c r="N350" s="13" t="str">
        <f>IF(Sheet1!B350="A","Branch A",IF(Sheet1!B350="B","Branch B","Other Branch"))</f>
        <v>Branch A</v>
      </c>
      <c r="O350" s="13" t="str">
        <f>IF(Sheet1!M350="Credit card","Credit Payment","Other")</f>
        <v>Other</v>
      </c>
      <c r="P350" s="13" t="str">
        <f>IF(Sheet1!O350&gt;7,"Yes","No")</f>
        <v>No</v>
      </c>
    </row>
    <row r="351" spans="5:16">
      <c r="E351" s="13" t="str">
        <v>400</v>
      </c>
      <c r="F351" s="13" t="str">
        <v>1220</v>
      </c>
      <c r="G351" s="13" t="str">
        <v>45</v>
      </c>
      <c r="H351" s="13" t="str">
        <f>_xlfn.CONCAT(Sheet1!A351," --&gt; ",Sheet1!J351)</f>
        <v>400-45-1220 --&gt; 141.75</v>
      </c>
      <c r="I351" s="13" t="str">
        <f>_xlfn.CONCAT(Sheet1!C351,"_",TEXT(Sheet1!K351, "m/d/yyyy"))</f>
        <v>Mandalay_2/27/2019</v>
      </c>
      <c r="J351" s="13" t="str">
        <f>IF(Sheet1!I351=Sheet1!N351*0.05,"Valid","Error")</f>
        <v>Valid</v>
      </c>
      <c r="K351" s="13" t="str">
        <f>IF(Sheet1!N351=Sheet1!G351*Sheet1!H351,"True","False")</f>
        <v>True</v>
      </c>
      <c r="L351" s="13" t="b">
        <v>1</v>
      </c>
      <c r="M351" s="9" t="b">
        <f>ISNUMBER(Sheet1!J351)</f>
        <v>1</v>
      </c>
      <c r="N351" s="13" t="str">
        <f>IF(Sheet1!B351="A","Branch A",IF(Sheet1!B351="B","Branch B","Other Branch"))</f>
        <v>Branch B</v>
      </c>
      <c r="O351" s="13" t="str">
        <f>IF(Sheet1!M351="Credit card","Credit Payment","Other")</f>
        <v>Credit Payment</v>
      </c>
      <c r="P351" s="13" t="str">
        <f>IF(Sheet1!O351&gt;7,"Yes","No")</f>
        <v>No</v>
      </c>
    </row>
    <row r="352" spans="5:16">
      <c r="E352" s="13" t="str">
        <v>860</v>
      </c>
      <c r="F352" s="13" t="str">
        <v>0874</v>
      </c>
      <c r="G352" s="13" t="str">
        <v>79</v>
      </c>
      <c r="H352" s="13" t="str">
        <f>_xlfn.CONCAT(Sheet1!A352," --&gt; ",Sheet1!J352)</f>
        <v>860-79-0874 --&gt; 1042.65</v>
      </c>
      <c r="I352" s="13" t="str">
        <f>_xlfn.CONCAT(Sheet1!C352,"_",TEXT(Sheet1!K352, "m/d/yyyy"))</f>
        <v>Naypyitaw_2/15/2019</v>
      </c>
      <c r="J352" s="13" t="str">
        <f>IF(Sheet1!I352=Sheet1!N352*0.05,"Valid","Error")</f>
        <v>Valid</v>
      </c>
      <c r="K352" s="13" t="str">
        <f>IF(Sheet1!N352=Sheet1!G352*Sheet1!H352,"True","False")</f>
        <v>True</v>
      </c>
      <c r="L352" s="13" t="b">
        <v>1</v>
      </c>
      <c r="M352" s="9" t="b">
        <f>ISNUMBER(Sheet1!J352)</f>
        <v>1</v>
      </c>
      <c r="N352" s="13" t="str">
        <f>IF(Sheet1!B352="A","Branch A",IF(Sheet1!B352="B","Branch B","Other Branch"))</f>
        <v>Other Branch</v>
      </c>
      <c r="O352" s="13" t="str">
        <f>IF(Sheet1!M352="Credit card","Credit Payment","Other")</f>
        <v>Credit Payment</v>
      </c>
      <c r="P352" s="13" t="str">
        <f>IF(Sheet1!O352&gt;7,"Yes","No")</f>
        <v>No</v>
      </c>
    </row>
    <row r="353" spans="5:16">
      <c r="E353" s="13" t="str">
        <v>834</v>
      </c>
      <c r="F353" s="13" t="str">
        <v>8124</v>
      </c>
      <c r="G353" s="13" t="str">
        <v>61</v>
      </c>
      <c r="H353" s="13" t="str">
        <f>_xlfn.CONCAT(Sheet1!A353," --&gt; ",Sheet1!J353)</f>
        <v>834-61-8124 --&gt; 379.9215</v>
      </c>
      <c r="I353" s="13" t="str">
        <f>_xlfn.CONCAT(Sheet1!C353,"_",TEXT(Sheet1!K353, "m/d/yyyy"))</f>
        <v>Yangon_1/26/2019</v>
      </c>
      <c r="J353" s="13" t="str">
        <f>IF(Sheet1!I353=Sheet1!N353*0.05,"Valid","Error")</f>
        <v>Valid</v>
      </c>
      <c r="K353" s="13" t="str">
        <f>IF(Sheet1!N353=Sheet1!G353*Sheet1!H353,"True","False")</f>
        <v>True</v>
      </c>
      <c r="L353" s="13" t="b">
        <v>1</v>
      </c>
      <c r="M353" s="9" t="b">
        <f>ISNUMBER(Sheet1!J353)</f>
        <v>1</v>
      </c>
      <c r="N353" s="13" t="str">
        <f>IF(Sheet1!B353="A","Branch A",IF(Sheet1!B353="B","Branch B","Other Branch"))</f>
        <v>Branch A</v>
      </c>
      <c r="O353" s="13" t="str">
        <f>IF(Sheet1!M353="Credit card","Credit Payment","Other")</f>
        <v>Other</v>
      </c>
      <c r="P353" s="13" t="str">
        <f>IF(Sheet1!O353&gt;7,"Yes","No")</f>
        <v>No</v>
      </c>
    </row>
    <row r="354" spans="5:16">
      <c r="E354" s="13" t="str">
        <v>115</v>
      </c>
      <c r="F354" s="13" t="str">
        <v>4379</v>
      </c>
      <c r="G354" s="13" t="str">
        <v>99</v>
      </c>
      <c r="H354" s="13" t="str">
        <f>_xlfn.CONCAT(Sheet1!A354," --&gt; ",Sheet1!J354)</f>
        <v>115-99-4379 --&gt; 402.2655</v>
      </c>
      <c r="I354" s="13" t="str">
        <f>_xlfn.CONCAT(Sheet1!C354,"_",TEXT(Sheet1!K354, "m/d/yyyy"))</f>
        <v>Mandalay_3/14/2019</v>
      </c>
      <c r="J354" s="13" t="str">
        <f>IF(Sheet1!I354=Sheet1!N354*0.05,"Valid","Error")</f>
        <v>Valid</v>
      </c>
      <c r="K354" s="13" t="str">
        <f>IF(Sheet1!N354=Sheet1!G354*Sheet1!H354,"True","False")</f>
        <v>True</v>
      </c>
      <c r="L354" s="13" t="b">
        <v>1</v>
      </c>
      <c r="M354" s="9" t="b">
        <f>ISNUMBER(Sheet1!J354)</f>
        <v>1</v>
      </c>
      <c r="N354" s="13" t="str">
        <f>IF(Sheet1!B354="A","Branch A",IF(Sheet1!B354="B","Branch B","Other Branch"))</f>
        <v>Branch B</v>
      </c>
      <c r="O354" s="13" t="str">
        <f>IF(Sheet1!M354="Credit card","Credit Payment","Other")</f>
        <v>Credit Payment</v>
      </c>
      <c r="P354" s="13" t="str">
        <f>IF(Sheet1!O354&gt;7,"Yes","No")</f>
        <v>Yes</v>
      </c>
    </row>
    <row r="355" spans="5:16">
      <c r="E355" s="13" t="str">
        <v>565</v>
      </c>
      <c r="F355" s="13" t="str">
        <v>6697</v>
      </c>
      <c r="G355" s="13" t="str">
        <v>67</v>
      </c>
      <c r="H355" s="13" t="str">
        <f>_xlfn.CONCAT(Sheet1!A355," --&gt; ",Sheet1!J355)</f>
        <v>565-67-6697 --&gt; 255.15</v>
      </c>
      <c r="I355" s="13" t="str">
        <f>_xlfn.CONCAT(Sheet1!C355,"_",TEXT(Sheet1!K355, "m/d/yyyy"))</f>
        <v>Mandalay_3/2/2019</v>
      </c>
      <c r="J355" s="13" t="str">
        <f>IF(Sheet1!I355=Sheet1!N355*0.05,"Valid","Error")</f>
        <v>Valid</v>
      </c>
      <c r="K355" s="13" t="str">
        <f>IF(Sheet1!N355=Sheet1!G355*Sheet1!H355,"True","False")</f>
        <v>True</v>
      </c>
      <c r="L355" s="13" t="b">
        <v>1</v>
      </c>
      <c r="M355" s="9" t="b">
        <f>ISNUMBER(Sheet1!J355)</f>
        <v>1</v>
      </c>
      <c r="N355" s="13" t="str">
        <f>IF(Sheet1!B355="A","Branch A",IF(Sheet1!B355="B","Branch B","Other Branch"))</f>
        <v>Branch B</v>
      </c>
      <c r="O355" s="13" t="str">
        <f>IF(Sheet1!M355="Credit card","Credit Payment","Other")</f>
        <v>Other</v>
      </c>
      <c r="P355" s="13" t="str">
        <f>IF(Sheet1!O355&gt;7,"Yes","No")</f>
        <v>No</v>
      </c>
    </row>
    <row r="356" spans="5:16">
      <c r="E356" s="13" t="str">
        <v>320</v>
      </c>
      <c r="F356" s="13" t="str">
        <v>6392</v>
      </c>
      <c r="G356" s="13" t="str">
        <v>49</v>
      </c>
      <c r="H356" s="13" t="str">
        <f>_xlfn.CONCAT(Sheet1!A356," --&gt; ",Sheet1!J356)</f>
        <v>320-49-6392 --&gt; 31.752</v>
      </c>
      <c r="I356" s="13" t="str">
        <f>_xlfn.CONCAT(Sheet1!C356,"_",TEXT(Sheet1!K356, "m/d/yyyy"))</f>
        <v>Naypyitaw_3/4/2019</v>
      </c>
      <c r="J356" s="13" t="str">
        <f>IF(Sheet1!I356=Sheet1!N356*0.05,"Valid","Error")</f>
        <v>Valid</v>
      </c>
      <c r="K356" s="13" t="str">
        <f>IF(Sheet1!N356=Sheet1!G356*Sheet1!H356,"True","False")</f>
        <v>True</v>
      </c>
      <c r="L356" s="13" t="b">
        <v>1</v>
      </c>
      <c r="M356" s="9" t="b">
        <f>ISNUMBER(Sheet1!J356)</f>
        <v>1</v>
      </c>
      <c r="N356" s="13" t="str">
        <f>IF(Sheet1!B356="A","Branch A",IF(Sheet1!B356="B","Branch B","Other Branch"))</f>
        <v>Other Branch</v>
      </c>
      <c r="O356" s="13" t="str">
        <f>IF(Sheet1!M356="Credit card","Credit Payment","Other")</f>
        <v>Other</v>
      </c>
      <c r="P356" s="13" t="str">
        <f>IF(Sheet1!O356&gt;7,"Yes","No")</f>
        <v>Yes</v>
      </c>
    </row>
    <row r="357" spans="5:16">
      <c r="E357" s="13" t="str">
        <v>889</v>
      </c>
      <c r="F357" s="13" t="str">
        <v>9723</v>
      </c>
      <c r="G357" s="13" t="str">
        <v>04</v>
      </c>
      <c r="H357" s="13" t="str">
        <f>_xlfn.CONCAT(Sheet1!A357," --&gt; ",Sheet1!J357)</f>
        <v>889-04-9723 --&gt; 374.388</v>
      </c>
      <c r="I357" s="13" t="str">
        <f>_xlfn.CONCAT(Sheet1!C357,"_",TEXT(Sheet1!K357, "m/d/yyyy"))</f>
        <v>Mandalay_1/7/2019</v>
      </c>
      <c r="J357" s="13" t="str">
        <f>IF(Sheet1!I357=Sheet1!N357*0.05,"Valid","Error")</f>
        <v>Valid</v>
      </c>
      <c r="K357" s="13" t="str">
        <f>IF(Sheet1!N357=Sheet1!G357*Sheet1!H357,"True","False")</f>
        <v>True</v>
      </c>
      <c r="L357" s="13" t="b">
        <v>1</v>
      </c>
      <c r="M357" s="9" t="b">
        <f>ISNUMBER(Sheet1!J357)</f>
        <v>1</v>
      </c>
      <c r="N357" s="13" t="str">
        <f>IF(Sheet1!B357="A","Branch A",IF(Sheet1!B357="B","Branch B","Other Branch"))</f>
        <v>Branch B</v>
      </c>
      <c r="O357" s="13" t="str">
        <f>IF(Sheet1!M357="Credit card","Credit Payment","Other")</f>
        <v>Credit Payment</v>
      </c>
      <c r="P357" s="13" t="str">
        <f>IF(Sheet1!O357&gt;7,"Yes","No")</f>
        <v>Yes</v>
      </c>
    </row>
    <row r="358" spans="5:16">
      <c r="E358" s="13" t="str">
        <v>632</v>
      </c>
      <c r="F358" s="13" t="str">
        <v>0281</v>
      </c>
      <c r="G358" s="13" t="str">
        <v>90</v>
      </c>
      <c r="H358" s="13" t="str">
        <f>_xlfn.CONCAT(Sheet1!A358," --&gt; ",Sheet1!J358)</f>
        <v>632-90-0281 --&gt; 394.275</v>
      </c>
      <c r="I358" s="13" t="str">
        <f>_xlfn.CONCAT(Sheet1!C358,"_",TEXT(Sheet1!K358, "m/d/yyyy"))</f>
        <v>Naypyitaw_3/8/2019</v>
      </c>
      <c r="J358" s="13" t="str">
        <f>IF(Sheet1!I358=Sheet1!N358*0.05,"Valid","Error")</f>
        <v>Valid</v>
      </c>
      <c r="K358" s="13" t="str">
        <f>IF(Sheet1!N358=Sheet1!G358*Sheet1!H358,"True","False")</f>
        <v>True</v>
      </c>
      <c r="L358" s="13" t="b">
        <v>1</v>
      </c>
      <c r="M358" s="9" t="b">
        <f>ISNUMBER(Sheet1!J358)</f>
        <v>1</v>
      </c>
      <c r="N358" s="13" t="str">
        <f>IF(Sheet1!B358="A","Branch A",IF(Sheet1!B358="B","Branch B","Other Branch"))</f>
        <v>Other Branch</v>
      </c>
      <c r="O358" s="13" t="str">
        <f>IF(Sheet1!M358="Credit card","Credit Payment","Other")</f>
        <v>Credit Payment</v>
      </c>
      <c r="P358" s="13" t="str">
        <f>IF(Sheet1!O358&gt;7,"Yes","No")</f>
        <v>Yes</v>
      </c>
    </row>
    <row r="359" spans="5:16">
      <c r="E359" s="13" t="str">
        <v>554</v>
      </c>
      <c r="F359" s="13" t="str">
        <v>2417</v>
      </c>
      <c r="G359" s="13" t="str">
        <v>42</v>
      </c>
      <c r="H359" s="13" t="str">
        <f>_xlfn.CONCAT(Sheet1!A359," --&gt; ",Sheet1!J359)</f>
        <v>554-42-2417 --&gt; 1002.12</v>
      </c>
      <c r="I359" s="13" t="str">
        <f>_xlfn.CONCAT(Sheet1!C359,"_",TEXT(Sheet1!K359, "m/d/yyyy"))</f>
        <v>Naypyitaw_1/9/2019</v>
      </c>
      <c r="J359" s="13" t="str">
        <f>IF(Sheet1!I359=Sheet1!N359*0.05,"Valid","Error")</f>
        <v>Valid</v>
      </c>
      <c r="K359" s="13" t="str">
        <f>IF(Sheet1!N359=Sheet1!G359*Sheet1!H359,"True","False")</f>
        <v>True</v>
      </c>
      <c r="L359" s="13" t="b">
        <v>1</v>
      </c>
      <c r="M359" s="9" t="b">
        <f>ISNUMBER(Sheet1!J359)</f>
        <v>1</v>
      </c>
      <c r="N359" s="13" t="str">
        <f>IF(Sheet1!B359="A","Branch A",IF(Sheet1!B359="B","Branch B","Other Branch"))</f>
        <v>Other Branch</v>
      </c>
      <c r="O359" s="13" t="str">
        <f>IF(Sheet1!M359="Credit card","Credit Payment","Other")</f>
        <v>Other</v>
      </c>
      <c r="P359" s="13" t="str">
        <f>IF(Sheet1!O359&gt;7,"Yes","No")</f>
        <v>No</v>
      </c>
    </row>
    <row r="360" spans="5:16">
      <c r="E360" s="13" t="str">
        <v>453</v>
      </c>
      <c r="F360" s="13" t="str">
        <v>6187</v>
      </c>
      <c r="G360" s="13" t="str">
        <v>63</v>
      </c>
      <c r="H360" s="13" t="str">
        <f>_xlfn.CONCAT(Sheet1!A360," --&gt; ",Sheet1!J360)</f>
        <v>453-63-6187 --&gt; 86.625</v>
      </c>
      <c r="I360" s="13" t="str">
        <f>_xlfn.CONCAT(Sheet1!C360,"_",TEXT(Sheet1!K360, "m/d/yyyy"))</f>
        <v>Mandalay_3/1/2019</v>
      </c>
      <c r="J360" s="13" t="str">
        <f>IF(Sheet1!I360=Sheet1!N360*0.05,"Valid","Error")</f>
        <v>Valid</v>
      </c>
      <c r="K360" s="13" t="str">
        <f>IF(Sheet1!N360=Sheet1!G360*Sheet1!H360,"True","False")</f>
        <v>True</v>
      </c>
      <c r="L360" s="13" t="b">
        <v>1</v>
      </c>
      <c r="M360" s="9" t="b">
        <f>ISNUMBER(Sheet1!J360)</f>
        <v>1</v>
      </c>
      <c r="N360" s="13" t="str">
        <f>IF(Sheet1!B360="A","Branch A",IF(Sheet1!B360="B","Branch B","Other Branch"))</f>
        <v>Branch B</v>
      </c>
      <c r="O360" s="13" t="str">
        <f>IF(Sheet1!M360="Credit card","Credit Payment","Other")</f>
        <v>Other</v>
      </c>
      <c r="P360" s="13" t="str">
        <f>IF(Sheet1!O360&gt;7,"Yes","No")</f>
        <v>No</v>
      </c>
    </row>
    <row r="361" spans="5:16">
      <c r="E361" s="13" t="str">
        <v>578</v>
      </c>
      <c r="F361" s="13" t="str">
        <v>7669</v>
      </c>
      <c r="G361" s="13" t="str">
        <v>80</v>
      </c>
      <c r="H361" s="13" t="str">
        <f>_xlfn.CONCAT(Sheet1!A361," --&gt; ",Sheet1!J361)</f>
        <v>578-80-7669 --&gt; 78.7185</v>
      </c>
      <c r="I361" s="13" t="str">
        <f>_xlfn.CONCAT(Sheet1!C361,"_",TEXT(Sheet1!K361, "m/d/yyyy"))</f>
        <v>Mandalay_3/16/2019</v>
      </c>
      <c r="J361" s="13" t="str">
        <f>IF(Sheet1!I361=Sheet1!N361*0.05,"Valid","Error")</f>
        <v>Valid</v>
      </c>
      <c r="K361" s="13" t="str">
        <f>IF(Sheet1!N361=Sheet1!G361*Sheet1!H361,"True","False")</f>
        <v>True</v>
      </c>
      <c r="L361" s="13" t="b">
        <v>1</v>
      </c>
      <c r="M361" s="9" t="b">
        <f>ISNUMBER(Sheet1!J361)</f>
        <v>1</v>
      </c>
      <c r="N361" s="13" t="str">
        <f>IF(Sheet1!B361="A","Branch A",IF(Sheet1!B361="B","Branch B","Other Branch"))</f>
        <v>Branch B</v>
      </c>
      <c r="O361" s="13" t="str">
        <f>IF(Sheet1!M361="Credit card","Credit Payment","Other")</f>
        <v>Other</v>
      </c>
      <c r="P361" s="13" t="str">
        <f>IF(Sheet1!O361&gt;7,"Yes","No")</f>
        <v>No</v>
      </c>
    </row>
    <row r="362" spans="5:16">
      <c r="E362" s="13" t="str">
        <v>612</v>
      </c>
      <c r="F362" s="13" t="str">
        <v>5536</v>
      </c>
      <c r="G362" s="13" t="str">
        <v>36</v>
      </c>
      <c r="H362" s="13" t="str">
        <f>_xlfn.CONCAT(Sheet1!A362," --&gt; ",Sheet1!J362)</f>
        <v>612-36-5536 --&gt; 680.064</v>
      </c>
      <c r="I362" s="13" t="str">
        <f>_xlfn.CONCAT(Sheet1!C362,"_",TEXT(Sheet1!K362, "m/d/yyyy"))</f>
        <v>Yangon_2/17/2019</v>
      </c>
      <c r="J362" s="13" t="str">
        <f>IF(Sheet1!I362=Sheet1!N362*0.05,"Valid","Error")</f>
        <v>Valid</v>
      </c>
      <c r="K362" s="13" t="str">
        <f>IF(Sheet1!N362=Sheet1!G362*Sheet1!H362,"True","False")</f>
        <v>True</v>
      </c>
      <c r="L362" s="13" t="b">
        <v>1</v>
      </c>
      <c r="M362" s="9" t="b">
        <f>ISNUMBER(Sheet1!J362)</f>
        <v>1</v>
      </c>
      <c r="N362" s="13" t="str">
        <f>IF(Sheet1!B362="A","Branch A",IF(Sheet1!B362="B","Branch B","Other Branch"))</f>
        <v>Branch A</v>
      </c>
      <c r="O362" s="13" t="str">
        <f>IF(Sheet1!M362="Credit card","Credit Payment","Other")</f>
        <v>Credit Payment</v>
      </c>
      <c r="P362" s="13" t="str">
        <f>IF(Sheet1!O362&gt;7,"Yes","No")</f>
        <v>Yes</v>
      </c>
    </row>
    <row r="363" spans="5:16">
      <c r="E363" s="13" t="str">
        <v>605</v>
      </c>
      <c r="F363" s="13" t="str">
        <v>4132</v>
      </c>
      <c r="G363" s="13" t="str">
        <v>72</v>
      </c>
      <c r="H363" s="13" t="str">
        <f>_xlfn.CONCAT(Sheet1!A363," --&gt; ",Sheet1!J363)</f>
        <v>605-72-4132 --&gt; 793.548</v>
      </c>
      <c r="I363" s="13" t="str">
        <f>_xlfn.CONCAT(Sheet1!C363,"_",TEXT(Sheet1!K363, "m/d/yyyy"))</f>
        <v>Naypyitaw_2/27/2019</v>
      </c>
      <c r="J363" s="13" t="str">
        <f>IF(Sheet1!I363=Sheet1!N363*0.05,"Valid","Error")</f>
        <v>Valid</v>
      </c>
      <c r="K363" s="13" t="str">
        <f>IF(Sheet1!N363=Sheet1!G363*Sheet1!H363,"True","False")</f>
        <v>True</v>
      </c>
      <c r="L363" s="13" t="b">
        <v>1</v>
      </c>
      <c r="M363" s="9" t="b">
        <f>ISNUMBER(Sheet1!J363)</f>
        <v>1</v>
      </c>
      <c r="N363" s="13" t="str">
        <f>IF(Sheet1!B363="A","Branch A",IF(Sheet1!B363="B","Branch B","Other Branch"))</f>
        <v>Other Branch</v>
      </c>
      <c r="O363" s="13" t="str">
        <f>IF(Sheet1!M363="Credit card","Credit Payment","Other")</f>
        <v>Other</v>
      </c>
      <c r="P363" s="13" t="str">
        <f>IF(Sheet1!O363&gt;7,"Yes","No")</f>
        <v>Yes</v>
      </c>
    </row>
    <row r="364" spans="5:16">
      <c r="E364" s="13" t="str">
        <v>471</v>
      </c>
      <c r="F364" s="13" t="str">
        <v>2823</v>
      </c>
      <c r="G364" s="13" t="str">
        <v>41</v>
      </c>
      <c r="H364" s="13" t="str">
        <f>_xlfn.CONCAT(Sheet1!A364," --&gt; ",Sheet1!J364)</f>
        <v>471-41-2823 --&gt; 209.559</v>
      </c>
      <c r="I364" s="13" t="str">
        <f>_xlfn.CONCAT(Sheet1!C364,"_",TEXT(Sheet1!K364, "m/d/yyyy"))</f>
        <v>Naypyitaw_3/7/2019</v>
      </c>
      <c r="J364" s="13" t="str">
        <f>IF(Sheet1!I364=Sheet1!N364*0.05,"Valid","Error")</f>
        <v>Valid</v>
      </c>
      <c r="K364" s="13" t="str">
        <f>IF(Sheet1!N364=Sheet1!G364*Sheet1!H364,"True","False")</f>
        <v>True</v>
      </c>
      <c r="L364" s="13" t="b">
        <v>1</v>
      </c>
      <c r="M364" s="9" t="b">
        <f>ISNUMBER(Sheet1!J364)</f>
        <v>1</v>
      </c>
      <c r="N364" s="13" t="str">
        <f>IF(Sheet1!B364="A","Branch A",IF(Sheet1!B364="B","Branch B","Other Branch"))</f>
        <v>Other Branch</v>
      </c>
      <c r="O364" s="13" t="str">
        <f>IF(Sheet1!M364="Credit card","Credit Payment","Other")</f>
        <v>Other</v>
      </c>
      <c r="P364" s="13" t="str">
        <f>IF(Sheet1!O364&gt;7,"Yes","No")</f>
        <v>Yes</v>
      </c>
    </row>
    <row r="365" spans="5:16">
      <c r="E365" s="13" t="str">
        <v>462</v>
      </c>
      <c r="F365" s="13" t="str">
        <v>9126</v>
      </c>
      <c r="G365" s="13" t="str">
        <v>67</v>
      </c>
      <c r="H365" s="13" t="str">
        <f>_xlfn.CONCAT(Sheet1!A365," --&gt; ",Sheet1!J365)</f>
        <v>462-67-9126 --&gt; 461.286</v>
      </c>
      <c r="I365" s="13" t="str">
        <f>_xlfn.CONCAT(Sheet1!C365,"_",TEXT(Sheet1!K365, "m/d/yyyy"))</f>
        <v>Yangon_1/21/2019</v>
      </c>
      <c r="J365" s="13" t="str">
        <f>IF(Sheet1!I365=Sheet1!N365*0.05,"Valid","Error")</f>
        <v>Valid</v>
      </c>
      <c r="K365" s="13" t="str">
        <f>IF(Sheet1!N365=Sheet1!G365*Sheet1!H365,"True","False")</f>
        <v>True</v>
      </c>
      <c r="L365" s="13" t="b">
        <v>1</v>
      </c>
      <c r="M365" s="9" t="b">
        <f>ISNUMBER(Sheet1!J365)</f>
        <v>1</v>
      </c>
      <c r="N365" s="13" t="str">
        <f>IF(Sheet1!B365="A","Branch A",IF(Sheet1!B365="B","Branch B","Other Branch"))</f>
        <v>Branch A</v>
      </c>
      <c r="O365" s="13" t="str">
        <f>IF(Sheet1!M365="Credit card","Credit Payment","Other")</f>
        <v>Other</v>
      </c>
      <c r="P365" s="13" t="str">
        <f>IF(Sheet1!O365&gt;7,"Yes","No")</f>
        <v>Yes</v>
      </c>
    </row>
    <row r="366" spans="5:16">
      <c r="E366" s="13" t="str">
        <v>272</v>
      </c>
      <c r="F366" s="13" t="str">
        <v>9238</v>
      </c>
      <c r="G366" s="13" t="str">
        <v>27</v>
      </c>
      <c r="H366" s="13" t="str">
        <f>_xlfn.CONCAT(Sheet1!A366," --&gt; ",Sheet1!J366)</f>
        <v>272-27-9238 --&gt; 173.208</v>
      </c>
      <c r="I366" s="13" t="str">
        <f>_xlfn.CONCAT(Sheet1!C366,"_",TEXT(Sheet1!K366, "m/d/yyyy"))</f>
        <v>Naypyitaw_2/19/2019</v>
      </c>
      <c r="J366" s="13" t="str">
        <f>IF(Sheet1!I366=Sheet1!N366*0.05,"Valid","Error")</f>
        <v>Valid</v>
      </c>
      <c r="K366" s="13" t="str">
        <f>IF(Sheet1!N366=Sheet1!G366*Sheet1!H366,"True","False")</f>
        <v>True</v>
      </c>
      <c r="L366" s="13" t="b">
        <v>1</v>
      </c>
      <c r="M366" s="9" t="b">
        <f>ISNUMBER(Sheet1!J366)</f>
        <v>1</v>
      </c>
      <c r="N366" s="13" t="str">
        <f>IF(Sheet1!B366="A","Branch A",IF(Sheet1!B366="B","Branch B","Other Branch"))</f>
        <v>Other Branch</v>
      </c>
      <c r="O366" s="13" t="str">
        <f>IF(Sheet1!M366="Credit card","Credit Payment","Other")</f>
        <v>Other</v>
      </c>
      <c r="P366" s="13" t="str">
        <f>IF(Sheet1!O366&gt;7,"Yes","No")</f>
        <v>Yes</v>
      </c>
    </row>
    <row r="367" spans="5:16">
      <c r="E367" s="13" t="str">
        <v>834</v>
      </c>
      <c r="F367" s="13" t="str">
        <v>9262</v>
      </c>
      <c r="G367" s="13" t="str">
        <v>25</v>
      </c>
      <c r="H367" s="13" t="str">
        <f>_xlfn.CONCAT(Sheet1!A367," --&gt; ",Sheet1!J367)</f>
        <v>834-25-9262 --&gt; 343.056</v>
      </c>
      <c r="I367" s="13" t="str">
        <f>_xlfn.CONCAT(Sheet1!C367,"_",TEXT(Sheet1!K367, "m/d/yyyy"))</f>
        <v>Naypyitaw_1/6/2019</v>
      </c>
      <c r="J367" s="13" t="str">
        <f>IF(Sheet1!I367=Sheet1!N367*0.05,"Valid","Error")</f>
        <v>Valid</v>
      </c>
      <c r="K367" s="13" t="str">
        <f>IF(Sheet1!N367=Sheet1!G367*Sheet1!H367,"True","False")</f>
        <v>True</v>
      </c>
      <c r="L367" s="13" t="b">
        <v>1</v>
      </c>
      <c r="M367" s="9" t="b">
        <f>ISNUMBER(Sheet1!J367)</f>
        <v>1</v>
      </c>
      <c r="N367" s="13" t="str">
        <f>IF(Sheet1!B367="A","Branch A",IF(Sheet1!B367="B","Branch B","Other Branch"))</f>
        <v>Other Branch</v>
      </c>
      <c r="O367" s="13" t="str">
        <f>IF(Sheet1!M367="Credit card","Credit Payment","Other")</f>
        <v>Other</v>
      </c>
      <c r="P367" s="13" t="str">
        <f>IF(Sheet1!O367&gt;7,"Yes","No")</f>
        <v>Yes</v>
      </c>
    </row>
    <row r="368" spans="5:16">
      <c r="E368" s="13" t="str">
        <v>122</v>
      </c>
      <c r="F368" s="13" t="str">
        <v>9553</v>
      </c>
      <c r="G368" s="13" t="str">
        <v>61</v>
      </c>
      <c r="H368" s="13" t="str">
        <f>_xlfn.CONCAT(Sheet1!A368," --&gt; ",Sheet1!J368)</f>
        <v>122-61-9553 --&gt; 484.974</v>
      </c>
      <c r="I368" s="13" t="str">
        <f>_xlfn.CONCAT(Sheet1!C368,"_",TEXT(Sheet1!K368, "m/d/yyyy"))</f>
        <v>Naypyitaw_3/14/2019</v>
      </c>
      <c r="J368" s="13" t="str">
        <f>IF(Sheet1!I368=Sheet1!N368*0.05,"Valid","Error")</f>
        <v>Valid</v>
      </c>
      <c r="K368" s="13" t="str">
        <f>IF(Sheet1!N368=Sheet1!G368*Sheet1!H368,"True","False")</f>
        <v>True</v>
      </c>
      <c r="L368" s="13" t="b">
        <v>1</v>
      </c>
      <c r="M368" s="9" t="b">
        <f>ISNUMBER(Sheet1!J368)</f>
        <v>1</v>
      </c>
      <c r="N368" s="13" t="str">
        <f>IF(Sheet1!B368="A","Branch A",IF(Sheet1!B368="B","Branch B","Other Branch"))</f>
        <v>Other Branch</v>
      </c>
      <c r="O368" s="13" t="str">
        <f>IF(Sheet1!M368="Credit card","Credit Payment","Other")</f>
        <v>Other</v>
      </c>
      <c r="P368" s="13" t="str">
        <f>IF(Sheet1!O368&gt;7,"Yes","No")</f>
        <v>No</v>
      </c>
    </row>
    <row r="369" spans="5:16">
      <c r="E369" s="13" t="str">
        <v>468</v>
      </c>
      <c r="F369" s="13" t="str">
        <v>0009</v>
      </c>
      <c r="G369" s="13" t="str">
        <v>88</v>
      </c>
      <c r="H369" s="13" t="str">
        <f>_xlfn.CONCAT(Sheet1!A369," --&gt; ",Sheet1!J369)</f>
        <v>468-88-0009 --&gt; 276.948</v>
      </c>
      <c r="I369" s="13" t="str">
        <f>_xlfn.CONCAT(Sheet1!C369,"_",TEXT(Sheet1!K369, "m/d/yyyy"))</f>
        <v>Yangon_3/24/2019</v>
      </c>
      <c r="J369" s="13" t="str">
        <f>IF(Sheet1!I369=Sheet1!N369*0.05,"Valid","Error")</f>
        <v>Valid</v>
      </c>
      <c r="K369" s="13" t="str">
        <f>IF(Sheet1!N369=Sheet1!G369*Sheet1!H369,"True","False")</f>
        <v>True</v>
      </c>
      <c r="L369" s="13" t="b">
        <v>1</v>
      </c>
      <c r="M369" s="9" t="b">
        <f>ISNUMBER(Sheet1!J369)</f>
        <v>1</v>
      </c>
      <c r="N369" s="13" t="str">
        <f>IF(Sheet1!B369="A","Branch A",IF(Sheet1!B369="B","Branch B","Other Branch"))</f>
        <v>Branch A</v>
      </c>
      <c r="O369" s="13" t="str">
        <f>IF(Sheet1!M369="Credit card","Credit Payment","Other")</f>
        <v>Other</v>
      </c>
      <c r="P369" s="13" t="str">
        <f>IF(Sheet1!O369&gt;7,"Yes","No")</f>
        <v>No</v>
      </c>
    </row>
    <row r="370" spans="5:16">
      <c r="E370" s="13" t="str">
        <v>613</v>
      </c>
      <c r="F370" s="13" t="str">
        <v>9758</v>
      </c>
      <c r="G370" s="13" t="str">
        <v>59</v>
      </c>
      <c r="H370" s="13" t="str">
        <f>_xlfn.CONCAT(Sheet1!A370," --&gt; ",Sheet1!J370)</f>
        <v>613-59-9758 --&gt; 150.78</v>
      </c>
      <c r="I370" s="13" t="str">
        <f>_xlfn.CONCAT(Sheet1!C370,"_",TEXT(Sheet1!K370, "m/d/yyyy"))</f>
        <v>Naypyitaw_1/27/2019</v>
      </c>
      <c r="J370" s="13" t="str">
        <f>IF(Sheet1!I370=Sheet1!N370*0.05,"Valid","Error")</f>
        <v>Valid</v>
      </c>
      <c r="K370" s="13" t="str">
        <f>IF(Sheet1!N370=Sheet1!G370*Sheet1!H370,"True","False")</f>
        <v>True</v>
      </c>
      <c r="L370" s="13" t="b">
        <v>1</v>
      </c>
      <c r="M370" s="9" t="b">
        <f>ISNUMBER(Sheet1!J370)</f>
        <v>1</v>
      </c>
      <c r="N370" s="13" t="str">
        <f>IF(Sheet1!B370="A","Branch A",IF(Sheet1!B370="B","Branch B","Other Branch"))</f>
        <v>Other Branch</v>
      </c>
      <c r="O370" s="13" t="str">
        <f>IF(Sheet1!M370="Credit card","Credit Payment","Other")</f>
        <v>Other</v>
      </c>
      <c r="P370" s="13" t="str">
        <f>IF(Sheet1!O370&gt;7,"Yes","No")</f>
        <v>No</v>
      </c>
    </row>
    <row r="371" spans="5:16">
      <c r="E371" s="13" t="str">
        <v>254</v>
      </c>
      <c r="F371" s="13" t="str">
        <v>0042</v>
      </c>
      <c r="G371" s="13" t="str">
        <v>31</v>
      </c>
      <c r="H371" s="13" t="str">
        <f>_xlfn.CONCAT(Sheet1!A371," --&gt; ",Sheet1!J371)</f>
        <v>254-31-0042 --&gt; 203.175</v>
      </c>
      <c r="I371" s="13" t="str">
        <f>_xlfn.CONCAT(Sheet1!C371,"_",TEXT(Sheet1!K371, "m/d/yyyy"))</f>
        <v>Yangon_3/6/2019</v>
      </c>
      <c r="J371" s="13" t="str">
        <f>IF(Sheet1!I371=Sheet1!N371*0.05,"Valid","Error")</f>
        <v>Valid</v>
      </c>
      <c r="K371" s="13" t="str">
        <f>IF(Sheet1!N371=Sheet1!G371*Sheet1!H371,"True","False")</f>
        <v>True</v>
      </c>
      <c r="L371" s="13" t="b">
        <v>1</v>
      </c>
      <c r="M371" s="9" t="b">
        <f>ISNUMBER(Sheet1!J371)</f>
        <v>1</v>
      </c>
      <c r="N371" s="13" t="str">
        <f>IF(Sheet1!B371="A","Branch A",IF(Sheet1!B371="B","Branch B","Other Branch"))</f>
        <v>Branch A</v>
      </c>
      <c r="O371" s="13" t="str">
        <f>IF(Sheet1!M371="Credit card","Credit Payment","Other")</f>
        <v>Credit Payment</v>
      </c>
      <c r="P371" s="13" t="str">
        <f>IF(Sheet1!O371&gt;7,"Yes","No")</f>
        <v>Yes</v>
      </c>
    </row>
    <row r="372" spans="5:16">
      <c r="E372" s="13" t="str">
        <v>201</v>
      </c>
      <c r="F372" s="13" t="str">
        <v>2184</v>
      </c>
      <c r="G372" s="13" t="str">
        <v>86</v>
      </c>
      <c r="H372" s="13" t="str">
        <f>_xlfn.CONCAT(Sheet1!A372," --&gt; ",Sheet1!J372)</f>
        <v>201-86-2184 --&gt; 193.011</v>
      </c>
      <c r="I372" s="13" t="str">
        <f>_xlfn.CONCAT(Sheet1!C372,"_",TEXT(Sheet1!K372, "m/d/yyyy"))</f>
        <v>Mandalay_2/2/2019</v>
      </c>
      <c r="J372" s="13" t="str">
        <f>IF(Sheet1!I372=Sheet1!N372*0.05,"Valid","Error")</f>
        <v>Valid</v>
      </c>
      <c r="K372" s="13" t="str">
        <f>IF(Sheet1!N372=Sheet1!G372*Sheet1!H372,"True","False")</f>
        <v>True</v>
      </c>
      <c r="L372" s="13" t="b">
        <v>1</v>
      </c>
      <c r="M372" s="9" t="b">
        <f>ISNUMBER(Sheet1!J372)</f>
        <v>1</v>
      </c>
      <c r="N372" s="13" t="str">
        <f>IF(Sheet1!B372="A","Branch A",IF(Sheet1!B372="B","Branch B","Other Branch"))</f>
        <v>Branch B</v>
      </c>
      <c r="O372" s="13" t="str">
        <f>IF(Sheet1!M372="Credit card","Credit Payment","Other")</f>
        <v>Other</v>
      </c>
      <c r="P372" s="13" t="str">
        <f>IF(Sheet1!O372&gt;7,"Yes","No")</f>
        <v>Yes</v>
      </c>
    </row>
    <row r="373" spans="5:16">
      <c r="E373" s="13" t="str">
        <v>261</v>
      </c>
      <c r="F373" s="13" t="str">
        <v>8671</v>
      </c>
      <c r="G373" s="13" t="str">
        <v>12</v>
      </c>
      <c r="H373" s="13" t="str">
        <f>_xlfn.CONCAT(Sheet1!A373," --&gt; ",Sheet1!J373)</f>
        <v>261-12-8671 --&gt; 128.016</v>
      </c>
      <c r="I373" s="13" t="str">
        <f>_xlfn.CONCAT(Sheet1!C373,"_",TEXT(Sheet1!K373, "m/d/yyyy"))</f>
        <v>Mandalay_1/25/2019</v>
      </c>
      <c r="J373" s="13" t="str">
        <f>IF(Sheet1!I373=Sheet1!N373*0.05,"Valid","Error")</f>
        <v>Valid</v>
      </c>
      <c r="K373" s="13" t="str">
        <f>IF(Sheet1!N373=Sheet1!G373*Sheet1!H373,"True","False")</f>
        <v>True</v>
      </c>
      <c r="L373" s="13" t="b">
        <v>1</v>
      </c>
      <c r="M373" s="9" t="b">
        <f>ISNUMBER(Sheet1!J373)</f>
        <v>1</v>
      </c>
      <c r="N373" s="13" t="str">
        <f>IF(Sheet1!B373="A","Branch A",IF(Sheet1!B373="B","Branch B","Other Branch"))</f>
        <v>Branch B</v>
      </c>
      <c r="O373" s="13" t="str">
        <f>IF(Sheet1!M373="Credit card","Credit Payment","Other")</f>
        <v>Credit Payment</v>
      </c>
      <c r="P373" s="13" t="str">
        <f>IF(Sheet1!O373&gt;7,"Yes","No")</f>
        <v>No</v>
      </c>
    </row>
    <row r="374" spans="5:16">
      <c r="E374" s="13" t="str">
        <v>730</v>
      </c>
      <c r="F374" s="13" t="str">
        <v>9830</v>
      </c>
      <c r="G374" s="13" t="str">
        <v>70</v>
      </c>
      <c r="H374" s="13" t="str">
        <f>_xlfn.CONCAT(Sheet1!A374," --&gt; ",Sheet1!J374)</f>
        <v>730-70-9830 --&gt; 441.693</v>
      </c>
      <c r="I374" s="13" t="str">
        <f>_xlfn.CONCAT(Sheet1!C374,"_",TEXT(Sheet1!K374, "m/d/yyyy"))</f>
        <v>Naypyitaw_3/14/2019</v>
      </c>
      <c r="J374" s="13" t="str">
        <f>IF(Sheet1!I374=Sheet1!N374*0.05,"Valid","Error")</f>
        <v>Valid</v>
      </c>
      <c r="K374" s="13" t="str">
        <f>IF(Sheet1!N374=Sheet1!G374*Sheet1!H374,"True","False")</f>
        <v>True</v>
      </c>
      <c r="L374" s="13" t="b">
        <v>1</v>
      </c>
      <c r="M374" s="9" t="b">
        <f>ISNUMBER(Sheet1!J374)</f>
        <v>1</v>
      </c>
      <c r="N374" s="13" t="str">
        <f>IF(Sheet1!B374="A","Branch A",IF(Sheet1!B374="B","Branch B","Other Branch"))</f>
        <v>Other Branch</v>
      </c>
      <c r="O374" s="13" t="str">
        <f>IF(Sheet1!M374="Credit card","Credit Payment","Other")</f>
        <v>Other</v>
      </c>
      <c r="P374" s="13" t="str">
        <f>IF(Sheet1!O374&gt;7,"Yes","No")</f>
        <v>No</v>
      </c>
    </row>
    <row r="375" spans="5:16">
      <c r="E375" s="13" t="str">
        <v>382</v>
      </c>
      <c r="F375" s="13" t="str">
        <v>8917</v>
      </c>
      <c r="G375" s="13" t="str">
        <v>25</v>
      </c>
      <c r="H375" s="13" t="str">
        <f>_xlfn.CONCAT(Sheet1!A375," --&gt; ",Sheet1!J375)</f>
        <v>382-25-8917 --&gt; 265.104</v>
      </c>
      <c r="I375" s="13" t="str">
        <f>_xlfn.CONCAT(Sheet1!C375,"_",TEXT(Sheet1!K375, "m/d/yyyy"))</f>
        <v>Naypyitaw_1/29/2019</v>
      </c>
      <c r="J375" s="13" t="str">
        <f>IF(Sheet1!I375=Sheet1!N375*0.05,"Valid","Error")</f>
        <v>Valid</v>
      </c>
      <c r="K375" s="13" t="str">
        <f>IF(Sheet1!N375=Sheet1!G375*Sheet1!H375,"True","False")</f>
        <v>True</v>
      </c>
      <c r="L375" s="13" t="b">
        <v>1</v>
      </c>
      <c r="M375" s="9" t="b">
        <f>ISNUMBER(Sheet1!J375)</f>
        <v>1</v>
      </c>
      <c r="N375" s="13" t="str">
        <f>IF(Sheet1!B375="A","Branch A",IF(Sheet1!B375="B","Branch B","Other Branch"))</f>
        <v>Other Branch</v>
      </c>
      <c r="O375" s="13" t="str">
        <f>IF(Sheet1!M375="Credit card","Credit Payment","Other")</f>
        <v>Other</v>
      </c>
      <c r="P375" s="13" t="str">
        <f>IF(Sheet1!O375&gt;7,"Yes","No")</f>
        <v>Yes</v>
      </c>
    </row>
    <row r="376" spans="5:16">
      <c r="E376" s="13" t="str">
        <v>422</v>
      </c>
      <c r="F376" s="13" t="str">
        <v>8786</v>
      </c>
      <c r="G376" s="13" t="str">
        <v>29</v>
      </c>
      <c r="H376" s="13" t="str">
        <f>_xlfn.CONCAT(Sheet1!A376," --&gt; ",Sheet1!J376)</f>
        <v>422-29-8786 --&gt; 352.2225</v>
      </c>
      <c r="I376" s="13" t="str">
        <f>_xlfn.CONCAT(Sheet1!C376,"_",TEXT(Sheet1!K376, "m/d/yyyy"))</f>
        <v>Yangon_1/3/2019</v>
      </c>
      <c r="J376" s="13" t="str">
        <f>IF(Sheet1!I376=Sheet1!N376*0.05,"Valid","Error")</f>
        <v>Valid</v>
      </c>
      <c r="K376" s="13" t="str">
        <f>IF(Sheet1!N376=Sheet1!G376*Sheet1!H376,"True","False")</f>
        <v>True</v>
      </c>
      <c r="L376" s="13" t="b">
        <v>1</v>
      </c>
      <c r="M376" s="9" t="b">
        <f>ISNUMBER(Sheet1!J376)</f>
        <v>1</v>
      </c>
      <c r="N376" s="13" t="str">
        <f>IF(Sheet1!B376="A","Branch A",IF(Sheet1!B376="B","Branch B","Other Branch"))</f>
        <v>Branch A</v>
      </c>
      <c r="O376" s="13" t="str">
        <f>IF(Sheet1!M376="Credit card","Credit Payment","Other")</f>
        <v>Credit Payment</v>
      </c>
      <c r="P376" s="13" t="str">
        <f>IF(Sheet1!O376&gt;7,"Yes","No")</f>
        <v>Yes</v>
      </c>
    </row>
    <row r="377" spans="5:16">
      <c r="E377" s="13" t="str">
        <v>667</v>
      </c>
      <c r="F377" s="13" t="str">
        <v>5919</v>
      </c>
      <c r="G377" s="13" t="str">
        <v>23</v>
      </c>
      <c r="H377" s="13" t="str">
        <f>_xlfn.CONCAT(Sheet1!A377," --&gt; ",Sheet1!J377)</f>
        <v>667-23-5919 --&gt; 507.675</v>
      </c>
      <c r="I377" s="13" t="str">
        <f>_xlfn.CONCAT(Sheet1!C377,"_",TEXT(Sheet1!K377, "m/d/yyyy"))</f>
        <v>Yangon_1/14/2019</v>
      </c>
      <c r="J377" s="13" t="str">
        <f>IF(Sheet1!I377=Sheet1!N377*0.05,"Valid","Error")</f>
        <v>Valid</v>
      </c>
      <c r="K377" s="13" t="str">
        <f>IF(Sheet1!N377=Sheet1!G377*Sheet1!H377,"True","False")</f>
        <v>True</v>
      </c>
      <c r="L377" s="13" t="b">
        <v>1</v>
      </c>
      <c r="M377" s="9" t="b">
        <f>ISNUMBER(Sheet1!J377)</f>
        <v>1</v>
      </c>
      <c r="N377" s="13" t="str">
        <f>IF(Sheet1!B377="A","Branch A",IF(Sheet1!B377="B","Branch B","Other Branch"))</f>
        <v>Branch A</v>
      </c>
      <c r="O377" s="13" t="str">
        <f>IF(Sheet1!M377="Credit card","Credit Payment","Other")</f>
        <v>Other</v>
      </c>
      <c r="P377" s="13" t="str">
        <f>IF(Sheet1!O377&gt;7,"Yes","No")</f>
        <v>No</v>
      </c>
    </row>
    <row r="378" spans="5:16">
      <c r="E378" s="13" t="str">
        <v>843</v>
      </c>
      <c r="F378" s="13" t="str">
        <v>4703</v>
      </c>
      <c r="G378" s="13" t="str">
        <v>01</v>
      </c>
      <c r="H378" s="13" t="str">
        <f>_xlfn.CONCAT(Sheet1!A378," --&gt; ",Sheet1!J378)</f>
        <v>843-01-4703 --&gt; 334.341</v>
      </c>
      <c r="I378" s="13" t="str">
        <f>_xlfn.CONCAT(Sheet1!C378,"_",TEXT(Sheet1!K378, "m/d/yyyy"))</f>
        <v>Mandalay_1/5/2019</v>
      </c>
      <c r="J378" s="13" t="str">
        <f>IF(Sheet1!I378=Sheet1!N378*0.05,"Valid","Error")</f>
        <v>Valid</v>
      </c>
      <c r="K378" s="13" t="str">
        <f>IF(Sheet1!N378=Sheet1!G378*Sheet1!H378,"True","False")</f>
        <v>True</v>
      </c>
      <c r="L378" s="13" t="b">
        <v>1</v>
      </c>
      <c r="M378" s="9" t="b">
        <f>ISNUMBER(Sheet1!J378)</f>
        <v>1</v>
      </c>
      <c r="N378" s="13" t="str">
        <f>IF(Sheet1!B378="A","Branch A",IF(Sheet1!B378="B","Branch B","Other Branch"))</f>
        <v>Branch B</v>
      </c>
      <c r="O378" s="13" t="str">
        <f>IF(Sheet1!M378="Credit card","Credit Payment","Other")</f>
        <v>Credit Payment</v>
      </c>
      <c r="P378" s="13" t="str">
        <f>IF(Sheet1!O378&gt;7,"Yes","No")</f>
        <v>Yes</v>
      </c>
    </row>
    <row r="379" spans="5:16">
      <c r="E379" s="13" t="str">
        <v>743</v>
      </c>
      <c r="F379" s="13" t="str">
        <v>1662</v>
      </c>
      <c r="G379" s="13" t="str">
        <v>88</v>
      </c>
      <c r="H379" s="13" t="str">
        <f>_xlfn.CONCAT(Sheet1!A379," --&gt; ",Sheet1!J379)</f>
        <v>743-88-1662 --&gt; 701.8515</v>
      </c>
      <c r="I379" s="13" t="str">
        <f>_xlfn.CONCAT(Sheet1!C379,"_",TEXT(Sheet1!K379, "m/d/yyyy"))</f>
        <v>Naypyitaw_2/22/2019</v>
      </c>
      <c r="J379" s="13" t="str">
        <f>IF(Sheet1!I379=Sheet1!N379*0.05,"Valid","Error")</f>
        <v>Valid</v>
      </c>
      <c r="K379" s="13" t="str">
        <f>IF(Sheet1!N379=Sheet1!G379*Sheet1!H379,"True","False")</f>
        <v>True</v>
      </c>
      <c r="L379" s="13" t="b">
        <v>1</v>
      </c>
      <c r="M379" s="9" t="b">
        <f>ISNUMBER(Sheet1!J379)</f>
        <v>1</v>
      </c>
      <c r="N379" s="13" t="str">
        <f>IF(Sheet1!B379="A","Branch A",IF(Sheet1!B379="B","Branch B","Other Branch"))</f>
        <v>Other Branch</v>
      </c>
      <c r="O379" s="13" t="str">
        <f>IF(Sheet1!M379="Credit card","Credit Payment","Other")</f>
        <v>Other</v>
      </c>
      <c r="P379" s="13" t="str">
        <f>IF(Sheet1!O379&gt;7,"Yes","No")</f>
        <v>Yes</v>
      </c>
    </row>
    <row r="380" spans="5:16">
      <c r="E380" s="13" t="str">
        <v>595</v>
      </c>
      <c r="F380" s="13" t="str">
        <v>2894</v>
      </c>
      <c r="G380" s="13" t="str">
        <v>86</v>
      </c>
      <c r="H380" s="13" t="str">
        <f>_xlfn.CONCAT(Sheet1!A380," --&gt; ",Sheet1!J380)</f>
        <v>595-86-2894 --&gt; 407.316</v>
      </c>
      <c r="I380" s="13" t="str">
        <f>_xlfn.CONCAT(Sheet1!C380,"_",TEXT(Sheet1!K380, "m/d/yyyy"))</f>
        <v>Naypyitaw_2/6/2019</v>
      </c>
      <c r="J380" s="13" t="str">
        <f>IF(Sheet1!I380=Sheet1!N380*0.05,"Valid","Error")</f>
        <v>Valid</v>
      </c>
      <c r="K380" s="13" t="str">
        <f>IF(Sheet1!N380=Sheet1!G380*Sheet1!H380,"True","False")</f>
        <v>True</v>
      </c>
      <c r="L380" s="13" t="b">
        <v>1</v>
      </c>
      <c r="M380" s="9" t="b">
        <f>ISNUMBER(Sheet1!J380)</f>
        <v>1</v>
      </c>
      <c r="N380" s="13" t="str">
        <f>IF(Sheet1!B380="A","Branch A",IF(Sheet1!B380="B","Branch B","Other Branch"))</f>
        <v>Other Branch</v>
      </c>
      <c r="O380" s="13" t="str">
        <f>IF(Sheet1!M380="Credit card","Credit Payment","Other")</f>
        <v>Other</v>
      </c>
      <c r="P380" s="13" t="str">
        <f>IF(Sheet1!O380&gt;7,"Yes","No")</f>
        <v>Yes</v>
      </c>
    </row>
    <row r="381" spans="5:16">
      <c r="E381" s="13" t="str">
        <v>182</v>
      </c>
      <c r="F381" s="13" t="str">
        <v>8360</v>
      </c>
      <c r="G381" s="13" t="str">
        <v>69</v>
      </c>
      <c r="H381" s="13" t="str">
        <f>_xlfn.CONCAT(Sheet1!A381," --&gt; ",Sheet1!J381)</f>
        <v>182-69-8360 --&gt; 99.33</v>
      </c>
      <c r="I381" s="13" t="str">
        <f>_xlfn.CONCAT(Sheet1!C381,"_",TEXT(Sheet1!K381, "m/d/yyyy"))</f>
        <v>Mandalay_1/30/2019</v>
      </c>
      <c r="J381" s="13" t="str">
        <f>IF(Sheet1!I381=Sheet1!N381*0.05,"Valid","Error")</f>
        <v>Valid</v>
      </c>
      <c r="K381" s="13" t="str">
        <f>IF(Sheet1!N381=Sheet1!G381*Sheet1!H381,"True","False")</f>
        <v>True</v>
      </c>
      <c r="L381" s="13" t="b">
        <v>1</v>
      </c>
      <c r="M381" s="9" t="b">
        <f>ISNUMBER(Sheet1!J381)</f>
        <v>1</v>
      </c>
      <c r="N381" s="13" t="str">
        <f>IF(Sheet1!B381="A","Branch A",IF(Sheet1!B381="B","Branch B","Other Branch"))</f>
        <v>Branch B</v>
      </c>
      <c r="O381" s="13" t="str">
        <f>IF(Sheet1!M381="Credit card","Credit Payment","Other")</f>
        <v>Credit Payment</v>
      </c>
      <c r="P381" s="13" t="str">
        <f>IF(Sheet1!O381&gt;7,"Yes","No")</f>
        <v>No</v>
      </c>
    </row>
    <row r="382" spans="5:16">
      <c r="E382" s="13" t="str">
        <v>289</v>
      </c>
      <c r="F382" s="13" t="str">
        <v>7034</v>
      </c>
      <c r="G382" s="13" t="str">
        <v>15</v>
      </c>
      <c r="H382" s="13" t="str">
        <f>_xlfn.CONCAT(Sheet1!A382," --&gt; ",Sheet1!J382)</f>
        <v>289-15-7034 --&gt; 345.786</v>
      </c>
      <c r="I382" s="13" t="str">
        <f>_xlfn.CONCAT(Sheet1!C382,"_",TEXT(Sheet1!K382, "m/d/yyyy"))</f>
        <v>Yangon_1/11/2019</v>
      </c>
      <c r="J382" s="13" t="str">
        <f>IF(Sheet1!I382=Sheet1!N382*0.05,"Valid","Error")</f>
        <v>Valid</v>
      </c>
      <c r="K382" s="13" t="str">
        <f>IF(Sheet1!N382=Sheet1!G382*Sheet1!H382,"True","False")</f>
        <v>True</v>
      </c>
      <c r="L382" s="13" t="b">
        <v>1</v>
      </c>
      <c r="M382" s="9" t="b">
        <f>ISNUMBER(Sheet1!J382)</f>
        <v>1</v>
      </c>
      <c r="N382" s="13" t="str">
        <f>IF(Sheet1!B382="A","Branch A",IF(Sheet1!B382="B","Branch B","Other Branch"))</f>
        <v>Branch A</v>
      </c>
      <c r="O382" s="13" t="str">
        <f>IF(Sheet1!M382="Credit card","Credit Payment","Other")</f>
        <v>Credit Payment</v>
      </c>
      <c r="P382" s="13" t="str">
        <f>IF(Sheet1!O382&gt;7,"Yes","No")</f>
        <v>Yes</v>
      </c>
    </row>
    <row r="383" spans="5:16">
      <c r="E383" s="13" t="str">
        <v>462</v>
      </c>
      <c r="F383" s="13" t="str">
        <v>5240</v>
      </c>
      <c r="G383" s="13" t="str">
        <v>78</v>
      </c>
      <c r="H383" s="13" t="str">
        <f>_xlfn.CONCAT(Sheet1!A383," --&gt; ",Sheet1!J383)</f>
        <v>462-78-5240 --&gt; 55.881</v>
      </c>
      <c r="I383" s="13" t="str">
        <f>_xlfn.CONCAT(Sheet1!C383,"_",TEXT(Sheet1!K383, "m/d/yyyy"))</f>
        <v>Naypyitaw_3/19/2019</v>
      </c>
      <c r="J383" s="13" t="str">
        <f>IF(Sheet1!I383=Sheet1!N383*0.05,"Valid","Error")</f>
        <v>Valid</v>
      </c>
      <c r="K383" s="13" t="str">
        <f>IF(Sheet1!N383=Sheet1!G383*Sheet1!H383,"True","False")</f>
        <v>True</v>
      </c>
      <c r="L383" s="13" t="b">
        <v>1</v>
      </c>
      <c r="M383" s="9" t="b">
        <f>ISNUMBER(Sheet1!J383)</f>
        <v>1</v>
      </c>
      <c r="N383" s="13" t="str">
        <f>IF(Sheet1!B383="A","Branch A",IF(Sheet1!B383="B","Branch B","Other Branch"))</f>
        <v>Other Branch</v>
      </c>
      <c r="O383" s="13" t="str">
        <f>IF(Sheet1!M383="Credit card","Credit Payment","Other")</f>
        <v>Other</v>
      </c>
      <c r="P383" s="13" t="str">
        <f>IF(Sheet1!O383&gt;7,"Yes","No")</f>
        <v>No</v>
      </c>
    </row>
    <row r="384" spans="5:16">
      <c r="E384" s="13" t="str">
        <v>868</v>
      </c>
      <c r="F384" s="13" t="str">
        <v>7573</v>
      </c>
      <c r="G384" s="13" t="str">
        <v>52</v>
      </c>
      <c r="H384" s="13" t="str">
        <f>_xlfn.CONCAT(Sheet1!A384," --&gt; ",Sheet1!J384)</f>
        <v>868-52-7573 --&gt; 523.3725</v>
      </c>
      <c r="I384" s="13" t="str">
        <f>_xlfn.CONCAT(Sheet1!C384,"_",TEXT(Sheet1!K384, "m/d/yyyy"))</f>
        <v>Mandalay_1/14/2019</v>
      </c>
      <c r="J384" s="13" t="str">
        <f>IF(Sheet1!I384=Sheet1!N384*0.05,"Valid","Error")</f>
        <v>Valid</v>
      </c>
      <c r="K384" s="13" t="str">
        <f>IF(Sheet1!N384=Sheet1!G384*Sheet1!H384,"True","False")</f>
        <v>True</v>
      </c>
      <c r="L384" s="13" t="b">
        <v>1</v>
      </c>
      <c r="M384" s="9" t="b">
        <f>ISNUMBER(Sheet1!J384)</f>
        <v>1</v>
      </c>
      <c r="N384" s="13" t="str">
        <f>IF(Sheet1!B384="A","Branch A",IF(Sheet1!B384="B","Branch B","Other Branch"))</f>
        <v>Branch B</v>
      </c>
      <c r="O384" s="13" t="str">
        <f>IF(Sheet1!M384="Credit card","Credit Payment","Other")</f>
        <v>Other</v>
      </c>
      <c r="P384" s="13" t="str">
        <f>IF(Sheet1!O384&gt;7,"Yes","No")</f>
        <v>Yes</v>
      </c>
    </row>
    <row r="385" spans="5:16">
      <c r="E385" s="13" t="str">
        <v>153</v>
      </c>
      <c r="F385" s="13" t="str">
        <v>4872</v>
      </c>
      <c r="G385" s="13" t="str">
        <v>58</v>
      </c>
      <c r="H385" s="13" t="str">
        <f>_xlfn.CONCAT(Sheet1!A385," --&gt; ",Sheet1!J385)</f>
        <v>153-58-4872 --&gt; 314.538</v>
      </c>
      <c r="I385" s="13" t="str">
        <f>_xlfn.CONCAT(Sheet1!C385,"_",TEXT(Sheet1!K385, "m/d/yyyy"))</f>
        <v>Naypyitaw_3/1/2019</v>
      </c>
      <c r="J385" s="13" t="str">
        <f>IF(Sheet1!I385=Sheet1!N385*0.05,"Valid","Error")</f>
        <v>Valid</v>
      </c>
      <c r="K385" s="13" t="str">
        <f>IF(Sheet1!N385=Sheet1!G385*Sheet1!H385,"True","False")</f>
        <v>True</v>
      </c>
      <c r="L385" s="13" t="b">
        <v>1</v>
      </c>
      <c r="M385" s="9" t="b">
        <f>ISNUMBER(Sheet1!J385)</f>
        <v>1</v>
      </c>
      <c r="N385" s="13" t="str">
        <f>IF(Sheet1!B385="A","Branch A",IF(Sheet1!B385="B","Branch B","Other Branch"))</f>
        <v>Other Branch</v>
      </c>
      <c r="O385" s="13" t="str">
        <f>IF(Sheet1!M385="Credit card","Credit Payment","Other")</f>
        <v>Other</v>
      </c>
      <c r="P385" s="13" t="str">
        <f>IF(Sheet1!O385&gt;7,"Yes","No")</f>
        <v>No</v>
      </c>
    </row>
    <row r="386" spans="5:16">
      <c r="E386" s="13" t="str">
        <v>662</v>
      </c>
      <c r="F386" s="13" t="str">
        <v>2873</v>
      </c>
      <c r="G386" s="13" t="str">
        <v>72</v>
      </c>
      <c r="H386" s="13" t="str">
        <f>_xlfn.CONCAT(Sheet1!A386," --&gt; ",Sheet1!J386)</f>
        <v>662-72-2873 --&gt; 214.935</v>
      </c>
      <c r="I386" s="13" t="str">
        <f>_xlfn.CONCAT(Sheet1!C386,"_",TEXT(Sheet1!K386, "m/d/yyyy"))</f>
        <v>Yangon_1/6/2019</v>
      </c>
      <c r="J386" s="13" t="str">
        <f>IF(Sheet1!I386=Sheet1!N386*0.05,"Valid","Error")</f>
        <v>Valid</v>
      </c>
      <c r="K386" s="13" t="str">
        <f>IF(Sheet1!N386=Sheet1!G386*Sheet1!H386,"True","False")</f>
        <v>True</v>
      </c>
      <c r="L386" s="13" t="b">
        <v>1</v>
      </c>
      <c r="M386" s="9" t="b">
        <f>ISNUMBER(Sheet1!J386)</f>
        <v>1</v>
      </c>
      <c r="N386" s="13" t="str">
        <f>IF(Sheet1!B386="A","Branch A",IF(Sheet1!B386="B","Branch B","Other Branch"))</f>
        <v>Branch A</v>
      </c>
      <c r="O386" s="13" t="str">
        <f>IF(Sheet1!M386="Credit card","Credit Payment","Other")</f>
        <v>Other</v>
      </c>
      <c r="P386" s="13" t="str">
        <f>IF(Sheet1!O386&gt;7,"Yes","No")</f>
        <v>Yes</v>
      </c>
    </row>
    <row r="387" spans="5:16">
      <c r="E387" s="13" t="str">
        <v>525</v>
      </c>
      <c r="F387" s="13" t="str">
        <v>7307</v>
      </c>
      <c r="G387" s="13" t="str">
        <v>88</v>
      </c>
      <c r="H387" s="13" t="str">
        <f>_xlfn.CONCAT(Sheet1!A387," --&gt; ",Sheet1!J387)</f>
        <v>525-88-7307 --&gt; 79.611</v>
      </c>
      <c r="I387" s="13" t="str">
        <f>_xlfn.CONCAT(Sheet1!C387,"_",TEXT(Sheet1!K387, "m/d/yyyy"))</f>
        <v>Mandalay_1/31/2019</v>
      </c>
      <c r="J387" s="13" t="str">
        <f>IF(Sheet1!I387=Sheet1!N387*0.05,"Valid","Error")</f>
        <v>Valid</v>
      </c>
      <c r="K387" s="13" t="str">
        <f>IF(Sheet1!N387=Sheet1!G387*Sheet1!H387,"True","False")</f>
        <v>True</v>
      </c>
      <c r="L387" s="13" t="b">
        <v>1</v>
      </c>
      <c r="M387" s="9" t="b">
        <f>ISNUMBER(Sheet1!J387)</f>
        <v>1</v>
      </c>
      <c r="N387" s="13" t="str">
        <f>IF(Sheet1!B387="A","Branch A",IF(Sheet1!B387="B","Branch B","Other Branch"))</f>
        <v>Branch B</v>
      </c>
      <c r="O387" s="13" t="str">
        <f>IF(Sheet1!M387="Credit card","Credit Payment","Other")</f>
        <v>Other</v>
      </c>
      <c r="P387" s="13" t="str">
        <f>IF(Sheet1!O387&gt;7,"Yes","No")</f>
        <v>No</v>
      </c>
    </row>
    <row r="388" spans="5:16">
      <c r="E388" s="13" t="str">
        <v>689</v>
      </c>
      <c r="F388" s="13" t="str">
        <v>9784</v>
      </c>
      <c r="G388" s="13" t="str">
        <v>16</v>
      </c>
      <c r="H388" s="13" t="str">
        <f>_xlfn.CONCAT(Sheet1!A388," --&gt; ",Sheet1!J388)</f>
        <v>689-16-9784 --&gt; 294.651</v>
      </c>
      <c r="I388" s="13" t="str">
        <f>_xlfn.CONCAT(Sheet1!C388,"_",TEXT(Sheet1!K388, "m/d/yyyy"))</f>
        <v>Naypyitaw_3/11/2019</v>
      </c>
      <c r="J388" s="13" t="str">
        <f>IF(Sheet1!I388=Sheet1!N388*0.05,"Valid","Error")</f>
        <v>Valid</v>
      </c>
      <c r="K388" s="13" t="str">
        <f>IF(Sheet1!N388=Sheet1!G388*Sheet1!H388,"True","False")</f>
        <v>True</v>
      </c>
      <c r="L388" s="13" t="b">
        <v>1</v>
      </c>
      <c r="M388" s="9" t="b">
        <f>ISNUMBER(Sheet1!J388)</f>
        <v>1</v>
      </c>
      <c r="N388" s="13" t="str">
        <f>IF(Sheet1!B388="A","Branch A",IF(Sheet1!B388="B","Branch B","Other Branch"))</f>
        <v>Other Branch</v>
      </c>
      <c r="O388" s="13" t="str">
        <f>IF(Sheet1!M388="Credit card","Credit Payment","Other")</f>
        <v>Other</v>
      </c>
      <c r="P388" s="13" t="str">
        <f>IF(Sheet1!O388&gt;7,"Yes","No")</f>
        <v>No</v>
      </c>
    </row>
    <row r="389" spans="5:16">
      <c r="E389" s="13" t="str">
        <v>725</v>
      </c>
      <c r="F389" s="13" t="str">
        <v>0833</v>
      </c>
      <c r="G389" s="13" t="str">
        <v>56</v>
      </c>
      <c r="H389" s="13" t="str">
        <f>_xlfn.CONCAT(Sheet1!A389," --&gt; ",Sheet1!J389)</f>
        <v>725-56-0833 --&gt; 339.36</v>
      </c>
      <c r="I389" s="13" t="str">
        <f>_xlfn.CONCAT(Sheet1!C389,"_",TEXT(Sheet1!K389, "m/d/yyyy"))</f>
        <v>Yangon_2/20/2019</v>
      </c>
      <c r="J389" s="13" t="str">
        <f>IF(Sheet1!I389=Sheet1!N389*0.05,"Valid","Error")</f>
        <v>Valid</v>
      </c>
      <c r="K389" s="13" t="str">
        <f>IF(Sheet1!N389=Sheet1!G389*Sheet1!H389,"True","False")</f>
        <v>True</v>
      </c>
      <c r="L389" s="13" t="b">
        <v>1</v>
      </c>
      <c r="M389" s="9" t="b">
        <f>ISNUMBER(Sheet1!J389)</f>
        <v>1</v>
      </c>
      <c r="N389" s="13" t="str">
        <f>IF(Sheet1!B389="A","Branch A",IF(Sheet1!B389="B","Branch B","Other Branch"))</f>
        <v>Branch A</v>
      </c>
      <c r="O389" s="13" t="str">
        <f>IF(Sheet1!M389="Credit card","Credit Payment","Other")</f>
        <v>Credit Payment</v>
      </c>
      <c r="P389" s="13" t="str">
        <f>IF(Sheet1!O389&gt;7,"Yes","No")</f>
        <v>Yes</v>
      </c>
    </row>
    <row r="390" spans="5:16">
      <c r="E390" s="13" t="str">
        <v>394</v>
      </c>
      <c r="F390" s="13" t="str">
        <v>0748</v>
      </c>
      <c r="G390" s="13" t="str">
        <v>41</v>
      </c>
      <c r="H390" s="13" t="str">
        <f>_xlfn.CONCAT(Sheet1!A390," --&gt; ",Sheet1!J390)</f>
        <v>394-41-0748 --&gt; 510.9615</v>
      </c>
      <c r="I390" s="13" t="str">
        <f>_xlfn.CONCAT(Sheet1!C390,"_",TEXT(Sheet1!K390, "m/d/yyyy"))</f>
        <v>Naypyitaw_1/27/2019</v>
      </c>
      <c r="J390" s="13" t="str">
        <f>IF(Sheet1!I390=Sheet1!N390*0.05,"Valid","Error")</f>
        <v>Valid</v>
      </c>
      <c r="K390" s="13" t="str">
        <f>IF(Sheet1!N390=Sheet1!G390*Sheet1!H390,"True","False")</f>
        <v>True</v>
      </c>
      <c r="L390" s="13" t="b">
        <v>1</v>
      </c>
      <c r="M390" s="9" t="b">
        <f>ISNUMBER(Sheet1!J390)</f>
        <v>1</v>
      </c>
      <c r="N390" s="13" t="str">
        <f>IF(Sheet1!B390="A","Branch A",IF(Sheet1!B390="B","Branch B","Other Branch"))</f>
        <v>Other Branch</v>
      </c>
      <c r="O390" s="13" t="str">
        <f>IF(Sheet1!M390="Credit card","Credit Payment","Other")</f>
        <v>Other</v>
      </c>
      <c r="P390" s="13" t="str">
        <f>IF(Sheet1!O390&gt;7,"Yes","No")</f>
        <v>Yes</v>
      </c>
    </row>
    <row r="391" spans="5:16">
      <c r="E391" s="13" t="str">
        <v>596</v>
      </c>
      <c r="F391" s="13" t="str">
        <v>3999</v>
      </c>
      <c r="G391" s="13" t="str">
        <v>42</v>
      </c>
      <c r="H391" s="13" t="str">
        <f>_xlfn.CONCAT(Sheet1!A391," --&gt; ",Sheet1!J391)</f>
        <v>596-42-3999 --&gt; 133.917</v>
      </c>
      <c r="I391" s="13" t="str">
        <f>_xlfn.CONCAT(Sheet1!C391,"_",TEXT(Sheet1!K391, "m/d/yyyy"))</f>
        <v>Mandalay_3/10/2019</v>
      </c>
      <c r="J391" s="13" t="str">
        <f>IF(Sheet1!I391=Sheet1!N391*0.05,"Valid","Error")</f>
        <v>Valid</v>
      </c>
      <c r="K391" s="13" t="str">
        <f>IF(Sheet1!N391=Sheet1!G391*Sheet1!H391,"True","False")</f>
        <v>True</v>
      </c>
      <c r="L391" s="13" t="b">
        <v>1</v>
      </c>
      <c r="M391" s="9" t="b">
        <f>ISNUMBER(Sheet1!J391)</f>
        <v>1</v>
      </c>
      <c r="N391" s="13" t="str">
        <f>IF(Sheet1!B391="A","Branch A",IF(Sheet1!B391="B","Branch B","Other Branch"))</f>
        <v>Branch B</v>
      </c>
      <c r="O391" s="13" t="str">
        <f>IF(Sheet1!M391="Credit card","Credit Payment","Other")</f>
        <v>Credit Payment</v>
      </c>
      <c r="P391" s="13" t="str">
        <f>IF(Sheet1!O391&gt;7,"Yes","No")</f>
        <v>No</v>
      </c>
    </row>
    <row r="392" spans="5:16">
      <c r="E392" s="13" t="str">
        <v>541</v>
      </c>
      <c r="F392" s="13" t="str">
        <v>9860</v>
      </c>
      <c r="G392" s="13" t="str">
        <v>89</v>
      </c>
      <c r="H392" s="13" t="str">
        <f>_xlfn.CONCAT(Sheet1!A392," --&gt; ",Sheet1!J392)</f>
        <v>541-89-9860 --&gt; 253.512</v>
      </c>
      <c r="I392" s="13" t="str">
        <f>_xlfn.CONCAT(Sheet1!C392,"_",TEXT(Sheet1!K392, "m/d/yyyy"))</f>
        <v>Naypyitaw_2/15/2019</v>
      </c>
      <c r="J392" s="13" t="str">
        <f>IF(Sheet1!I392=Sheet1!N392*0.05,"Valid","Error")</f>
        <v>Valid</v>
      </c>
      <c r="K392" s="13" t="str">
        <f>IF(Sheet1!N392=Sheet1!G392*Sheet1!H392,"True","False")</f>
        <v>True</v>
      </c>
      <c r="L392" s="13" t="b">
        <v>1</v>
      </c>
      <c r="M392" s="9" t="b">
        <f>ISNUMBER(Sheet1!J392)</f>
        <v>1</v>
      </c>
      <c r="N392" s="13" t="str">
        <f>IF(Sheet1!B392="A","Branch A",IF(Sheet1!B392="B","Branch B","Other Branch"))</f>
        <v>Other Branch</v>
      </c>
      <c r="O392" s="13" t="str">
        <f>IF(Sheet1!M392="Credit card","Credit Payment","Other")</f>
        <v>Other</v>
      </c>
      <c r="P392" s="13" t="str">
        <f>IF(Sheet1!O392&gt;7,"Yes","No")</f>
        <v>Yes</v>
      </c>
    </row>
    <row r="393" spans="5:16">
      <c r="E393" s="13" t="str">
        <v>173</v>
      </c>
      <c r="F393" s="13" t="str">
        <v>9529</v>
      </c>
      <c r="G393" s="13" t="str">
        <v>82</v>
      </c>
      <c r="H393" s="13" t="str">
        <f>_xlfn.CONCAT(Sheet1!A393," --&gt; ",Sheet1!J393)</f>
        <v>173-82-9529 --&gt; 398.475</v>
      </c>
      <c r="I393" s="13" t="str">
        <f>_xlfn.CONCAT(Sheet1!C393,"_",TEXT(Sheet1!K393, "m/d/yyyy"))</f>
        <v>Mandalay_1/26/2019</v>
      </c>
      <c r="J393" s="13" t="str">
        <f>IF(Sheet1!I393=Sheet1!N393*0.05,"Valid","Error")</f>
        <v>Valid</v>
      </c>
      <c r="K393" s="13" t="str">
        <f>IF(Sheet1!N393=Sheet1!G393*Sheet1!H393,"True","False")</f>
        <v>True</v>
      </c>
      <c r="L393" s="13" t="b">
        <v>1</v>
      </c>
      <c r="M393" s="9" t="b">
        <f>ISNUMBER(Sheet1!J393)</f>
        <v>1</v>
      </c>
      <c r="N393" s="13" t="str">
        <f>IF(Sheet1!B393="A","Branch A",IF(Sheet1!B393="B","Branch B","Other Branch"))</f>
        <v>Branch B</v>
      </c>
      <c r="O393" s="13" t="str">
        <f>IF(Sheet1!M393="Credit card","Credit Payment","Other")</f>
        <v>Other</v>
      </c>
      <c r="P393" s="13" t="str">
        <f>IF(Sheet1!O393&gt;7,"Yes","No")</f>
        <v>Yes</v>
      </c>
    </row>
    <row r="394" spans="5:16">
      <c r="E394" s="13" t="str">
        <v>563</v>
      </c>
      <c r="F394" s="13" t="str">
        <v>9814</v>
      </c>
      <c r="G394" s="13" t="str">
        <v>36</v>
      </c>
      <c r="H394" s="13" t="str">
        <f>_xlfn.CONCAT(Sheet1!A394," --&gt; ",Sheet1!J394)</f>
        <v>563-36-9814 --&gt; 80.661</v>
      </c>
      <c r="I394" s="13" t="str">
        <f>_xlfn.CONCAT(Sheet1!C394,"_",TEXT(Sheet1!K394, "m/d/yyyy"))</f>
        <v>Yangon_2/13/2019</v>
      </c>
      <c r="J394" s="13" t="str">
        <f>IF(Sheet1!I394=Sheet1!N394*0.05,"Valid","Error")</f>
        <v>Valid</v>
      </c>
      <c r="K394" s="13" t="str">
        <f>IF(Sheet1!N394=Sheet1!G394*Sheet1!H394,"True","False")</f>
        <v>True</v>
      </c>
      <c r="L394" s="13" t="b">
        <v>1</v>
      </c>
      <c r="M394" s="9" t="b">
        <f>ISNUMBER(Sheet1!J394)</f>
        <v>1</v>
      </c>
      <c r="N394" s="13" t="str">
        <f>IF(Sheet1!B394="A","Branch A",IF(Sheet1!B394="B","Branch B","Other Branch"))</f>
        <v>Branch A</v>
      </c>
      <c r="O394" s="13" t="str">
        <f>IF(Sheet1!M394="Credit card","Credit Payment","Other")</f>
        <v>Other</v>
      </c>
      <c r="P394" s="13" t="str">
        <f>IF(Sheet1!O394&gt;7,"Yes","No")</f>
        <v>Yes</v>
      </c>
    </row>
    <row r="395" spans="5:16">
      <c r="E395" s="13" t="str">
        <v>308</v>
      </c>
      <c r="F395" s="13" t="str">
        <v>4913</v>
      </c>
      <c r="G395" s="13" t="str">
        <v>47</v>
      </c>
      <c r="H395" s="13" t="str">
        <f>_xlfn.CONCAT(Sheet1!A395," --&gt; ",Sheet1!J395)</f>
        <v>308-47-4913 --&gt; 548.73</v>
      </c>
      <c r="I395" s="13" t="str">
        <f>_xlfn.CONCAT(Sheet1!C395,"_",TEXT(Sheet1!K395, "m/d/yyyy"))</f>
        <v>Yangon_3/9/2019</v>
      </c>
      <c r="J395" s="13" t="str">
        <f>IF(Sheet1!I395=Sheet1!N395*0.05,"Valid","Error")</f>
        <v>Valid</v>
      </c>
      <c r="K395" s="13" t="str">
        <f>IF(Sheet1!N395=Sheet1!G395*Sheet1!H395,"True","False")</f>
        <v>True</v>
      </c>
      <c r="L395" s="13" t="b">
        <v>1</v>
      </c>
      <c r="M395" s="9" t="b">
        <f>ISNUMBER(Sheet1!J395)</f>
        <v>1</v>
      </c>
      <c r="N395" s="13" t="str">
        <f>IF(Sheet1!B395="A","Branch A",IF(Sheet1!B395="B","Branch B","Other Branch"))</f>
        <v>Branch A</v>
      </c>
      <c r="O395" s="13" t="str">
        <f>IF(Sheet1!M395="Credit card","Credit Payment","Other")</f>
        <v>Credit Payment</v>
      </c>
      <c r="P395" s="13" t="str">
        <f>IF(Sheet1!O395&gt;7,"Yes","No")</f>
        <v>No</v>
      </c>
    </row>
    <row r="396" spans="5:16">
      <c r="E396" s="13" t="str">
        <v>885</v>
      </c>
      <c r="F396" s="13" t="str">
        <v>6250</v>
      </c>
      <c r="G396" s="13" t="str">
        <v>17</v>
      </c>
      <c r="H396" s="13" t="str">
        <f>_xlfn.CONCAT(Sheet1!A396," --&gt; ",Sheet1!J396)</f>
        <v>885-17-6250 --&gt; 83.727</v>
      </c>
      <c r="I396" s="13" t="str">
        <f>_xlfn.CONCAT(Sheet1!C396,"_",TEXT(Sheet1!K396, "m/d/yyyy"))</f>
        <v>Yangon_3/6/2019</v>
      </c>
      <c r="J396" s="13" t="str">
        <f>IF(Sheet1!I396=Sheet1!N396*0.05,"Valid","Error")</f>
        <v>Valid</v>
      </c>
      <c r="K396" s="13" t="str">
        <f>IF(Sheet1!N396=Sheet1!G396*Sheet1!H396,"True","False")</f>
        <v>True</v>
      </c>
      <c r="L396" s="13" t="b">
        <v>1</v>
      </c>
      <c r="M396" s="9" t="b">
        <f>ISNUMBER(Sheet1!J396)</f>
        <v>1</v>
      </c>
      <c r="N396" s="13" t="str">
        <f>IF(Sheet1!B396="A","Branch A",IF(Sheet1!B396="B","Branch B","Other Branch"))</f>
        <v>Branch A</v>
      </c>
      <c r="O396" s="13" t="str">
        <f>IF(Sheet1!M396="Credit card","Credit Payment","Other")</f>
        <v>Other</v>
      </c>
      <c r="P396" s="13" t="str">
        <f>IF(Sheet1!O396&gt;7,"Yes","No")</f>
        <v>Yes</v>
      </c>
    </row>
    <row r="397" spans="5:16">
      <c r="E397" s="13" t="str">
        <v>726</v>
      </c>
      <c r="F397" s="13" t="str">
        <v>2396</v>
      </c>
      <c r="G397" s="13" t="str">
        <v>27</v>
      </c>
      <c r="H397" s="13" t="str">
        <f>_xlfn.CONCAT(Sheet1!A397," --&gt; ",Sheet1!J397)</f>
        <v>726-27-2396 --&gt; 406.875</v>
      </c>
      <c r="I397" s="13" t="str">
        <f>_xlfn.CONCAT(Sheet1!C397,"_",TEXT(Sheet1!K397, "m/d/yyyy"))</f>
        <v>Yangon_1/24/2019</v>
      </c>
      <c r="J397" s="13" t="str">
        <f>IF(Sheet1!I397=Sheet1!N397*0.05,"Valid","Error")</f>
        <v>Valid</v>
      </c>
      <c r="K397" s="13" t="str">
        <f>IF(Sheet1!N397=Sheet1!G397*Sheet1!H397,"True","False")</f>
        <v>True</v>
      </c>
      <c r="L397" s="13" t="b">
        <v>1</v>
      </c>
      <c r="M397" s="9" t="b">
        <f>ISNUMBER(Sheet1!J397)</f>
        <v>1</v>
      </c>
      <c r="N397" s="13" t="str">
        <f>IF(Sheet1!B397="A","Branch A",IF(Sheet1!B397="B","Branch B","Other Branch"))</f>
        <v>Branch A</v>
      </c>
      <c r="O397" s="13" t="str">
        <f>IF(Sheet1!M397="Credit card","Credit Payment","Other")</f>
        <v>Other</v>
      </c>
      <c r="P397" s="13" t="str">
        <f>IF(Sheet1!O397&gt;7,"Yes","No")</f>
        <v>No</v>
      </c>
    </row>
    <row r="398" spans="5:16">
      <c r="E398" s="13" t="str">
        <v>316</v>
      </c>
      <c r="F398" s="13" t="str">
        <v>3952</v>
      </c>
      <c r="G398" s="13" t="str">
        <v>01</v>
      </c>
      <c r="H398" s="13" t="str">
        <f>_xlfn.CONCAT(Sheet1!A398," --&gt; ",Sheet1!J398)</f>
        <v>316-01-3952 --&gt; 284.9175</v>
      </c>
      <c r="I398" s="13" t="str">
        <f>_xlfn.CONCAT(Sheet1!C398,"_",TEXT(Sheet1!K398, "m/d/yyyy"))</f>
        <v>Yangon_3/13/2019</v>
      </c>
      <c r="J398" s="13" t="str">
        <f>IF(Sheet1!I398=Sheet1!N398*0.05,"Valid","Error")</f>
        <v>Valid</v>
      </c>
      <c r="K398" s="13" t="str">
        <f>IF(Sheet1!N398=Sheet1!G398*Sheet1!H398,"True","False")</f>
        <v>True</v>
      </c>
      <c r="L398" s="13" t="b">
        <v>1</v>
      </c>
      <c r="M398" s="9" t="b">
        <f>ISNUMBER(Sheet1!J398)</f>
        <v>1</v>
      </c>
      <c r="N398" s="13" t="str">
        <f>IF(Sheet1!B398="A","Branch A",IF(Sheet1!B398="B","Branch B","Other Branch"))</f>
        <v>Branch A</v>
      </c>
      <c r="O398" s="13" t="str">
        <f>IF(Sheet1!M398="Credit card","Credit Payment","Other")</f>
        <v>Other</v>
      </c>
      <c r="P398" s="13" t="str">
        <f>IF(Sheet1!O398&gt;7,"Yes","No")</f>
        <v>No</v>
      </c>
    </row>
    <row r="399" spans="5:16">
      <c r="E399" s="13" t="str">
        <v>760</v>
      </c>
      <c r="F399" s="13" t="str">
        <v>1821</v>
      </c>
      <c r="G399" s="13" t="str">
        <v>54</v>
      </c>
      <c r="H399" s="13" t="str">
        <f>_xlfn.CONCAT(Sheet1!A399," --&gt; ",Sheet1!J399)</f>
        <v>760-54-1821 --&gt; 128.4255</v>
      </c>
      <c r="I399" s="13" t="str">
        <f>_xlfn.CONCAT(Sheet1!C399,"_",TEXT(Sheet1!K399, "m/d/yyyy"))</f>
        <v>Mandalay_3/15/2019</v>
      </c>
      <c r="J399" s="13" t="str">
        <f>IF(Sheet1!I399=Sheet1!N399*0.05,"Valid","Error")</f>
        <v>Valid</v>
      </c>
      <c r="K399" s="13" t="str">
        <f>IF(Sheet1!N399=Sheet1!G399*Sheet1!H399,"True","False")</f>
        <v>True</v>
      </c>
      <c r="L399" s="13" t="b">
        <v>1</v>
      </c>
      <c r="M399" s="9" t="b">
        <f>ISNUMBER(Sheet1!J399)</f>
        <v>1</v>
      </c>
      <c r="N399" s="13" t="str">
        <f>IF(Sheet1!B399="A","Branch A",IF(Sheet1!B399="B","Branch B","Other Branch"))</f>
        <v>Branch B</v>
      </c>
      <c r="O399" s="13" t="str">
        <f>IF(Sheet1!M399="Credit card","Credit Payment","Other")</f>
        <v>Other</v>
      </c>
      <c r="P399" s="13" t="str">
        <f>IF(Sheet1!O399&gt;7,"Yes","No")</f>
        <v>No</v>
      </c>
    </row>
    <row r="400" spans="5:16">
      <c r="E400" s="13" t="str">
        <v>793</v>
      </c>
      <c r="F400" s="13" t="str">
        <v>3222</v>
      </c>
      <c r="G400" s="13" t="str">
        <v>10</v>
      </c>
      <c r="H400" s="13" t="str">
        <f>_xlfn.CONCAT(Sheet1!A400," --&gt; ",Sheet1!J400)</f>
        <v>793-10-3222 --&gt; 258.678</v>
      </c>
      <c r="I400" s="13" t="str">
        <f>_xlfn.CONCAT(Sheet1!C400,"_",TEXT(Sheet1!K400, "m/d/yyyy"))</f>
        <v>Mandalay_3/5/2019</v>
      </c>
      <c r="J400" s="13" t="str">
        <f>IF(Sheet1!I400=Sheet1!N400*0.05,"Valid","Error")</f>
        <v>Valid</v>
      </c>
      <c r="K400" s="13" t="str">
        <f>IF(Sheet1!N400=Sheet1!G400*Sheet1!H400,"True","False")</f>
        <v>True</v>
      </c>
      <c r="L400" s="13" t="b">
        <v>1</v>
      </c>
      <c r="M400" s="9" t="b">
        <f>ISNUMBER(Sheet1!J400)</f>
        <v>1</v>
      </c>
      <c r="N400" s="13" t="str">
        <f>IF(Sheet1!B400="A","Branch A",IF(Sheet1!B400="B","Branch B","Other Branch"))</f>
        <v>Branch B</v>
      </c>
      <c r="O400" s="13" t="str">
        <f>IF(Sheet1!M400="Credit card","Credit Payment","Other")</f>
        <v>Credit Payment</v>
      </c>
      <c r="P400" s="13" t="str">
        <f>IF(Sheet1!O400&gt;7,"Yes","No")</f>
        <v>Yes</v>
      </c>
    </row>
    <row r="401" spans="5:16">
      <c r="E401" s="13" t="str">
        <v>346</v>
      </c>
      <c r="F401" s="13" t="str">
        <v>3257</v>
      </c>
      <c r="G401" s="13" t="str">
        <v>12</v>
      </c>
      <c r="H401" s="13" t="str">
        <f>_xlfn.CONCAT(Sheet1!A401," --&gt; ",Sheet1!J401)</f>
        <v>346-12-3257 --&gt; 181.818</v>
      </c>
      <c r="I401" s="13" t="str">
        <f>_xlfn.CONCAT(Sheet1!C401,"_",TEXT(Sheet1!K401, "m/d/yyyy"))</f>
        <v>Mandalay_3/4/2019</v>
      </c>
      <c r="J401" s="13" t="str">
        <f>IF(Sheet1!I401=Sheet1!N401*0.05,"Valid","Error")</f>
        <v>Valid</v>
      </c>
      <c r="K401" s="13" t="str">
        <f>IF(Sheet1!N401=Sheet1!G401*Sheet1!H401,"True","False")</f>
        <v>True</v>
      </c>
      <c r="L401" s="13" t="b">
        <v>1</v>
      </c>
      <c r="M401" s="9" t="b">
        <f>ISNUMBER(Sheet1!J401)</f>
        <v>1</v>
      </c>
      <c r="N401" s="13" t="str">
        <f>IF(Sheet1!B401="A","Branch A",IF(Sheet1!B401="B","Branch B","Other Branch"))</f>
        <v>Branch B</v>
      </c>
      <c r="O401" s="13" t="str">
        <f>IF(Sheet1!M401="Credit card","Credit Payment","Other")</f>
        <v>Other</v>
      </c>
      <c r="P401" s="13" t="str">
        <f>IF(Sheet1!O401&gt;7,"Yes","No")</f>
        <v>Yes</v>
      </c>
    </row>
    <row r="402" spans="5:16">
      <c r="E402" s="13" t="str">
        <v>110</v>
      </c>
      <c r="F402" s="13" t="str">
        <v>6330</v>
      </c>
      <c r="G402" s="13" t="str">
        <v>05</v>
      </c>
      <c r="H402" s="13" t="str">
        <f>_xlfn.CONCAT(Sheet1!A402," --&gt; ",Sheet1!J402)</f>
        <v>110-05-6330 --&gt; 248.409</v>
      </c>
      <c r="I402" s="13" t="str">
        <f>_xlfn.CONCAT(Sheet1!C402,"_",TEXT(Sheet1!K402, "m/d/yyyy"))</f>
        <v>Naypyitaw_3/25/2019</v>
      </c>
      <c r="J402" s="13" t="str">
        <f>IF(Sheet1!I402=Sheet1!N402*0.05,"Valid","Error")</f>
        <v>Valid</v>
      </c>
      <c r="K402" s="13" t="str">
        <f>IF(Sheet1!N402=Sheet1!G402*Sheet1!H402,"True","False")</f>
        <v>True</v>
      </c>
      <c r="L402" s="13" t="b">
        <v>1</v>
      </c>
      <c r="M402" s="9" t="b">
        <f>ISNUMBER(Sheet1!J402)</f>
        <v>1</v>
      </c>
      <c r="N402" s="13" t="str">
        <f>IF(Sheet1!B402="A","Branch A",IF(Sheet1!B402="B","Branch B","Other Branch"))</f>
        <v>Other Branch</v>
      </c>
      <c r="O402" s="13" t="str">
        <f>IF(Sheet1!M402="Credit card","Credit Payment","Other")</f>
        <v>Credit Payment</v>
      </c>
      <c r="P402" s="13" t="str">
        <f>IF(Sheet1!O402&gt;7,"Yes","No")</f>
        <v>Yes</v>
      </c>
    </row>
    <row r="403" spans="5:16">
      <c r="E403" s="13" t="str">
        <v>651</v>
      </c>
      <c r="F403" s="13" t="str">
        <v>0874</v>
      </c>
      <c r="G403" s="13" t="str">
        <v>61</v>
      </c>
      <c r="H403" s="13" t="str">
        <f>_xlfn.CONCAT(Sheet1!A403," --&gt; ",Sheet1!J403)</f>
        <v>651-61-0874 --&gt; 194.124</v>
      </c>
      <c r="I403" s="13" t="str">
        <f>_xlfn.CONCAT(Sheet1!C403,"_",TEXT(Sheet1!K403, "m/d/yyyy"))</f>
        <v>Naypyitaw_3/12/2019</v>
      </c>
      <c r="J403" s="13" t="str">
        <f>IF(Sheet1!I403=Sheet1!N403*0.05,"Valid","Error")</f>
        <v>Valid</v>
      </c>
      <c r="K403" s="13" t="str">
        <f>IF(Sheet1!N403=Sheet1!G403*Sheet1!H403,"True","False")</f>
        <v>True</v>
      </c>
      <c r="L403" s="13" t="b">
        <v>1</v>
      </c>
      <c r="M403" s="9" t="b">
        <f>ISNUMBER(Sheet1!J403)</f>
        <v>1</v>
      </c>
      <c r="N403" s="13" t="str">
        <f>IF(Sheet1!B403="A","Branch A",IF(Sheet1!B403="B","Branch B","Other Branch"))</f>
        <v>Other Branch</v>
      </c>
      <c r="O403" s="13" t="str">
        <f>IF(Sheet1!M403="Credit card","Credit Payment","Other")</f>
        <v>Credit Payment</v>
      </c>
      <c r="P403" s="13" t="str">
        <f>IF(Sheet1!O403&gt;7,"Yes","No")</f>
        <v>No</v>
      </c>
    </row>
    <row r="404" spans="5:16">
      <c r="E404" s="13" t="str">
        <v>236</v>
      </c>
      <c r="F404" s="13" t="str">
        <v>3015</v>
      </c>
      <c r="G404" s="13" t="str">
        <v>86</v>
      </c>
      <c r="H404" s="13" t="str">
        <f>_xlfn.CONCAT(Sheet1!A404," --&gt; ",Sheet1!J404)</f>
        <v>236-86-3015 --&gt; 14.679</v>
      </c>
      <c r="I404" s="13" t="str">
        <f>_xlfn.CONCAT(Sheet1!C404,"_",TEXT(Sheet1!K404, "m/d/yyyy"))</f>
        <v>Naypyitaw_2/4/2019</v>
      </c>
      <c r="J404" s="13" t="str">
        <f>IF(Sheet1!I404=Sheet1!N404*0.05,"Valid","Error")</f>
        <v>Valid</v>
      </c>
      <c r="K404" s="13" t="str">
        <f>IF(Sheet1!N404=Sheet1!G404*Sheet1!H404,"True","False")</f>
        <v>True</v>
      </c>
      <c r="L404" s="13" t="b">
        <v>1</v>
      </c>
      <c r="M404" s="9" t="b">
        <f>ISNUMBER(Sheet1!J404)</f>
        <v>1</v>
      </c>
      <c r="N404" s="13" t="str">
        <f>IF(Sheet1!B404="A","Branch A",IF(Sheet1!B404="B","Branch B","Other Branch"))</f>
        <v>Other Branch</v>
      </c>
      <c r="O404" s="13" t="str">
        <f>IF(Sheet1!M404="Credit card","Credit Payment","Other")</f>
        <v>Other</v>
      </c>
      <c r="P404" s="13" t="str">
        <f>IF(Sheet1!O404&gt;7,"Yes","No")</f>
        <v>Yes</v>
      </c>
    </row>
    <row r="405" spans="5:16">
      <c r="E405" s="13" t="str">
        <v>831</v>
      </c>
      <c r="F405" s="13" t="str">
        <v>0259</v>
      </c>
      <c r="G405" s="13" t="str">
        <v>64</v>
      </c>
      <c r="H405" s="13" t="str">
        <f>_xlfn.CONCAT(Sheet1!A405," --&gt; ",Sheet1!J405)</f>
        <v>831-64-0259 --&gt; 208.6875</v>
      </c>
      <c r="I405" s="13" t="str">
        <f>_xlfn.CONCAT(Sheet1!C405,"_",TEXT(Sheet1!K405, "m/d/yyyy"))</f>
        <v>Mandalay_2/22/2019</v>
      </c>
      <c r="J405" s="13" t="str">
        <f>IF(Sheet1!I405=Sheet1!N405*0.05,"Valid","Error")</f>
        <v>Valid</v>
      </c>
      <c r="K405" s="13" t="str">
        <f>IF(Sheet1!N405=Sheet1!G405*Sheet1!H405,"True","False")</f>
        <v>True</v>
      </c>
      <c r="L405" s="13" t="b">
        <v>1</v>
      </c>
      <c r="M405" s="9" t="b">
        <f>ISNUMBER(Sheet1!J405)</f>
        <v>1</v>
      </c>
      <c r="N405" s="13" t="str">
        <f>IF(Sheet1!B405="A","Branch A",IF(Sheet1!B405="B","Branch B","Other Branch"))</f>
        <v>Branch B</v>
      </c>
      <c r="O405" s="13" t="str">
        <f>IF(Sheet1!M405="Credit card","Credit Payment","Other")</f>
        <v>Other</v>
      </c>
      <c r="P405" s="13" t="str">
        <f>IF(Sheet1!O405&gt;7,"Yes","No")</f>
        <v>Yes</v>
      </c>
    </row>
    <row r="406" spans="5:16">
      <c r="E406" s="13" t="str">
        <v>587</v>
      </c>
      <c r="F406" s="13" t="str">
        <v>7455</v>
      </c>
      <c r="G406" s="13" t="str">
        <v>03</v>
      </c>
      <c r="H406" s="13" t="str">
        <f>_xlfn.CONCAT(Sheet1!A406," --&gt; ",Sheet1!J406)</f>
        <v>587-03-7455 --&gt; 718.7565</v>
      </c>
      <c r="I406" s="13" t="str">
        <f>_xlfn.CONCAT(Sheet1!C406,"_",TEXT(Sheet1!K406, "m/d/yyyy"))</f>
        <v>Naypyitaw_2/16/2019</v>
      </c>
      <c r="J406" s="13" t="str">
        <f>IF(Sheet1!I406=Sheet1!N406*0.05,"Valid","Error")</f>
        <v>Valid</v>
      </c>
      <c r="K406" s="13" t="str">
        <f>IF(Sheet1!N406=Sheet1!G406*Sheet1!H406,"True","False")</f>
        <v>True</v>
      </c>
      <c r="L406" s="13" t="b">
        <v>1</v>
      </c>
      <c r="M406" s="9" t="b">
        <f>ISNUMBER(Sheet1!J406)</f>
        <v>1</v>
      </c>
      <c r="N406" s="13" t="str">
        <f>IF(Sheet1!B406="A","Branch A",IF(Sheet1!B406="B","Branch B","Other Branch"))</f>
        <v>Other Branch</v>
      </c>
      <c r="O406" s="13" t="str">
        <f>IF(Sheet1!M406="Credit card","Credit Payment","Other")</f>
        <v>Other</v>
      </c>
      <c r="P406" s="13" t="str">
        <f>IF(Sheet1!O406&gt;7,"Yes","No")</f>
        <v>No</v>
      </c>
    </row>
    <row r="407" spans="5:16">
      <c r="E407" s="13" t="str">
        <v>882</v>
      </c>
      <c r="F407" s="13" t="str">
        <v>4577</v>
      </c>
      <c r="G407" s="13" t="str">
        <v>40</v>
      </c>
      <c r="H407" s="13" t="str">
        <f>_xlfn.CONCAT(Sheet1!A407," --&gt; ",Sheet1!J407)</f>
        <v>882-40-4577 --&gt; 282.492</v>
      </c>
      <c r="I407" s="13" t="str">
        <f>_xlfn.CONCAT(Sheet1!C407,"_",TEXT(Sheet1!K407, "m/d/yyyy"))</f>
        <v>Yangon_1/19/2019</v>
      </c>
      <c r="J407" s="13" t="str">
        <f>IF(Sheet1!I407=Sheet1!N407*0.05,"Valid","Error")</f>
        <v>Valid</v>
      </c>
      <c r="K407" s="13" t="str">
        <f>IF(Sheet1!N407=Sheet1!G407*Sheet1!H407,"True","False")</f>
        <v>True</v>
      </c>
      <c r="L407" s="13" t="b">
        <v>1</v>
      </c>
      <c r="M407" s="9" t="b">
        <f>ISNUMBER(Sheet1!J407)</f>
        <v>1</v>
      </c>
      <c r="N407" s="13" t="str">
        <f>IF(Sheet1!B407="A","Branch A",IF(Sheet1!B407="B","Branch B","Other Branch"))</f>
        <v>Branch A</v>
      </c>
      <c r="O407" s="13" t="str">
        <f>IF(Sheet1!M407="Credit card","Credit Payment","Other")</f>
        <v>Credit Payment</v>
      </c>
      <c r="P407" s="13" t="str">
        <f>IF(Sheet1!O407&gt;7,"Yes","No")</f>
        <v>Yes</v>
      </c>
    </row>
    <row r="408" spans="5:16">
      <c r="E408" s="13" t="str">
        <v>732</v>
      </c>
      <c r="F408" s="13" t="str">
        <v>5346</v>
      </c>
      <c r="G408" s="13" t="str">
        <v>67</v>
      </c>
      <c r="H408" s="13" t="str">
        <f>_xlfn.CONCAT(Sheet1!A408," --&gt; ",Sheet1!J408)</f>
        <v>732-67-5346 --&gt; 72.3975</v>
      </c>
      <c r="I408" s="13" t="str">
        <f>_xlfn.CONCAT(Sheet1!C408,"_",TEXT(Sheet1!K408, "m/d/yyyy"))</f>
        <v>Yangon_1/11/2019</v>
      </c>
      <c r="J408" s="13" t="str">
        <f>IF(Sheet1!I408=Sheet1!N408*0.05,"Valid","Error")</f>
        <v>Valid</v>
      </c>
      <c r="K408" s="13" t="str">
        <f>IF(Sheet1!N408=Sheet1!G408*Sheet1!H408,"True","False")</f>
        <v>True</v>
      </c>
      <c r="L408" s="13" t="b">
        <v>1</v>
      </c>
      <c r="M408" s="9" t="b">
        <f>ISNUMBER(Sheet1!J408)</f>
        <v>1</v>
      </c>
      <c r="N408" s="13" t="str">
        <f>IF(Sheet1!B408="A","Branch A",IF(Sheet1!B408="B","Branch B","Other Branch"))</f>
        <v>Branch A</v>
      </c>
      <c r="O408" s="13" t="str">
        <f>IF(Sheet1!M408="Credit card","Credit Payment","Other")</f>
        <v>Credit Payment</v>
      </c>
      <c r="P408" s="13" t="str">
        <f>IF(Sheet1!O408&gt;7,"Yes","No")</f>
        <v>Yes</v>
      </c>
    </row>
    <row r="409" spans="5:16">
      <c r="E409" s="13" t="str">
        <v>725</v>
      </c>
      <c r="F409" s="13" t="str">
        <v>9708</v>
      </c>
      <c r="G409" s="13" t="str">
        <v>32</v>
      </c>
      <c r="H409" s="13" t="str">
        <f>_xlfn.CONCAT(Sheet1!A409," --&gt; ",Sheet1!J409)</f>
        <v>725-32-9708 --&gt; 288.582</v>
      </c>
      <c r="I409" s="13" t="str">
        <f>_xlfn.CONCAT(Sheet1!C409,"_",TEXT(Sheet1!K409, "m/d/yyyy"))</f>
        <v>Mandalay_1/4/2019</v>
      </c>
      <c r="J409" s="13" t="str">
        <f>IF(Sheet1!I409=Sheet1!N409*0.05,"Valid","Error")</f>
        <v>Valid</v>
      </c>
      <c r="K409" s="13" t="str">
        <f>IF(Sheet1!N409=Sheet1!G409*Sheet1!H409,"True","False")</f>
        <v>True</v>
      </c>
      <c r="L409" s="13" t="b">
        <v>1</v>
      </c>
      <c r="M409" s="9" t="b">
        <f>ISNUMBER(Sheet1!J409)</f>
        <v>1</v>
      </c>
      <c r="N409" s="13" t="str">
        <f>IF(Sheet1!B409="A","Branch A",IF(Sheet1!B409="B","Branch B","Other Branch"))</f>
        <v>Branch B</v>
      </c>
      <c r="O409" s="13" t="str">
        <f>IF(Sheet1!M409="Credit card","Credit Payment","Other")</f>
        <v>Other</v>
      </c>
      <c r="P409" s="13" t="str">
        <f>IF(Sheet1!O409&gt;7,"Yes","No")</f>
        <v>No</v>
      </c>
    </row>
    <row r="410" spans="5:16">
      <c r="E410" s="13" t="str">
        <v>256</v>
      </c>
      <c r="F410" s="13" t="str">
        <v>8343</v>
      </c>
      <c r="G410" s="13" t="str">
        <v>08</v>
      </c>
      <c r="H410" s="13" t="str">
        <f>_xlfn.CONCAT(Sheet1!A410," --&gt; ",Sheet1!J410)</f>
        <v>256-08-8343 --&gt; 237.426</v>
      </c>
      <c r="I410" s="13" t="str">
        <f>_xlfn.CONCAT(Sheet1!C410,"_",TEXT(Sheet1!K410, "m/d/yyyy"))</f>
        <v>Yangon_3/4/2019</v>
      </c>
      <c r="J410" s="13" t="str">
        <f>IF(Sheet1!I410=Sheet1!N410*0.05,"Valid","Error")</f>
        <v>Valid</v>
      </c>
      <c r="K410" s="13" t="str">
        <f>IF(Sheet1!N410=Sheet1!G410*Sheet1!H410,"True","False")</f>
        <v>True</v>
      </c>
      <c r="L410" s="13" t="b">
        <v>1</v>
      </c>
      <c r="M410" s="9" t="b">
        <f>ISNUMBER(Sheet1!J410)</f>
        <v>1</v>
      </c>
      <c r="N410" s="13" t="str">
        <f>IF(Sheet1!B410="A","Branch A",IF(Sheet1!B410="B","Branch B","Other Branch"))</f>
        <v>Branch A</v>
      </c>
      <c r="O410" s="13" t="str">
        <f>IF(Sheet1!M410="Credit card","Credit Payment","Other")</f>
        <v>Other</v>
      </c>
      <c r="P410" s="13" t="str">
        <f>IF(Sheet1!O410&gt;7,"Yes","No")</f>
        <v>No</v>
      </c>
    </row>
    <row r="411" spans="5:16">
      <c r="E411" s="13" t="str">
        <v>372</v>
      </c>
      <c r="F411" s="13" t="str">
        <v>1506</v>
      </c>
      <c r="G411" s="13" t="str">
        <v>26</v>
      </c>
      <c r="H411" s="13" t="str">
        <f>_xlfn.CONCAT(Sheet1!A411," --&gt; ",Sheet1!J411)</f>
        <v>372-26-1506 --&gt; 125.055</v>
      </c>
      <c r="I411" s="13" t="str">
        <f>_xlfn.CONCAT(Sheet1!C411,"_",TEXT(Sheet1!K411, "m/d/yyyy"))</f>
        <v>Naypyitaw_1/28/2019</v>
      </c>
      <c r="J411" s="13" t="str">
        <f>IF(Sheet1!I411=Sheet1!N411*0.05,"Valid","Error")</f>
        <v>Valid</v>
      </c>
      <c r="K411" s="13" t="str">
        <f>IF(Sheet1!N411=Sheet1!G411*Sheet1!H411,"True","False")</f>
        <v>True</v>
      </c>
      <c r="L411" s="13" t="b">
        <v>1</v>
      </c>
      <c r="M411" s="9" t="b">
        <f>ISNUMBER(Sheet1!J411)</f>
        <v>1</v>
      </c>
      <c r="N411" s="13" t="str">
        <f>IF(Sheet1!B411="A","Branch A",IF(Sheet1!B411="B","Branch B","Other Branch"))</f>
        <v>Other Branch</v>
      </c>
      <c r="O411" s="13" t="str">
        <f>IF(Sheet1!M411="Credit card","Credit Payment","Other")</f>
        <v>Other</v>
      </c>
      <c r="P411" s="13" t="str">
        <f>IF(Sheet1!O411&gt;7,"Yes","No")</f>
        <v>No</v>
      </c>
    </row>
    <row r="412" spans="5:16">
      <c r="E412" s="13" t="str">
        <v>244</v>
      </c>
      <c r="F412" s="13" t="str">
        <v>0162</v>
      </c>
      <c r="G412" s="13" t="str">
        <v>08</v>
      </c>
      <c r="H412" s="13" t="str">
        <f>_xlfn.CONCAT(Sheet1!A412," --&gt; ",Sheet1!J412)</f>
        <v>244-08-0162 --&gt; 359.205</v>
      </c>
      <c r="I412" s="13" t="str">
        <f>_xlfn.CONCAT(Sheet1!C412,"_",TEXT(Sheet1!K412, "m/d/yyyy"))</f>
        <v>Mandalay_1/2/2019</v>
      </c>
      <c r="J412" s="13" t="str">
        <f>IF(Sheet1!I412=Sheet1!N412*0.05,"Valid","Error")</f>
        <v>Valid</v>
      </c>
      <c r="K412" s="13" t="str">
        <f>IF(Sheet1!N412=Sheet1!G412*Sheet1!H412,"True","False")</f>
        <v>True</v>
      </c>
      <c r="L412" s="13" t="b">
        <v>1</v>
      </c>
      <c r="M412" s="9" t="b">
        <f>ISNUMBER(Sheet1!J412)</f>
        <v>1</v>
      </c>
      <c r="N412" s="13" t="str">
        <f>IF(Sheet1!B412="A","Branch A",IF(Sheet1!B412="B","Branch B","Other Branch"))</f>
        <v>Branch B</v>
      </c>
      <c r="O412" s="13" t="str">
        <f>IF(Sheet1!M412="Credit card","Credit Payment","Other")</f>
        <v>Other</v>
      </c>
      <c r="P412" s="13" t="str">
        <f>IF(Sheet1!O412&gt;7,"Yes","No")</f>
        <v>No</v>
      </c>
    </row>
    <row r="413" spans="5:16">
      <c r="E413" s="13" t="str">
        <v>569</v>
      </c>
      <c r="F413" s="13" t="str">
        <v>4390</v>
      </c>
      <c r="G413" s="13" t="str">
        <v>71</v>
      </c>
      <c r="H413" s="13" t="str">
        <f>_xlfn.CONCAT(Sheet1!A413," --&gt; ",Sheet1!J413)</f>
        <v>569-71-4390 --&gt; 45.927</v>
      </c>
      <c r="I413" s="13" t="str">
        <f>_xlfn.CONCAT(Sheet1!C413,"_",TEXT(Sheet1!K413, "m/d/yyyy"))</f>
        <v>Mandalay_1/25/2019</v>
      </c>
      <c r="J413" s="13" t="str">
        <f>IF(Sheet1!I413=Sheet1!N413*0.05,"Valid","Error")</f>
        <v>Valid</v>
      </c>
      <c r="K413" s="13" t="str">
        <f>IF(Sheet1!N413=Sheet1!G413*Sheet1!H413,"True","False")</f>
        <v>True</v>
      </c>
      <c r="L413" s="13" t="b">
        <v>1</v>
      </c>
      <c r="M413" s="9" t="b">
        <f>ISNUMBER(Sheet1!J413)</f>
        <v>1</v>
      </c>
      <c r="N413" s="13" t="str">
        <f>IF(Sheet1!B413="A","Branch A",IF(Sheet1!B413="B","Branch B","Other Branch"))</f>
        <v>Branch B</v>
      </c>
      <c r="O413" s="13" t="str">
        <f>IF(Sheet1!M413="Credit card","Credit Payment","Other")</f>
        <v>Other</v>
      </c>
      <c r="P413" s="13" t="str">
        <f>IF(Sheet1!O413&gt;7,"Yes","No")</f>
        <v>No</v>
      </c>
    </row>
    <row r="414" spans="5:16">
      <c r="E414" s="13" t="str">
        <v>132</v>
      </c>
      <c r="F414" s="13" t="str">
        <v>6451</v>
      </c>
      <c r="G414" s="13" t="str">
        <v>23</v>
      </c>
      <c r="H414" s="13" t="str">
        <f>_xlfn.CONCAT(Sheet1!A414," --&gt; ",Sheet1!J414)</f>
        <v>132-23-6451 --&gt; 110.0925</v>
      </c>
      <c r="I414" s="13" t="str">
        <f>_xlfn.CONCAT(Sheet1!C414,"_",TEXT(Sheet1!K414, "m/d/yyyy"))</f>
        <v>Yangon_1/4/2019</v>
      </c>
      <c r="J414" s="13" t="str">
        <f>IF(Sheet1!I414=Sheet1!N414*0.05,"Valid","Error")</f>
        <v>Valid</v>
      </c>
      <c r="K414" s="13" t="str">
        <f>IF(Sheet1!N414=Sheet1!G414*Sheet1!H414,"True","False")</f>
        <v>True</v>
      </c>
      <c r="L414" s="13" t="b">
        <v>1</v>
      </c>
      <c r="M414" s="9" t="b">
        <f>ISNUMBER(Sheet1!J414)</f>
        <v>1</v>
      </c>
      <c r="N414" s="13" t="str">
        <f>IF(Sheet1!B414="A","Branch A",IF(Sheet1!B414="B","Branch B","Other Branch"))</f>
        <v>Branch A</v>
      </c>
      <c r="O414" s="13" t="str">
        <f>IF(Sheet1!M414="Credit card","Credit Payment","Other")</f>
        <v>Other</v>
      </c>
      <c r="P414" s="13" t="str">
        <f>IF(Sheet1!O414&gt;7,"Yes","No")</f>
        <v>Yes</v>
      </c>
    </row>
    <row r="415" spans="5:16">
      <c r="E415" s="13" t="str">
        <v>696</v>
      </c>
      <c r="F415" s="13" t="str">
        <v>2548</v>
      </c>
      <c r="G415" s="13" t="str">
        <v>90</v>
      </c>
      <c r="H415" s="13" t="str">
        <f>_xlfn.CONCAT(Sheet1!A415," --&gt; ",Sheet1!J415)</f>
        <v>696-90-2548 --&gt; 81.396</v>
      </c>
      <c r="I415" s="13" t="str">
        <f>_xlfn.CONCAT(Sheet1!C415,"_",TEXT(Sheet1!K415, "m/d/yyyy"))</f>
        <v>Yangon_3/10/2019</v>
      </c>
      <c r="J415" s="13" t="str">
        <f>IF(Sheet1!I415=Sheet1!N415*0.05,"Valid","Error")</f>
        <v>Valid</v>
      </c>
      <c r="K415" s="13" t="str">
        <f>IF(Sheet1!N415=Sheet1!G415*Sheet1!H415,"True","False")</f>
        <v>True</v>
      </c>
      <c r="L415" s="13" t="b">
        <v>1</v>
      </c>
      <c r="M415" s="9" t="b">
        <f>ISNUMBER(Sheet1!J415)</f>
        <v>1</v>
      </c>
      <c r="N415" s="13" t="str">
        <f>IF(Sheet1!B415="A","Branch A",IF(Sheet1!B415="B","Branch B","Other Branch"))</f>
        <v>Branch A</v>
      </c>
      <c r="O415" s="13" t="str">
        <f>IF(Sheet1!M415="Credit card","Credit Payment","Other")</f>
        <v>Other</v>
      </c>
      <c r="P415" s="13" t="str">
        <f>IF(Sheet1!O415&gt;7,"Yes","No")</f>
        <v>No</v>
      </c>
    </row>
    <row r="416" spans="5:16">
      <c r="E416" s="13" t="str">
        <v>472</v>
      </c>
      <c r="F416" s="13" t="str">
        <v>9636</v>
      </c>
      <c r="G416" s="13" t="str">
        <v>15</v>
      </c>
      <c r="H416" s="13" t="str">
        <f>_xlfn.CONCAT(Sheet1!A416," --&gt; ",Sheet1!J416)</f>
        <v>472-15-9636 --&gt; 427.812</v>
      </c>
      <c r="I416" s="13" t="str">
        <f>_xlfn.CONCAT(Sheet1!C416,"_",TEXT(Sheet1!K416, "m/d/yyyy"))</f>
        <v>Yangon_3/22/2019</v>
      </c>
      <c r="J416" s="13" t="str">
        <f>IF(Sheet1!I416=Sheet1!N416*0.05,"Valid","Error")</f>
        <v>Valid</v>
      </c>
      <c r="K416" s="13" t="str">
        <f>IF(Sheet1!N416=Sheet1!G416*Sheet1!H416,"True","False")</f>
        <v>True</v>
      </c>
      <c r="L416" s="13" t="b">
        <v>1</v>
      </c>
      <c r="M416" s="9" t="b">
        <f>ISNUMBER(Sheet1!J416)</f>
        <v>1</v>
      </c>
      <c r="N416" s="13" t="str">
        <f>IF(Sheet1!B416="A","Branch A",IF(Sheet1!B416="B","Branch B","Other Branch"))</f>
        <v>Branch A</v>
      </c>
      <c r="O416" s="13" t="str">
        <f>IF(Sheet1!M416="Credit card","Credit Payment","Other")</f>
        <v>Other</v>
      </c>
      <c r="P416" s="13" t="str">
        <f>IF(Sheet1!O416&gt;7,"Yes","No")</f>
        <v>Yes</v>
      </c>
    </row>
    <row r="417" spans="5:16">
      <c r="E417" s="13" t="str">
        <v>268</v>
      </c>
      <c r="F417" s="13" t="str">
        <v>6164</v>
      </c>
      <c r="G417" s="13" t="str">
        <v>03</v>
      </c>
      <c r="H417" s="13" t="str">
        <f>_xlfn.CONCAT(Sheet1!A417," --&gt; ",Sheet1!J417)</f>
        <v>268-03-6164 --&gt; 100.9155</v>
      </c>
      <c r="I417" s="13" t="str">
        <f>_xlfn.CONCAT(Sheet1!C417,"_",TEXT(Sheet1!K417, "m/d/yyyy"))</f>
        <v>Mandalay_1/25/2019</v>
      </c>
      <c r="J417" s="13" t="str">
        <f>IF(Sheet1!I417=Sheet1!N417*0.05,"Valid","Error")</f>
        <v>Valid</v>
      </c>
      <c r="K417" s="13" t="str">
        <f>IF(Sheet1!N417=Sheet1!G417*Sheet1!H417,"True","False")</f>
        <v>True</v>
      </c>
      <c r="L417" s="13" t="b">
        <v>1</v>
      </c>
      <c r="M417" s="9" t="b">
        <f>ISNUMBER(Sheet1!J417)</f>
        <v>1</v>
      </c>
      <c r="N417" s="13" t="str">
        <f>IF(Sheet1!B417="A","Branch A",IF(Sheet1!B417="B","Branch B","Other Branch"))</f>
        <v>Branch B</v>
      </c>
      <c r="O417" s="13" t="str">
        <f>IF(Sheet1!M417="Credit card","Credit Payment","Other")</f>
        <v>Other</v>
      </c>
      <c r="P417" s="13" t="str">
        <f>IF(Sheet1!O417&gt;7,"Yes","No")</f>
        <v>Yes</v>
      </c>
    </row>
    <row r="418" spans="5:16">
      <c r="E418" s="13" t="str">
        <v>750</v>
      </c>
      <c r="F418" s="13" t="str">
        <v>9686</v>
      </c>
      <c r="G418" s="13" t="str">
        <v>57</v>
      </c>
      <c r="H418" s="13" t="str">
        <f>_xlfn.CONCAT(Sheet1!A418," --&gt; ",Sheet1!J418)</f>
        <v>750-57-9686 --&gt; 190.596</v>
      </c>
      <c r="I418" s="13" t="str">
        <f>_xlfn.CONCAT(Sheet1!C418,"_",TEXT(Sheet1!K418, "m/d/yyyy"))</f>
        <v>Naypyitaw_1/8/2019</v>
      </c>
      <c r="J418" s="13" t="str">
        <f>IF(Sheet1!I418=Sheet1!N418*0.05,"Valid","Error")</f>
        <v>Valid</v>
      </c>
      <c r="K418" s="13" t="str">
        <f>IF(Sheet1!N418=Sheet1!G418*Sheet1!H418,"True","False")</f>
        <v>True</v>
      </c>
      <c r="L418" s="13" t="b">
        <v>1</v>
      </c>
      <c r="M418" s="9" t="b">
        <f>ISNUMBER(Sheet1!J418)</f>
        <v>1</v>
      </c>
      <c r="N418" s="13" t="str">
        <f>IF(Sheet1!B418="A","Branch A",IF(Sheet1!B418="B","Branch B","Other Branch"))</f>
        <v>Other Branch</v>
      </c>
      <c r="O418" s="13" t="str">
        <f>IF(Sheet1!M418="Credit card","Credit Payment","Other")</f>
        <v>Credit Payment</v>
      </c>
      <c r="P418" s="13" t="str">
        <f>IF(Sheet1!O418&gt;7,"Yes","No")</f>
        <v>Yes</v>
      </c>
    </row>
    <row r="419" spans="5:16">
      <c r="E419" s="13" t="str">
        <v>186</v>
      </c>
      <c r="F419" s="13" t="str">
        <v>3669</v>
      </c>
      <c r="G419" s="13" t="str">
        <v>09</v>
      </c>
      <c r="H419" s="13" t="str">
        <f>_xlfn.CONCAT(Sheet1!A419," --&gt; ",Sheet1!J419)</f>
        <v>186-09-3669 --&gt; 85.5855</v>
      </c>
      <c r="I419" s="13" t="str">
        <f>_xlfn.CONCAT(Sheet1!C419,"_",TEXT(Sheet1!K419, "m/d/yyyy"))</f>
        <v>Naypyitaw_1/22/2019</v>
      </c>
      <c r="J419" s="13" t="str">
        <f>IF(Sheet1!I419=Sheet1!N419*0.05,"Valid","Error")</f>
        <v>Valid</v>
      </c>
      <c r="K419" s="13" t="str">
        <f>IF(Sheet1!N419=Sheet1!G419*Sheet1!H419,"True","False")</f>
        <v>True</v>
      </c>
      <c r="L419" s="13" t="b">
        <v>1</v>
      </c>
      <c r="M419" s="9" t="b">
        <f>ISNUMBER(Sheet1!J419)</f>
        <v>1</v>
      </c>
      <c r="N419" s="13" t="str">
        <f>IF(Sheet1!B419="A","Branch A",IF(Sheet1!B419="B","Branch B","Other Branch"))</f>
        <v>Other Branch</v>
      </c>
      <c r="O419" s="13" t="str">
        <f>IF(Sheet1!M419="Credit card","Credit Payment","Other")</f>
        <v>Other</v>
      </c>
      <c r="P419" s="13" t="str">
        <f>IF(Sheet1!O419&gt;7,"Yes","No")</f>
        <v>Yes</v>
      </c>
    </row>
    <row r="420" spans="5:16">
      <c r="E420" s="13" t="str">
        <v>848</v>
      </c>
      <c r="F420" s="13" t="str">
        <v>1692</v>
      </c>
      <c r="G420" s="13" t="str">
        <v>07</v>
      </c>
      <c r="H420" s="13" t="str">
        <f>_xlfn.CONCAT(Sheet1!A420," --&gt; ",Sheet1!J420)</f>
        <v>848-07-1692 --&gt; 120.162</v>
      </c>
      <c r="I420" s="13" t="str">
        <f>_xlfn.CONCAT(Sheet1!C420,"_",TEXT(Sheet1!K420, "m/d/yyyy"))</f>
        <v>Mandalay_1/12/2019</v>
      </c>
      <c r="J420" s="13" t="str">
        <f>IF(Sheet1!I420=Sheet1!N420*0.05,"Valid","Error")</f>
        <v>Valid</v>
      </c>
      <c r="K420" s="13" t="str">
        <f>IF(Sheet1!N420=Sheet1!G420*Sheet1!H420,"True","False")</f>
        <v>True</v>
      </c>
      <c r="L420" s="13" t="b">
        <v>1</v>
      </c>
      <c r="M420" s="9" t="b">
        <f>ISNUMBER(Sheet1!J420)</f>
        <v>1</v>
      </c>
      <c r="N420" s="13" t="str">
        <f>IF(Sheet1!B420="A","Branch A",IF(Sheet1!B420="B","Branch B","Other Branch"))</f>
        <v>Branch B</v>
      </c>
      <c r="O420" s="13" t="str">
        <f>IF(Sheet1!M420="Credit card","Credit Payment","Other")</f>
        <v>Other</v>
      </c>
      <c r="P420" s="13" t="str">
        <f>IF(Sheet1!O420&gt;7,"Yes","No")</f>
        <v>Yes</v>
      </c>
    </row>
    <row r="421" spans="5:16">
      <c r="E421" s="13" t="str">
        <v>745</v>
      </c>
      <c r="F421" s="13" t="str">
        <v>3520</v>
      </c>
      <c r="G421" s="13" t="str">
        <v>71</v>
      </c>
      <c r="H421" s="13" t="str">
        <f>_xlfn.CONCAT(Sheet1!A421," --&gt; ",Sheet1!J421)</f>
        <v>745-71-3520 --&gt; 185.367</v>
      </c>
      <c r="I421" s="13" t="str">
        <f>_xlfn.CONCAT(Sheet1!C421,"_",TEXT(Sheet1!K421, "m/d/yyyy"))</f>
        <v>Yangon_2/4/2019</v>
      </c>
      <c r="J421" s="13" t="str">
        <f>IF(Sheet1!I421=Sheet1!N421*0.05,"Valid","Error")</f>
        <v>Valid</v>
      </c>
      <c r="K421" s="13" t="str">
        <f>IF(Sheet1!N421=Sheet1!G421*Sheet1!H421,"True","False")</f>
        <v>True</v>
      </c>
      <c r="L421" s="13" t="b">
        <v>1</v>
      </c>
      <c r="M421" s="9" t="b">
        <f>ISNUMBER(Sheet1!J421)</f>
        <v>1</v>
      </c>
      <c r="N421" s="13" t="str">
        <f>IF(Sheet1!B421="A","Branch A",IF(Sheet1!B421="B","Branch B","Other Branch"))</f>
        <v>Branch A</v>
      </c>
      <c r="O421" s="13" t="str">
        <f>IF(Sheet1!M421="Credit card","Credit Payment","Other")</f>
        <v>Other</v>
      </c>
      <c r="P421" s="13" t="str">
        <f>IF(Sheet1!O421&gt;7,"Yes","No")</f>
        <v>Yes</v>
      </c>
    </row>
    <row r="422" spans="5:16">
      <c r="E422" s="13" t="str">
        <v>266</v>
      </c>
      <c r="F422" s="13" t="str">
        <v>6436</v>
      </c>
      <c r="G422" s="13" t="str">
        <v>76</v>
      </c>
      <c r="H422" s="13" t="str">
        <f>_xlfn.CONCAT(Sheet1!A422," --&gt; ",Sheet1!J422)</f>
        <v>266-76-6436 --&gt; 121.59</v>
      </c>
      <c r="I422" s="13" t="str">
        <f>_xlfn.CONCAT(Sheet1!C422,"_",TEXT(Sheet1!K422, "m/d/yyyy"))</f>
        <v>Naypyitaw_3/28/2019</v>
      </c>
      <c r="J422" s="13" t="str">
        <f>IF(Sheet1!I422=Sheet1!N422*0.05,"Valid","Error")</f>
        <v>Valid</v>
      </c>
      <c r="K422" s="13" t="str">
        <f>IF(Sheet1!N422=Sheet1!G422*Sheet1!H422,"True","False")</f>
        <v>True</v>
      </c>
      <c r="L422" s="13" t="b">
        <v>1</v>
      </c>
      <c r="M422" s="9" t="b">
        <f>ISNUMBER(Sheet1!J422)</f>
        <v>1</v>
      </c>
      <c r="N422" s="13" t="str">
        <f>IF(Sheet1!B422="A","Branch A",IF(Sheet1!B422="B","Branch B","Other Branch"))</f>
        <v>Other Branch</v>
      </c>
      <c r="O422" s="13" t="str">
        <f>IF(Sheet1!M422="Credit card","Credit Payment","Other")</f>
        <v>Other</v>
      </c>
      <c r="P422" s="13" t="str">
        <f>IF(Sheet1!O422&gt;7,"Yes","No")</f>
        <v>Yes</v>
      </c>
    </row>
    <row r="423" spans="5:16">
      <c r="E423" s="13" t="str">
        <v>740</v>
      </c>
      <c r="F423" s="13" t="str">
        <v>2500</v>
      </c>
      <c r="G423" s="13" t="str">
        <v>22</v>
      </c>
      <c r="H423" s="13" t="str">
        <f>_xlfn.CONCAT(Sheet1!A423," --&gt; ",Sheet1!J423)</f>
        <v>740-22-2500 --&gt; 264.7575</v>
      </c>
      <c r="I423" s="13" t="str">
        <f>_xlfn.CONCAT(Sheet1!C423,"_",TEXT(Sheet1!K423, "m/d/yyyy"))</f>
        <v>Naypyitaw_1/23/2019</v>
      </c>
      <c r="J423" s="13" t="str">
        <f>IF(Sheet1!I423=Sheet1!N423*0.05,"Valid","Error")</f>
        <v>Valid</v>
      </c>
      <c r="K423" s="13" t="str">
        <f>IF(Sheet1!N423=Sheet1!G423*Sheet1!H423,"True","False")</f>
        <v>True</v>
      </c>
      <c r="L423" s="13" t="b">
        <v>1</v>
      </c>
      <c r="M423" s="9" t="b">
        <f>ISNUMBER(Sheet1!J423)</f>
        <v>1</v>
      </c>
      <c r="N423" s="13" t="str">
        <f>IF(Sheet1!B423="A","Branch A",IF(Sheet1!B423="B","Branch B","Other Branch"))</f>
        <v>Other Branch</v>
      </c>
      <c r="O423" s="13" t="str">
        <f>IF(Sheet1!M423="Credit card","Credit Payment","Other")</f>
        <v>Other</v>
      </c>
      <c r="P423" s="13" t="str">
        <f>IF(Sheet1!O423&gt;7,"Yes","No")</f>
        <v>Yes</v>
      </c>
    </row>
    <row r="424" spans="5:16">
      <c r="E424" s="13" t="str">
        <v>271</v>
      </c>
      <c r="F424" s="13" t="str">
        <v>8734</v>
      </c>
      <c r="G424" s="13" t="str">
        <v>88</v>
      </c>
      <c r="H424" s="13" t="str">
        <f>_xlfn.CONCAT(Sheet1!A424," --&gt; ",Sheet1!J424)</f>
        <v>271-88-8734 --&gt; 1020.705</v>
      </c>
      <c r="I424" s="13" t="str">
        <f>_xlfn.CONCAT(Sheet1!C424,"_",TEXT(Sheet1!K424, "m/d/yyyy"))</f>
        <v>Naypyitaw_2/8/2019</v>
      </c>
      <c r="J424" s="13" t="str">
        <f>IF(Sheet1!I424=Sheet1!N424*0.05,"Valid","Error")</f>
        <v>Valid</v>
      </c>
      <c r="K424" s="13" t="str">
        <f>IF(Sheet1!N424=Sheet1!G424*Sheet1!H424,"True","False")</f>
        <v>True</v>
      </c>
      <c r="L424" s="13" t="b">
        <v>1</v>
      </c>
      <c r="M424" s="9" t="b">
        <f>ISNUMBER(Sheet1!J424)</f>
        <v>1</v>
      </c>
      <c r="N424" s="13" t="str">
        <f>IF(Sheet1!B424="A","Branch A",IF(Sheet1!B424="B","Branch B","Other Branch"))</f>
        <v>Other Branch</v>
      </c>
      <c r="O424" s="13" t="str">
        <f>IF(Sheet1!M424="Credit card","Credit Payment","Other")</f>
        <v>Credit Payment</v>
      </c>
      <c r="P424" s="13" t="str">
        <f>IF(Sheet1!O424&gt;7,"Yes","No")</f>
        <v>Yes</v>
      </c>
    </row>
    <row r="425" spans="5:16">
      <c r="E425" s="13" t="str">
        <v>301</v>
      </c>
      <c r="F425" s="13" t="str">
        <v>8610</v>
      </c>
      <c r="G425" s="13" t="str">
        <v>81</v>
      </c>
      <c r="H425" s="13" t="str">
        <f>_xlfn.CONCAT(Sheet1!A425," --&gt; ",Sheet1!J425)</f>
        <v>301-81-8610 --&gt; 213.528</v>
      </c>
      <c r="I425" s="13" t="str">
        <f>_xlfn.CONCAT(Sheet1!C425,"_",TEXT(Sheet1!K425, "m/d/yyyy"))</f>
        <v>Mandalay_3/19/2019</v>
      </c>
      <c r="J425" s="13" t="str">
        <f>IF(Sheet1!I425=Sheet1!N425*0.05,"Valid","Error")</f>
        <v>Valid</v>
      </c>
      <c r="K425" s="13" t="str">
        <f>IF(Sheet1!N425=Sheet1!G425*Sheet1!H425,"True","False")</f>
        <v>True</v>
      </c>
      <c r="L425" s="13" t="b">
        <v>1</v>
      </c>
      <c r="M425" s="9" t="b">
        <f>ISNUMBER(Sheet1!J425)</f>
        <v>1</v>
      </c>
      <c r="N425" s="13" t="str">
        <f>IF(Sheet1!B425="A","Branch A",IF(Sheet1!B425="B","Branch B","Other Branch"))</f>
        <v>Branch B</v>
      </c>
      <c r="O425" s="13" t="str">
        <f>IF(Sheet1!M425="Credit card","Credit Payment","Other")</f>
        <v>Credit Payment</v>
      </c>
      <c r="P425" s="13" t="str">
        <f>IF(Sheet1!O425&gt;7,"Yes","No")</f>
        <v>No</v>
      </c>
    </row>
    <row r="426" spans="5:16">
      <c r="E426" s="13" t="str">
        <v>489</v>
      </c>
      <c r="F426" s="13" t="str">
        <v>4354</v>
      </c>
      <c r="G426" s="13" t="str">
        <v>64</v>
      </c>
      <c r="H426" s="13" t="str">
        <f>_xlfn.CONCAT(Sheet1!A426," --&gt; ",Sheet1!J426)</f>
        <v>489-64-4354 --&gt; 17.094</v>
      </c>
      <c r="I426" s="13" t="str">
        <f>_xlfn.CONCAT(Sheet1!C426,"_",TEXT(Sheet1!K426, "m/d/yyyy"))</f>
        <v>Naypyitaw_3/9/2019</v>
      </c>
      <c r="J426" s="13" t="str">
        <f>IF(Sheet1!I426=Sheet1!N426*0.05,"Valid","Error")</f>
        <v>Valid</v>
      </c>
      <c r="K426" s="13" t="str">
        <f>IF(Sheet1!N426=Sheet1!G426*Sheet1!H426,"True","False")</f>
        <v>True</v>
      </c>
      <c r="L426" s="13" t="b">
        <v>1</v>
      </c>
      <c r="M426" s="9" t="b">
        <f>ISNUMBER(Sheet1!J426)</f>
        <v>1</v>
      </c>
      <c r="N426" s="13" t="str">
        <f>IF(Sheet1!B426="A","Branch A",IF(Sheet1!B426="B","Branch B","Other Branch"))</f>
        <v>Other Branch</v>
      </c>
      <c r="O426" s="13" t="str">
        <f>IF(Sheet1!M426="Credit card","Credit Payment","Other")</f>
        <v>Other</v>
      </c>
      <c r="P426" s="13" t="str">
        <f>IF(Sheet1!O426&gt;7,"Yes","No")</f>
        <v>No</v>
      </c>
    </row>
    <row r="427" spans="5:16">
      <c r="E427" s="13" t="str">
        <v>198</v>
      </c>
      <c r="F427" s="13" t="str">
        <v>7132</v>
      </c>
      <c r="G427" s="13" t="str">
        <v>84</v>
      </c>
      <c r="H427" s="13" t="str">
        <f>_xlfn.CONCAT(Sheet1!A427," --&gt; ",Sheet1!J427)</f>
        <v>198-84-7132 --&gt; 383.7645</v>
      </c>
      <c r="I427" s="13" t="str">
        <f>_xlfn.CONCAT(Sheet1!C427,"_",TEXT(Sheet1!K427, "m/d/yyyy"))</f>
        <v>Mandalay_1/2/2019</v>
      </c>
      <c r="J427" s="13" t="str">
        <f>IF(Sheet1!I427=Sheet1!N427*0.05,"Valid","Error")</f>
        <v>Valid</v>
      </c>
      <c r="K427" s="13" t="str">
        <f>IF(Sheet1!N427=Sheet1!G427*Sheet1!H427,"True","False")</f>
        <v>True</v>
      </c>
      <c r="L427" s="13" t="b">
        <v>1</v>
      </c>
      <c r="M427" s="9" t="b">
        <f>ISNUMBER(Sheet1!J427)</f>
        <v>1</v>
      </c>
      <c r="N427" s="13" t="str">
        <f>IF(Sheet1!B427="A","Branch A",IF(Sheet1!B427="B","Branch B","Other Branch"))</f>
        <v>Branch B</v>
      </c>
      <c r="O427" s="13" t="str">
        <f>IF(Sheet1!M427="Credit card","Credit Payment","Other")</f>
        <v>Other</v>
      </c>
      <c r="P427" s="13" t="str">
        <f>IF(Sheet1!O427&gt;7,"Yes","No")</f>
        <v>No</v>
      </c>
    </row>
    <row r="428" spans="5:16">
      <c r="E428" s="13" t="str">
        <v>269</v>
      </c>
      <c r="F428" s="13" t="str">
        <v>8440</v>
      </c>
      <c r="G428" s="13" t="str">
        <v>10</v>
      </c>
      <c r="H428" s="13" t="str">
        <f>_xlfn.CONCAT(Sheet1!A428," --&gt; ",Sheet1!J428)</f>
        <v>269-10-8440 --&gt; 390.7995</v>
      </c>
      <c r="I428" s="13" t="str">
        <f>_xlfn.CONCAT(Sheet1!C428,"_",TEXT(Sheet1!K428, "m/d/yyyy"))</f>
        <v>Yangon_1/21/2019</v>
      </c>
      <c r="J428" s="13" t="str">
        <f>IF(Sheet1!I428=Sheet1!N428*0.05,"Valid","Error")</f>
        <v>Valid</v>
      </c>
      <c r="K428" s="13" t="str">
        <f>IF(Sheet1!N428=Sheet1!G428*Sheet1!H428,"True","False")</f>
        <v>True</v>
      </c>
      <c r="L428" s="13" t="b">
        <v>1</v>
      </c>
      <c r="M428" s="9" t="b">
        <f>ISNUMBER(Sheet1!J428)</f>
        <v>1</v>
      </c>
      <c r="N428" s="13" t="str">
        <f>IF(Sheet1!B428="A","Branch A",IF(Sheet1!B428="B","Branch B","Other Branch"))</f>
        <v>Branch A</v>
      </c>
      <c r="O428" s="13" t="str">
        <f>IF(Sheet1!M428="Credit card","Credit Payment","Other")</f>
        <v>Other</v>
      </c>
      <c r="P428" s="13" t="str">
        <f>IF(Sheet1!O428&gt;7,"Yes","No")</f>
        <v>Yes</v>
      </c>
    </row>
    <row r="429" spans="5:16">
      <c r="E429" s="13" t="str">
        <v>650</v>
      </c>
      <c r="F429" s="13" t="str">
        <v>6268</v>
      </c>
      <c r="G429" s="13" t="str">
        <v>98</v>
      </c>
      <c r="H429" s="13" t="str">
        <f>_xlfn.CONCAT(Sheet1!A429," --&gt; ",Sheet1!J429)</f>
        <v>650-98-6268 --&gt; 65.7405</v>
      </c>
      <c r="I429" s="13" t="str">
        <f>_xlfn.CONCAT(Sheet1!C429,"_",TEXT(Sheet1!K429, "m/d/yyyy"))</f>
        <v>Mandalay_3/20/2019</v>
      </c>
      <c r="J429" s="13" t="str">
        <f>IF(Sheet1!I429=Sheet1!N429*0.05,"Valid","Error")</f>
        <v>Valid</v>
      </c>
      <c r="K429" s="13" t="str">
        <f>IF(Sheet1!N429=Sheet1!G429*Sheet1!H429,"True","False")</f>
        <v>True</v>
      </c>
      <c r="L429" s="13" t="b">
        <v>1</v>
      </c>
      <c r="M429" s="9" t="b">
        <f>ISNUMBER(Sheet1!J429)</f>
        <v>1</v>
      </c>
      <c r="N429" s="13" t="str">
        <f>IF(Sheet1!B429="A","Branch A",IF(Sheet1!B429="B","Branch B","Other Branch"))</f>
        <v>Branch B</v>
      </c>
      <c r="O429" s="13" t="str">
        <f>IF(Sheet1!M429="Credit card","Credit Payment","Other")</f>
        <v>Credit Payment</v>
      </c>
      <c r="P429" s="13" t="str">
        <f>IF(Sheet1!O429&gt;7,"Yes","No")</f>
        <v>Yes</v>
      </c>
    </row>
    <row r="430" spans="5:16">
      <c r="E430" s="13" t="str">
        <v>741</v>
      </c>
      <c r="F430" s="13" t="str">
        <v>3559</v>
      </c>
      <c r="G430" s="13" t="str">
        <v>73</v>
      </c>
      <c r="H430" s="13" t="str">
        <f>_xlfn.CONCAT(Sheet1!A430," --&gt; ",Sheet1!J430)</f>
        <v>741-73-3559 --&gt; 353.1675</v>
      </c>
      <c r="I430" s="13" t="str">
        <f>_xlfn.CONCAT(Sheet1!C430,"_",TEXT(Sheet1!K430, "m/d/yyyy"))</f>
        <v>Mandalay_2/27/2019</v>
      </c>
      <c r="J430" s="13" t="str">
        <f>IF(Sheet1!I430=Sheet1!N430*0.05,"Valid","Error")</f>
        <v>Valid</v>
      </c>
      <c r="K430" s="13" t="str">
        <f>IF(Sheet1!N430=Sheet1!G430*Sheet1!H430,"True","False")</f>
        <v>True</v>
      </c>
      <c r="L430" s="13" t="b">
        <v>1</v>
      </c>
      <c r="M430" s="9" t="b">
        <f>ISNUMBER(Sheet1!J430)</f>
        <v>1</v>
      </c>
      <c r="N430" s="13" t="str">
        <f>IF(Sheet1!B430="A","Branch A",IF(Sheet1!B430="B","Branch B","Other Branch"))</f>
        <v>Branch B</v>
      </c>
      <c r="O430" s="13" t="str">
        <f>IF(Sheet1!M430="Credit card","Credit Payment","Other")</f>
        <v>Other</v>
      </c>
      <c r="P430" s="13" t="str">
        <f>IF(Sheet1!O430&gt;7,"Yes","No")</f>
        <v>No</v>
      </c>
    </row>
    <row r="431" spans="5:16">
      <c r="E431" s="13" t="str">
        <v>325</v>
      </c>
      <c r="F431" s="13" t="str">
        <v>6186</v>
      </c>
      <c r="G431" s="13" t="str">
        <v>77</v>
      </c>
      <c r="H431" s="13" t="str">
        <f>_xlfn.CONCAT(Sheet1!A431," --&gt; ",Sheet1!J431)</f>
        <v>325-77-6186 --&gt; 951.825</v>
      </c>
      <c r="I431" s="13" t="str">
        <f>_xlfn.CONCAT(Sheet1!C431,"_",TEXT(Sheet1!K431, "m/d/yyyy"))</f>
        <v>Yangon_3/8/2019</v>
      </c>
      <c r="J431" s="13" t="str">
        <f>IF(Sheet1!I431=Sheet1!N431*0.05,"Valid","Error")</f>
        <v>Valid</v>
      </c>
      <c r="K431" s="13" t="str">
        <f>IF(Sheet1!N431=Sheet1!G431*Sheet1!H431,"True","False")</f>
        <v>True</v>
      </c>
      <c r="L431" s="13" t="b">
        <v>1</v>
      </c>
      <c r="M431" s="9" t="b">
        <f>ISNUMBER(Sheet1!J431)</f>
        <v>1</v>
      </c>
      <c r="N431" s="13" t="str">
        <f>IF(Sheet1!B431="A","Branch A",IF(Sheet1!B431="B","Branch B","Other Branch"))</f>
        <v>Branch A</v>
      </c>
      <c r="O431" s="13" t="str">
        <f>IF(Sheet1!M431="Credit card","Credit Payment","Other")</f>
        <v>Other</v>
      </c>
      <c r="P431" s="13" t="str">
        <f>IF(Sheet1!O431&gt;7,"Yes","No")</f>
        <v>Yes</v>
      </c>
    </row>
    <row r="432" spans="5:16">
      <c r="E432" s="13" t="str">
        <v>286</v>
      </c>
      <c r="F432" s="13" t="str">
        <v>7818</v>
      </c>
      <c r="G432" s="13" t="str">
        <v>75</v>
      </c>
      <c r="H432" s="13" t="str">
        <f>_xlfn.CONCAT(Sheet1!A432," --&gt; ",Sheet1!J432)</f>
        <v>286-75-7818 --&gt; 145.068</v>
      </c>
      <c r="I432" s="13" t="str">
        <f>_xlfn.CONCAT(Sheet1!C432,"_",TEXT(Sheet1!K432, "m/d/yyyy"))</f>
        <v>Mandalay_1/31/2019</v>
      </c>
      <c r="J432" s="13" t="str">
        <f>IF(Sheet1!I432=Sheet1!N432*0.05,"Valid","Error")</f>
        <v>Valid</v>
      </c>
      <c r="K432" s="13" t="str">
        <f>IF(Sheet1!N432=Sheet1!G432*Sheet1!H432,"True","False")</f>
        <v>True</v>
      </c>
      <c r="L432" s="13" t="b">
        <v>1</v>
      </c>
      <c r="M432" s="9" t="b">
        <f>ISNUMBER(Sheet1!J432)</f>
        <v>1</v>
      </c>
      <c r="N432" s="13" t="str">
        <f>IF(Sheet1!B432="A","Branch A",IF(Sheet1!B432="B","Branch B","Other Branch"))</f>
        <v>Branch B</v>
      </c>
      <c r="O432" s="13" t="str">
        <f>IF(Sheet1!M432="Credit card","Credit Payment","Other")</f>
        <v>Credit Payment</v>
      </c>
      <c r="P432" s="13" t="str">
        <f>IF(Sheet1!O432&gt;7,"Yes","No")</f>
        <v>No</v>
      </c>
    </row>
    <row r="433" spans="5:16">
      <c r="E433" s="13" t="str">
        <v>574</v>
      </c>
      <c r="F433" s="13" t="str">
        <v>9721</v>
      </c>
      <c r="G433" s="13" t="str">
        <v>57</v>
      </c>
      <c r="H433" s="13" t="str">
        <f>_xlfn.CONCAT(Sheet1!A433," --&gt; ",Sheet1!J433)</f>
        <v>574-57-9721 --&gt; 90.867</v>
      </c>
      <c r="I433" s="13" t="str">
        <f>_xlfn.CONCAT(Sheet1!C433,"_",TEXT(Sheet1!K433, "m/d/yyyy"))</f>
        <v>Naypyitaw_3/8/2019</v>
      </c>
      <c r="J433" s="13" t="str">
        <f>IF(Sheet1!I433=Sheet1!N433*0.05,"Valid","Error")</f>
        <v>Valid</v>
      </c>
      <c r="K433" s="13" t="str">
        <f>IF(Sheet1!N433=Sheet1!G433*Sheet1!H433,"True","False")</f>
        <v>True</v>
      </c>
      <c r="L433" s="13" t="b">
        <v>1</v>
      </c>
      <c r="M433" s="9" t="b">
        <f>ISNUMBER(Sheet1!J433)</f>
        <v>1</v>
      </c>
      <c r="N433" s="13" t="str">
        <f>IF(Sheet1!B433="A","Branch A",IF(Sheet1!B433="B","Branch B","Other Branch"))</f>
        <v>Other Branch</v>
      </c>
      <c r="O433" s="13" t="str">
        <f>IF(Sheet1!M433="Credit card","Credit Payment","Other")</f>
        <v>Other</v>
      </c>
      <c r="P433" s="13" t="str">
        <f>IF(Sheet1!O433&gt;7,"Yes","No")</f>
        <v>No</v>
      </c>
    </row>
    <row r="434" spans="5:16">
      <c r="E434" s="13" t="str">
        <v>459</v>
      </c>
      <c r="F434" s="13" t="str">
        <v>7686</v>
      </c>
      <c r="G434" s="13" t="str">
        <v>50</v>
      </c>
      <c r="H434" s="13" t="str">
        <f>_xlfn.CONCAT(Sheet1!A434," --&gt; ",Sheet1!J434)</f>
        <v>459-50-7686 --&gt; 147.798</v>
      </c>
      <c r="I434" s="13" t="str">
        <f>_xlfn.CONCAT(Sheet1!C434,"_",TEXT(Sheet1!K434, "m/d/yyyy"))</f>
        <v>Yangon_1/13/2019</v>
      </c>
      <c r="J434" s="13" t="str">
        <f>IF(Sheet1!I434=Sheet1!N434*0.05,"Valid","Error")</f>
        <v>Valid</v>
      </c>
      <c r="K434" s="13" t="str">
        <f>IF(Sheet1!N434=Sheet1!G434*Sheet1!H434,"True","False")</f>
        <v>True</v>
      </c>
      <c r="L434" s="13" t="b">
        <v>1</v>
      </c>
      <c r="M434" s="9" t="b">
        <f>ISNUMBER(Sheet1!J434)</f>
        <v>1</v>
      </c>
      <c r="N434" s="13" t="str">
        <f>IF(Sheet1!B434="A","Branch A",IF(Sheet1!B434="B","Branch B","Other Branch"))</f>
        <v>Branch A</v>
      </c>
      <c r="O434" s="13" t="str">
        <f>IF(Sheet1!M434="Credit card","Credit Payment","Other")</f>
        <v>Other</v>
      </c>
      <c r="P434" s="13" t="str">
        <f>IF(Sheet1!O434&gt;7,"Yes","No")</f>
        <v>No</v>
      </c>
    </row>
    <row r="435" spans="5:16">
      <c r="E435" s="13" t="str">
        <v>616</v>
      </c>
      <c r="F435" s="13" t="str">
        <v>0016</v>
      </c>
      <c r="G435" s="13" t="str">
        <v>87</v>
      </c>
      <c r="H435" s="13" t="str">
        <f>_xlfn.CONCAT(Sheet1!A435," --&gt; ",Sheet1!J435)</f>
        <v>616-87-0016 --&gt; 702.219</v>
      </c>
      <c r="I435" s="13" t="str">
        <f>_xlfn.CONCAT(Sheet1!C435,"_",TEXT(Sheet1!K435, "m/d/yyyy"))</f>
        <v>Mandalay_3/9/2019</v>
      </c>
      <c r="J435" s="13" t="str">
        <f>IF(Sheet1!I435=Sheet1!N435*0.05,"Valid","Error")</f>
        <v>Valid</v>
      </c>
      <c r="K435" s="13" t="str">
        <f>IF(Sheet1!N435=Sheet1!G435*Sheet1!H435,"True","False")</f>
        <v>True</v>
      </c>
      <c r="L435" s="13" t="b">
        <v>1</v>
      </c>
      <c r="M435" s="9" t="b">
        <f>ISNUMBER(Sheet1!J435)</f>
        <v>1</v>
      </c>
      <c r="N435" s="13" t="str">
        <f>IF(Sheet1!B435="A","Branch A",IF(Sheet1!B435="B","Branch B","Other Branch"))</f>
        <v>Branch B</v>
      </c>
      <c r="O435" s="13" t="str">
        <f>IF(Sheet1!M435="Credit card","Credit Payment","Other")</f>
        <v>Credit Payment</v>
      </c>
      <c r="P435" s="13" t="str">
        <f>IF(Sheet1!O435&gt;7,"Yes","No")</f>
        <v>Yes</v>
      </c>
    </row>
    <row r="436" spans="5:16">
      <c r="E436" s="13" t="str">
        <v>837</v>
      </c>
      <c r="F436" s="13" t="str">
        <v>7229</v>
      </c>
      <c r="G436" s="13" t="str">
        <v>55</v>
      </c>
      <c r="H436" s="13" t="str">
        <f>_xlfn.CONCAT(Sheet1!A436," --&gt; ",Sheet1!J436)</f>
        <v>837-55-7229 --&gt; 49.812</v>
      </c>
      <c r="I436" s="13" t="str">
        <f>_xlfn.CONCAT(Sheet1!C436,"_",TEXT(Sheet1!K436, "m/d/yyyy"))</f>
        <v>Mandalay_2/22/2019</v>
      </c>
      <c r="J436" s="13" t="str">
        <f>IF(Sheet1!I436=Sheet1!N436*0.05,"Valid","Error")</f>
        <v>Valid</v>
      </c>
      <c r="K436" s="13" t="str">
        <f>IF(Sheet1!N436=Sheet1!G436*Sheet1!H436,"True","False")</f>
        <v>True</v>
      </c>
      <c r="L436" s="13" t="b">
        <v>1</v>
      </c>
      <c r="M436" s="9" t="b">
        <f>ISNUMBER(Sheet1!J436)</f>
        <v>1</v>
      </c>
      <c r="N436" s="13" t="str">
        <f>IF(Sheet1!B436="A","Branch A",IF(Sheet1!B436="B","Branch B","Other Branch"))</f>
        <v>Branch B</v>
      </c>
      <c r="O436" s="13" t="str">
        <f>IF(Sheet1!M436="Credit card","Credit Payment","Other")</f>
        <v>Credit Payment</v>
      </c>
      <c r="P436" s="13" t="str">
        <f>IF(Sheet1!O436&gt;7,"Yes","No")</f>
        <v>No</v>
      </c>
    </row>
    <row r="437" spans="5:16">
      <c r="E437" s="13" t="str">
        <v>751</v>
      </c>
      <c r="F437" s="13" t="str">
        <v>0068</v>
      </c>
      <c r="G437" s="13" t="str">
        <v>69</v>
      </c>
      <c r="H437" s="13" t="str">
        <f>_xlfn.CONCAT(Sheet1!A437," --&gt; ",Sheet1!J437)</f>
        <v>751-69-0068 --&gt; 937.818</v>
      </c>
      <c r="I437" s="13" t="str">
        <f>_xlfn.CONCAT(Sheet1!C437,"_",TEXT(Sheet1!K437, "m/d/yyyy"))</f>
        <v>Naypyitaw_3/19/2019</v>
      </c>
      <c r="J437" s="13" t="str">
        <f>IF(Sheet1!I437=Sheet1!N437*0.05,"Valid","Error")</f>
        <v>Valid</v>
      </c>
      <c r="K437" s="13" t="str">
        <f>IF(Sheet1!N437=Sheet1!G437*Sheet1!H437,"True","False")</f>
        <v>True</v>
      </c>
      <c r="L437" s="13" t="b">
        <v>1</v>
      </c>
      <c r="M437" s="9" t="b">
        <f>ISNUMBER(Sheet1!J437)</f>
        <v>1</v>
      </c>
      <c r="N437" s="13" t="str">
        <f>IF(Sheet1!B437="A","Branch A",IF(Sheet1!B437="B","Branch B","Other Branch"))</f>
        <v>Other Branch</v>
      </c>
      <c r="O437" s="13" t="str">
        <f>IF(Sheet1!M437="Credit card","Credit Payment","Other")</f>
        <v>Other</v>
      </c>
      <c r="P437" s="13" t="str">
        <f>IF(Sheet1!O437&gt;7,"Yes","No")</f>
        <v>Yes</v>
      </c>
    </row>
    <row r="438" spans="5:16">
      <c r="E438" s="13" t="str">
        <v>257</v>
      </c>
      <c r="F438" s="13" t="str">
        <v>1380</v>
      </c>
      <c r="G438" s="13" t="str">
        <v>73</v>
      </c>
      <c r="H438" s="13" t="str">
        <f>_xlfn.CONCAT(Sheet1!A438," --&gt; ",Sheet1!J438)</f>
        <v>257-73-1380 --&gt; 348.306</v>
      </c>
      <c r="I438" s="13" t="str">
        <f>_xlfn.CONCAT(Sheet1!C438,"_",TEXT(Sheet1!K438, "m/d/yyyy"))</f>
        <v>Naypyitaw_1/20/2019</v>
      </c>
      <c r="J438" s="13" t="str">
        <f>IF(Sheet1!I438=Sheet1!N438*0.05,"Valid","Error")</f>
        <v>Valid</v>
      </c>
      <c r="K438" s="13" t="str">
        <f>IF(Sheet1!N438=Sheet1!G438*Sheet1!H438,"True","False")</f>
        <v>True</v>
      </c>
      <c r="L438" s="13" t="b">
        <v>1</v>
      </c>
      <c r="M438" s="9" t="b">
        <f>ISNUMBER(Sheet1!J438)</f>
        <v>1</v>
      </c>
      <c r="N438" s="13" t="str">
        <f>IF(Sheet1!B438="A","Branch A",IF(Sheet1!B438="B","Branch B","Other Branch"))</f>
        <v>Other Branch</v>
      </c>
      <c r="O438" s="13" t="str">
        <f>IF(Sheet1!M438="Credit card","Credit Payment","Other")</f>
        <v>Other</v>
      </c>
      <c r="P438" s="13" t="str">
        <f>IF(Sheet1!O438&gt;7,"Yes","No")</f>
        <v>Yes</v>
      </c>
    </row>
    <row r="439" spans="5:16">
      <c r="E439" s="13" t="str">
        <v>345</v>
      </c>
      <c r="F439" s="13" t="str">
        <v>4992</v>
      </c>
      <c r="G439" s="13" t="str">
        <v>08</v>
      </c>
      <c r="H439" s="13" t="str">
        <f>_xlfn.CONCAT(Sheet1!A439," --&gt; ",Sheet1!J439)</f>
        <v>345-08-4992 --&gt; 214.137</v>
      </c>
      <c r="I439" s="13" t="str">
        <f>_xlfn.CONCAT(Sheet1!C439,"_",TEXT(Sheet1!K439, "m/d/yyyy"))</f>
        <v>Yangon_3/8/2019</v>
      </c>
      <c r="J439" s="13" t="str">
        <f>IF(Sheet1!I439=Sheet1!N439*0.05,"Valid","Error")</f>
        <v>Valid</v>
      </c>
      <c r="K439" s="13" t="str">
        <f>IF(Sheet1!N439=Sheet1!G439*Sheet1!H439,"True","False")</f>
        <v>True</v>
      </c>
      <c r="L439" s="13" t="b">
        <v>1</v>
      </c>
      <c r="M439" s="9" t="b">
        <f>ISNUMBER(Sheet1!J439)</f>
        <v>1</v>
      </c>
      <c r="N439" s="13" t="str">
        <f>IF(Sheet1!B439="A","Branch A",IF(Sheet1!B439="B","Branch B","Other Branch"))</f>
        <v>Branch A</v>
      </c>
      <c r="O439" s="13" t="str">
        <f>IF(Sheet1!M439="Credit card","Credit Payment","Other")</f>
        <v>Credit Payment</v>
      </c>
      <c r="P439" s="13" t="str">
        <f>IF(Sheet1!O439&gt;7,"Yes","No")</f>
        <v>Yes</v>
      </c>
    </row>
    <row r="440" spans="5:16">
      <c r="E440" s="13" t="str">
        <v>549</v>
      </c>
      <c r="F440" s="13" t="str">
        <v>4200</v>
      </c>
      <c r="G440" s="13" t="str">
        <v>96</v>
      </c>
      <c r="H440" s="13" t="str">
        <f>_xlfn.CONCAT(Sheet1!A440," --&gt; ",Sheet1!J440)</f>
        <v>549-96-4200 --&gt; 71.568</v>
      </c>
      <c r="I440" s="13" t="str">
        <f>_xlfn.CONCAT(Sheet1!C440,"_",TEXT(Sheet1!K440, "m/d/yyyy"))</f>
        <v>Naypyitaw_3/8/2019</v>
      </c>
      <c r="J440" s="13" t="str">
        <f>IF(Sheet1!I440=Sheet1!N440*0.05,"Valid","Error")</f>
        <v>Valid</v>
      </c>
      <c r="K440" s="13" t="str">
        <f>IF(Sheet1!N440=Sheet1!G440*Sheet1!H440,"True","False")</f>
        <v>True</v>
      </c>
      <c r="L440" s="13" t="b">
        <v>1</v>
      </c>
      <c r="M440" s="9" t="b">
        <f>ISNUMBER(Sheet1!J440)</f>
        <v>1</v>
      </c>
      <c r="N440" s="13" t="str">
        <f>IF(Sheet1!B440="A","Branch A",IF(Sheet1!B440="B","Branch B","Other Branch"))</f>
        <v>Other Branch</v>
      </c>
      <c r="O440" s="13" t="str">
        <f>IF(Sheet1!M440="Credit card","Credit Payment","Other")</f>
        <v>Other</v>
      </c>
      <c r="P440" s="13" t="str">
        <f>IF(Sheet1!O440&gt;7,"Yes","No")</f>
        <v>No</v>
      </c>
    </row>
    <row r="441" spans="5:16">
      <c r="E441" s="13" t="str">
        <v>810</v>
      </c>
      <c r="F441" s="13" t="str">
        <v>6344</v>
      </c>
      <c r="G441" s="13" t="str">
        <v>60</v>
      </c>
      <c r="H441" s="13" t="str">
        <f>_xlfn.CONCAT(Sheet1!A441," --&gt; ",Sheet1!J441)</f>
        <v>810-60-6344 --&gt; 343.224</v>
      </c>
      <c r="I441" s="13" t="str">
        <f>_xlfn.CONCAT(Sheet1!C441,"_",TEXT(Sheet1!K441, "m/d/yyyy"))</f>
        <v>Naypyitaw_2/7/2019</v>
      </c>
      <c r="J441" s="13" t="str">
        <f>IF(Sheet1!I441=Sheet1!N441*0.05,"Valid","Error")</f>
        <v>Valid</v>
      </c>
      <c r="K441" s="13" t="str">
        <f>IF(Sheet1!N441=Sheet1!G441*Sheet1!H441,"True","False")</f>
        <v>True</v>
      </c>
      <c r="L441" s="13" t="b">
        <v>1</v>
      </c>
      <c r="M441" s="9" t="b">
        <f>ISNUMBER(Sheet1!J441)</f>
        <v>1</v>
      </c>
      <c r="N441" s="13" t="str">
        <f>IF(Sheet1!B441="A","Branch A",IF(Sheet1!B441="B","Branch B","Other Branch"))</f>
        <v>Other Branch</v>
      </c>
      <c r="O441" s="13" t="str">
        <f>IF(Sheet1!M441="Credit card","Credit Payment","Other")</f>
        <v>Credit Payment</v>
      </c>
      <c r="P441" s="13" t="str">
        <f>IF(Sheet1!O441&gt;7,"Yes","No")</f>
        <v>No</v>
      </c>
    </row>
    <row r="442" spans="5:16">
      <c r="E442" s="13" t="str">
        <v>450</v>
      </c>
      <c r="F442" s="13" t="str">
        <v>2866</v>
      </c>
      <c r="G442" s="13" t="str">
        <v>28</v>
      </c>
      <c r="H442" s="13" t="str">
        <f>_xlfn.CONCAT(Sheet1!A442," --&gt; ",Sheet1!J442)</f>
        <v>450-28-2866 --&gt; 91.56</v>
      </c>
      <c r="I442" s="13" t="str">
        <f>_xlfn.CONCAT(Sheet1!C442,"_",TEXT(Sheet1!K442, "m/d/yyyy"))</f>
        <v>Naypyitaw_1/15/2019</v>
      </c>
      <c r="J442" s="13" t="str">
        <f>IF(Sheet1!I442=Sheet1!N442*0.05,"Valid","Error")</f>
        <v>Valid</v>
      </c>
      <c r="K442" s="13" t="str">
        <f>IF(Sheet1!N442=Sheet1!G442*Sheet1!H442,"True","False")</f>
        <v>True</v>
      </c>
      <c r="L442" s="13" t="b">
        <v>1</v>
      </c>
      <c r="M442" s="9" t="b">
        <f>ISNUMBER(Sheet1!J442)</f>
        <v>1</v>
      </c>
      <c r="N442" s="13" t="str">
        <f>IF(Sheet1!B442="A","Branch A",IF(Sheet1!B442="B","Branch B","Other Branch"))</f>
        <v>Other Branch</v>
      </c>
      <c r="O442" s="13" t="str">
        <f>IF(Sheet1!M442="Credit card","Credit Payment","Other")</f>
        <v>Other</v>
      </c>
      <c r="P442" s="13" t="str">
        <f>IF(Sheet1!O442&gt;7,"Yes","No")</f>
        <v>Yes</v>
      </c>
    </row>
    <row r="443" spans="5:16">
      <c r="E443" s="13" t="str">
        <v>394</v>
      </c>
      <c r="F443" s="13" t="str">
        <v>3170</v>
      </c>
      <c r="G443" s="13" t="str">
        <v>30</v>
      </c>
      <c r="H443" s="13" t="str">
        <f>_xlfn.CONCAT(Sheet1!A443," --&gt; ",Sheet1!J443)</f>
        <v>394-30-3170 --&gt; 742.812</v>
      </c>
      <c r="I443" s="13" t="str">
        <f>_xlfn.CONCAT(Sheet1!C443,"_",TEXT(Sheet1!K443, "m/d/yyyy"))</f>
        <v>Mandalay_3/22/2019</v>
      </c>
      <c r="J443" s="13" t="str">
        <f>IF(Sheet1!I443=Sheet1!N443*0.05,"Valid","Error")</f>
        <v>Valid</v>
      </c>
      <c r="K443" s="13" t="str">
        <f>IF(Sheet1!N443=Sheet1!G443*Sheet1!H443,"True","False")</f>
        <v>True</v>
      </c>
      <c r="L443" s="13" t="b">
        <v>1</v>
      </c>
      <c r="M443" s="9" t="b">
        <f>ISNUMBER(Sheet1!J443)</f>
        <v>1</v>
      </c>
      <c r="N443" s="13" t="str">
        <f>IF(Sheet1!B443="A","Branch A",IF(Sheet1!B443="B","Branch B","Other Branch"))</f>
        <v>Branch B</v>
      </c>
      <c r="O443" s="13" t="str">
        <f>IF(Sheet1!M443="Credit card","Credit Payment","Other")</f>
        <v>Credit Payment</v>
      </c>
      <c r="P443" s="13" t="str">
        <f>IF(Sheet1!O443&gt;7,"Yes","No")</f>
        <v>No</v>
      </c>
    </row>
    <row r="444" spans="5:16">
      <c r="E444" s="13" t="str">
        <v>138</v>
      </c>
      <c r="F444" s="13" t="str">
        <v>5109</v>
      </c>
      <c r="G444" s="13" t="str">
        <v>17</v>
      </c>
      <c r="H444" s="13" t="str">
        <f>_xlfn.CONCAT(Sheet1!A444," --&gt; ",Sheet1!J444)</f>
        <v>138-17-5109 --&gt; 843.0345</v>
      </c>
      <c r="I444" s="13" t="str">
        <f>_xlfn.CONCAT(Sheet1!C444,"_",TEXT(Sheet1!K444, "m/d/yyyy"))</f>
        <v>Yangon_1/15/2019</v>
      </c>
      <c r="J444" s="13" t="str">
        <f>IF(Sheet1!I444=Sheet1!N444*0.05,"Valid","Error")</f>
        <v>Valid</v>
      </c>
      <c r="K444" s="13" t="str">
        <f>IF(Sheet1!N444=Sheet1!G444*Sheet1!H444,"True","False")</f>
        <v>True</v>
      </c>
      <c r="L444" s="13" t="b">
        <v>1</v>
      </c>
      <c r="M444" s="9" t="b">
        <f>ISNUMBER(Sheet1!J444)</f>
        <v>1</v>
      </c>
      <c r="N444" s="13" t="str">
        <f>IF(Sheet1!B444="A","Branch A",IF(Sheet1!B444="B","Branch B","Other Branch"))</f>
        <v>Branch A</v>
      </c>
      <c r="O444" s="13" t="str">
        <f>IF(Sheet1!M444="Credit card","Credit Payment","Other")</f>
        <v>Credit Payment</v>
      </c>
      <c r="P444" s="13" t="str">
        <f>IF(Sheet1!O444&gt;7,"Yes","No")</f>
        <v>No</v>
      </c>
    </row>
    <row r="445" spans="5:16">
      <c r="E445" s="13" t="str">
        <v>192</v>
      </c>
      <c r="F445" s="13" t="str">
        <v>7397</v>
      </c>
      <c r="G445" s="13" t="str">
        <v>98</v>
      </c>
      <c r="H445" s="13" t="str">
        <f>_xlfn.CONCAT(Sheet1!A445," --&gt; ",Sheet1!J445)</f>
        <v>192-98-7397 --&gt; 13.419</v>
      </c>
      <c r="I445" s="13" t="str">
        <f>_xlfn.CONCAT(Sheet1!C445,"_",TEXT(Sheet1!K445, "m/d/yyyy"))</f>
        <v>Naypyitaw_1/8/2019</v>
      </c>
      <c r="J445" s="13" t="str">
        <f>IF(Sheet1!I445=Sheet1!N445*0.05,"Valid","Error")</f>
        <v>Valid</v>
      </c>
      <c r="K445" s="13" t="str">
        <f>IF(Sheet1!N445=Sheet1!G445*Sheet1!H445,"True","False")</f>
        <v>True</v>
      </c>
      <c r="L445" s="13" t="b">
        <v>1</v>
      </c>
      <c r="M445" s="9" t="b">
        <f>ISNUMBER(Sheet1!J445)</f>
        <v>1</v>
      </c>
      <c r="N445" s="13" t="str">
        <f>IF(Sheet1!B445="A","Branch A",IF(Sheet1!B445="B","Branch B","Other Branch"))</f>
        <v>Other Branch</v>
      </c>
      <c r="O445" s="13" t="str">
        <f>IF(Sheet1!M445="Credit card","Credit Payment","Other")</f>
        <v>Other</v>
      </c>
      <c r="P445" s="13" t="str">
        <f>IF(Sheet1!O445&gt;7,"Yes","No")</f>
        <v>Yes</v>
      </c>
    </row>
    <row r="446" spans="5:16">
      <c r="E446" s="13" t="str">
        <v>301</v>
      </c>
      <c r="F446" s="13" t="str">
        <v>9629</v>
      </c>
      <c r="G446" s="13" t="str">
        <v>11</v>
      </c>
      <c r="H446" s="13" t="str">
        <f>_xlfn.CONCAT(Sheet1!A446," --&gt; ",Sheet1!J446)</f>
        <v>301-11-9629 --&gt; 140.385</v>
      </c>
      <c r="I446" s="13" t="str">
        <f>_xlfn.CONCAT(Sheet1!C446,"_",TEXT(Sheet1!K446, "m/d/yyyy"))</f>
        <v>Yangon_1/15/2019</v>
      </c>
      <c r="J446" s="13" t="str">
        <f>IF(Sheet1!I446=Sheet1!N446*0.05,"Valid","Error")</f>
        <v>Valid</v>
      </c>
      <c r="K446" s="13" t="str">
        <f>IF(Sheet1!N446=Sheet1!G446*Sheet1!H446,"True","False")</f>
        <v>True</v>
      </c>
      <c r="L446" s="13" t="b">
        <v>1</v>
      </c>
      <c r="M446" s="9" t="b">
        <f>ISNUMBER(Sheet1!J446)</f>
        <v>1</v>
      </c>
      <c r="N446" s="13" t="str">
        <f>IF(Sheet1!B446="A","Branch A",IF(Sheet1!B446="B","Branch B","Other Branch"))</f>
        <v>Branch A</v>
      </c>
      <c r="O446" s="13" t="str">
        <f>IF(Sheet1!M446="Credit card","Credit Payment","Other")</f>
        <v>Other</v>
      </c>
      <c r="P446" s="13" t="str">
        <f>IF(Sheet1!O446&gt;7,"Yes","No")</f>
        <v>Yes</v>
      </c>
    </row>
    <row r="447" spans="5:16">
      <c r="E447" s="13" t="str">
        <v>390</v>
      </c>
      <c r="F447" s="13" t="str">
        <v>5128</v>
      </c>
      <c r="G447" s="13" t="str">
        <v>80</v>
      </c>
      <c r="H447" s="13" t="str">
        <f>_xlfn.CONCAT(Sheet1!A447," --&gt; ",Sheet1!J447)</f>
        <v>390-80-5128 --&gt; 20.1075</v>
      </c>
      <c r="I447" s="13" t="str">
        <f>_xlfn.CONCAT(Sheet1!C447,"_",TEXT(Sheet1!K447, "m/d/yyyy"))</f>
        <v>Mandalay_1/28/2019</v>
      </c>
      <c r="J447" s="13" t="str">
        <f>IF(Sheet1!I447=Sheet1!N447*0.05,"Valid","Error")</f>
        <v>Valid</v>
      </c>
      <c r="K447" s="13" t="str">
        <f>IF(Sheet1!N447=Sheet1!G447*Sheet1!H447,"True","False")</f>
        <v>True</v>
      </c>
      <c r="L447" s="13" t="b">
        <v>1</v>
      </c>
      <c r="M447" s="9" t="b">
        <f>ISNUMBER(Sheet1!J447)</f>
        <v>1</v>
      </c>
      <c r="N447" s="13" t="str">
        <f>IF(Sheet1!B447="A","Branch A",IF(Sheet1!B447="B","Branch B","Other Branch"))</f>
        <v>Branch B</v>
      </c>
      <c r="O447" s="13" t="str">
        <f>IF(Sheet1!M447="Credit card","Credit Payment","Other")</f>
        <v>Credit Payment</v>
      </c>
      <c r="P447" s="13" t="str">
        <f>IF(Sheet1!O447&gt;7,"Yes","No")</f>
        <v>Yes</v>
      </c>
    </row>
    <row r="448" spans="5:16">
      <c r="E448" s="13" t="str">
        <v>235</v>
      </c>
      <c r="F448" s="13" t="str">
        <v>8343</v>
      </c>
      <c r="G448" s="13" t="str">
        <v>46</v>
      </c>
      <c r="H448" s="13" t="str">
        <f>_xlfn.CONCAT(Sheet1!A448," --&gt; ",Sheet1!J448)</f>
        <v>235-46-8343 --&gt; 290.43</v>
      </c>
      <c r="I448" s="13" t="str">
        <f>_xlfn.CONCAT(Sheet1!C448,"_",TEXT(Sheet1!K448, "m/d/yyyy"))</f>
        <v>Naypyitaw_2/14/2019</v>
      </c>
      <c r="J448" s="13" t="str">
        <f>IF(Sheet1!I448=Sheet1!N448*0.05,"Valid","Error")</f>
        <v>Valid</v>
      </c>
      <c r="K448" s="13" t="str">
        <f>IF(Sheet1!N448=Sheet1!G448*Sheet1!H448,"True","False")</f>
        <v>True</v>
      </c>
      <c r="L448" s="13" t="b">
        <v>1</v>
      </c>
      <c r="M448" s="9" t="b">
        <f>ISNUMBER(Sheet1!J448)</f>
        <v>1</v>
      </c>
      <c r="N448" s="13" t="str">
        <f>IF(Sheet1!B448="A","Branch A",IF(Sheet1!B448="B","Branch B","Other Branch"))</f>
        <v>Other Branch</v>
      </c>
      <c r="O448" s="13" t="str">
        <f>IF(Sheet1!M448="Credit card","Credit Payment","Other")</f>
        <v>Credit Payment</v>
      </c>
      <c r="P448" s="13" t="str">
        <f>IF(Sheet1!O448&gt;7,"Yes","No")</f>
        <v>Yes</v>
      </c>
    </row>
    <row r="449" spans="5:16">
      <c r="E449" s="13" t="str">
        <v>453</v>
      </c>
      <c r="F449" s="13" t="str">
        <v>7053</v>
      </c>
      <c r="G449" s="13" t="str">
        <v>12</v>
      </c>
      <c r="H449" s="13" t="str">
        <f>_xlfn.CONCAT(Sheet1!A449," --&gt; ",Sheet1!J449)</f>
        <v>453-12-7053 --&gt; 144.081</v>
      </c>
      <c r="I449" s="13" t="str">
        <f>_xlfn.CONCAT(Sheet1!C449,"_",TEXT(Sheet1!K449, "m/d/yyyy"))</f>
        <v>Naypyitaw_3/10/2019</v>
      </c>
      <c r="J449" s="13" t="str">
        <f>IF(Sheet1!I449=Sheet1!N449*0.05,"Valid","Error")</f>
        <v>Valid</v>
      </c>
      <c r="K449" s="13" t="str">
        <f>IF(Sheet1!N449=Sheet1!G449*Sheet1!H449,"True","False")</f>
        <v>True</v>
      </c>
      <c r="L449" s="13" t="b">
        <v>1</v>
      </c>
      <c r="M449" s="9" t="b">
        <f>ISNUMBER(Sheet1!J449)</f>
        <v>1</v>
      </c>
      <c r="N449" s="13" t="str">
        <f>IF(Sheet1!B449="A","Branch A",IF(Sheet1!B449="B","Branch B","Other Branch"))</f>
        <v>Other Branch</v>
      </c>
      <c r="O449" s="13" t="str">
        <f>IF(Sheet1!M449="Credit card","Credit Payment","Other")</f>
        <v>Credit Payment</v>
      </c>
      <c r="P449" s="13" t="str">
        <f>IF(Sheet1!O449&gt;7,"Yes","No")</f>
        <v>No</v>
      </c>
    </row>
    <row r="450" spans="5:16">
      <c r="E450" s="13" t="str">
        <v>296</v>
      </c>
      <c r="F450" s="13" t="str">
        <v>7041</v>
      </c>
      <c r="G450" s="13" t="str">
        <v>11</v>
      </c>
      <c r="H450" s="13" t="str">
        <f>_xlfn.CONCAT(Sheet1!A450," --&gt; ",Sheet1!J450)</f>
        <v>296-11-7041 --&gt; 28.4235</v>
      </c>
      <c r="I450" s="13" t="str">
        <f>_xlfn.CONCAT(Sheet1!C450,"_",TEXT(Sheet1!K450, "m/d/yyyy"))</f>
        <v>Mandalay_1/12/2019</v>
      </c>
      <c r="J450" s="13" t="str">
        <f>IF(Sheet1!I450=Sheet1!N450*0.05,"Valid","Error")</f>
        <v>Valid</v>
      </c>
      <c r="K450" s="13" t="str">
        <f>IF(Sheet1!N450=Sheet1!G450*Sheet1!H450,"True","False")</f>
        <v>True</v>
      </c>
      <c r="L450" s="13" t="b">
        <v>1</v>
      </c>
      <c r="M450" s="9" t="b">
        <f>ISNUMBER(Sheet1!J450)</f>
        <v>1</v>
      </c>
      <c r="N450" s="13" t="str">
        <f>IF(Sheet1!B450="A","Branch A",IF(Sheet1!B450="B","Branch B","Other Branch"))</f>
        <v>Branch B</v>
      </c>
      <c r="O450" s="13" t="str">
        <f>IF(Sheet1!M450="Credit card","Credit Payment","Other")</f>
        <v>Credit Payment</v>
      </c>
      <c r="P450" s="13" t="str">
        <f>IF(Sheet1!O450&gt;7,"Yes","No")</f>
        <v>No</v>
      </c>
    </row>
    <row r="451" spans="5:16">
      <c r="E451" s="13" t="str">
        <v>449</v>
      </c>
      <c r="F451" s="13" t="str">
        <v>2918</v>
      </c>
      <c r="G451" s="13" t="str">
        <v>27</v>
      </c>
      <c r="H451" s="13" t="str">
        <f>_xlfn.CONCAT(Sheet1!A451," --&gt; ",Sheet1!J451)</f>
        <v>449-27-2918 --&gt; 41.076</v>
      </c>
      <c r="I451" s="13" t="str">
        <f>_xlfn.CONCAT(Sheet1!C451,"_",TEXT(Sheet1!K451, "m/d/yyyy"))</f>
        <v>Mandalay_3/26/2019</v>
      </c>
      <c r="J451" s="13" t="str">
        <f>IF(Sheet1!I451=Sheet1!N451*0.05,"Valid","Error")</f>
        <v>Valid</v>
      </c>
      <c r="K451" s="13" t="str">
        <f>IF(Sheet1!N451=Sheet1!G451*Sheet1!H451,"True","False")</f>
        <v>True</v>
      </c>
      <c r="L451" s="13" t="b">
        <v>1</v>
      </c>
      <c r="M451" s="9" t="b">
        <f>ISNUMBER(Sheet1!J451)</f>
        <v>1</v>
      </c>
      <c r="N451" s="13" t="str">
        <f>IF(Sheet1!B451="A","Branch A",IF(Sheet1!B451="B","Branch B","Other Branch"))</f>
        <v>Branch B</v>
      </c>
      <c r="O451" s="13" t="str">
        <f>IF(Sheet1!M451="Credit card","Credit Payment","Other")</f>
        <v>Credit Payment</v>
      </c>
      <c r="P451" s="13" t="str">
        <f>IF(Sheet1!O451&gt;7,"Yes","No")</f>
        <v>Yes</v>
      </c>
    </row>
    <row r="452" spans="5:16">
      <c r="E452" s="13" t="str">
        <v>891</v>
      </c>
      <c r="F452" s="13" t="str">
        <v>7034</v>
      </c>
      <c r="G452" s="13" t="str">
        <v>01</v>
      </c>
      <c r="H452" s="13" t="str">
        <f>_xlfn.CONCAT(Sheet1!A452," --&gt; ",Sheet1!J452)</f>
        <v>891-01-7034 --&gt; 470.673</v>
      </c>
      <c r="I452" s="13" t="str">
        <f>_xlfn.CONCAT(Sheet1!C452,"_",TEXT(Sheet1!K452, "m/d/yyyy"))</f>
        <v>Mandalay_1/1/2019</v>
      </c>
      <c r="J452" s="13" t="str">
        <f>IF(Sheet1!I452=Sheet1!N452*0.05,"Valid","Error")</f>
        <v>Valid</v>
      </c>
      <c r="K452" s="13" t="str">
        <f>IF(Sheet1!N452=Sheet1!G452*Sheet1!H452,"True","False")</f>
        <v>True</v>
      </c>
      <c r="L452" s="13" t="b">
        <v>1</v>
      </c>
      <c r="M452" s="9" t="b">
        <f>ISNUMBER(Sheet1!J452)</f>
        <v>1</v>
      </c>
      <c r="N452" s="13" t="str">
        <f>IF(Sheet1!B452="A","Branch A",IF(Sheet1!B452="B","Branch B","Other Branch"))</f>
        <v>Branch B</v>
      </c>
      <c r="O452" s="13" t="str">
        <f>IF(Sheet1!M452="Credit card","Credit Payment","Other")</f>
        <v>Other</v>
      </c>
      <c r="P452" s="13" t="str">
        <f>IF(Sheet1!O452&gt;7,"Yes","No")</f>
        <v>No</v>
      </c>
    </row>
    <row r="453" spans="5:16">
      <c r="E453" s="13" t="str">
        <v>744</v>
      </c>
      <c r="F453" s="13" t="str">
        <v>5786</v>
      </c>
      <c r="G453" s="13" t="str">
        <v>09</v>
      </c>
      <c r="H453" s="13" t="str">
        <f>_xlfn.CONCAT(Sheet1!A453," --&gt; ",Sheet1!J453)</f>
        <v>744-09-5786 --&gt; 138.663</v>
      </c>
      <c r="I453" s="13" t="str">
        <f>_xlfn.CONCAT(Sheet1!C453,"_",TEXT(Sheet1!K453, "m/d/yyyy"))</f>
        <v>Mandalay_1/2/2019</v>
      </c>
      <c r="J453" s="13" t="str">
        <f>IF(Sheet1!I453=Sheet1!N453*0.05,"Valid","Error")</f>
        <v>Valid</v>
      </c>
      <c r="K453" s="13" t="str">
        <f>IF(Sheet1!N453=Sheet1!G453*Sheet1!H453,"True","False")</f>
        <v>True</v>
      </c>
      <c r="L453" s="13" t="b">
        <v>1</v>
      </c>
      <c r="M453" s="9" t="b">
        <f>ISNUMBER(Sheet1!J453)</f>
        <v>1</v>
      </c>
      <c r="N453" s="13" t="str">
        <f>IF(Sheet1!B453="A","Branch A",IF(Sheet1!B453="B","Branch B","Other Branch"))</f>
        <v>Branch B</v>
      </c>
      <c r="O453" s="13" t="str">
        <f>IF(Sheet1!M453="Credit card","Credit Payment","Other")</f>
        <v>Other</v>
      </c>
      <c r="P453" s="13" t="str">
        <f>IF(Sheet1!O453&gt;7,"Yes","No")</f>
        <v>Yes</v>
      </c>
    </row>
    <row r="454" spans="5:16">
      <c r="E454" s="13" t="str">
        <v>727</v>
      </c>
      <c r="F454" s="13" t="str">
        <v>0390</v>
      </c>
      <c r="G454" s="13" t="str">
        <v>17</v>
      </c>
      <c r="H454" s="13" t="str">
        <f>_xlfn.CONCAT(Sheet1!A454," --&gt; ",Sheet1!J454)</f>
        <v>727-17-0390 --&gt; 333.9525</v>
      </c>
      <c r="I454" s="13" t="str">
        <f>_xlfn.CONCAT(Sheet1!C454,"_",TEXT(Sheet1!K454, "m/d/yyyy"))</f>
        <v>Yangon_3/16/2019</v>
      </c>
      <c r="J454" s="13" t="str">
        <f>IF(Sheet1!I454=Sheet1!N454*0.05,"Valid","Error")</f>
        <v>Valid</v>
      </c>
      <c r="K454" s="13" t="str">
        <f>IF(Sheet1!N454=Sheet1!G454*Sheet1!H454,"True","False")</f>
        <v>True</v>
      </c>
      <c r="L454" s="13" t="b">
        <v>1</v>
      </c>
      <c r="M454" s="9" t="b">
        <f>ISNUMBER(Sheet1!J454)</f>
        <v>1</v>
      </c>
      <c r="N454" s="13" t="str">
        <f>IF(Sheet1!B454="A","Branch A",IF(Sheet1!B454="B","Branch B","Other Branch"))</f>
        <v>Branch A</v>
      </c>
      <c r="O454" s="13" t="str">
        <f>IF(Sheet1!M454="Credit card","Credit Payment","Other")</f>
        <v>Other</v>
      </c>
      <c r="P454" s="13" t="str">
        <f>IF(Sheet1!O454&gt;7,"Yes","No")</f>
        <v>No</v>
      </c>
    </row>
    <row r="455" spans="5:16">
      <c r="E455" s="13" t="str">
        <v>568</v>
      </c>
      <c r="F455" s="13" t="str">
        <v>3448</v>
      </c>
      <c r="G455" s="13" t="str">
        <v>88</v>
      </c>
      <c r="H455" s="13" t="str">
        <f>_xlfn.CONCAT(Sheet1!A455," --&gt; ",Sheet1!J455)</f>
        <v>568-88-3448 --&gt; 26.25</v>
      </c>
      <c r="I455" s="13" t="str">
        <f>_xlfn.CONCAT(Sheet1!C455,"_",TEXT(Sheet1!K455, "m/d/yyyy"))</f>
        <v>Yangon_3/3/2019</v>
      </c>
      <c r="J455" s="13" t="str">
        <f>IF(Sheet1!I455=Sheet1!N455*0.05,"Valid","Error")</f>
        <v>Valid</v>
      </c>
      <c r="K455" s="13" t="str">
        <f>IF(Sheet1!N455=Sheet1!G455*Sheet1!H455,"True","False")</f>
        <v>True</v>
      </c>
      <c r="L455" s="13" t="b">
        <v>1</v>
      </c>
      <c r="M455" s="9" t="b">
        <f>ISNUMBER(Sheet1!J455)</f>
        <v>1</v>
      </c>
      <c r="N455" s="13" t="str">
        <f>IF(Sheet1!B455="A","Branch A",IF(Sheet1!B455="B","Branch B","Other Branch"))</f>
        <v>Branch A</v>
      </c>
      <c r="O455" s="13" t="str">
        <f>IF(Sheet1!M455="Credit card","Credit Payment","Other")</f>
        <v>Other</v>
      </c>
      <c r="P455" s="13" t="str">
        <f>IF(Sheet1!O455&gt;7,"Yes","No")</f>
        <v>No</v>
      </c>
    </row>
    <row r="456" spans="5:16">
      <c r="E456" s="13" t="str">
        <v>187</v>
      </c>
      <c r="F456" s="13" t="str">
        <v>5490</v>
      </c>
      <c r="G456" s="13" t="str">
        <v>83</v>
      </c>
      <c r="H456" s="13" t="str">
        <f>_xlfn.CONCAT(Sheet1!A456," --&gt; ",Sheet1!J456)</f>
        <v>187-83-5490 --&gt; 87.234</v>
      </c>
      <c r="I456" s="13" t="str">
        <f>_xlfn.CONCAT(Sheet1!C456,"_",TEXT(Sheet1!K456, "m/d/yyyy"))</f>
        <v>Yangon_1/31/2019</v>
      </c>
      <c r="J456" s="13" t="str">
        <f>IF(Sheet1!I456=Sheet1!N456*0.05,"Valid","Error")</f>
        <v>Valid</v>
      </c>
      <c r="K456" s="13" t="str">
        <f>IF(Sheet1!N456=Sheet1!G456*Sheet1!H456,"True","False")</f>
        <v>True</v>
      </c>
      <c r="L456" s="13" t="b">
        <v>1</v>
      </c>
      <c r="M456" s="9" t="b">
        <f>ISNUMBER(Sheet1!J456)</f>
        <v>1</v>
      </c>
      <c r="N456" s="13" t="str">
        <f>IF(Sheet1!B456="A","Branch A",IF(Sheet1!B456="B","Branch B","Other Branch"))</f>
        <v>Branch A</v>
      </c>
      <c r="O456" s="13" t="str">
        <f>IF(Sheet1!M456="Credit card","Credit Payment","Other")</f>
        <v>Other</v>
      </c>
      <c r="P456" s="13" t="str">
        <f>IF(Sheet1!O456&gt;7,"Yes","No")</f>
        <v>No</v>
      </c>
    </row>
    <row r="457" spans="5:16">
      <c r="E457" s="13" t="str">
        <v>767</v>
      </c>
      <c r="F457" s="13" t="str">
        <v>1907</v>
      </c>
      <c r="G457" s="13" t="str">
        <v>54</v>
      </c>
      <c r="H457" s="13" t="str">
        <f>_xlfn.CONCAT(Sheet1!A457," --&gt; ",Sheet1!J457)</f>
        <v>767-54-1907 --&gt; 155.19</v>
      </c>
      <c r="I457" s="13" t="str">
        <f>_xlfn.CONCAT(Sheet1!C457,"_",TEXT(Sheet1!K457, "m/d/yyyy"))</f>
        <v>Mandalay_2/13/2019</v>
      </c>
      <c r="J457" s="13" t="str">
        <f>IF(Sheet1!I457=Sheet1!N457*0.05,"Valid","Error")</f>
        <v>Valid</v>
      </c>
      <c r="K457" s="13" t="str">
        <f>IF(Sheet1!N457=Sheet1!G457*Sheet1!H457,"True","False")</f>
        <v>True</v>
      </c>
      <c r="L457" s="13" t="b">
        <v>1</v>
      </c>
      <c r="M457" s="9" t="b">
        <f>ISNUMBER(Sheet1!J457)</f>
        <v>1</v>
      </c>
      <c r="N457" s="13" t="str">
        <f>IF(Sheet1!B457="A","Branch A",IF(Sheet1!B457="B","Branch B","Other Branch"))</f>
        <v>Branch B</v>
      </c>
      <c r="O457" s="13" t="str">
        <f>IF(Sheet1!M457="Credit card","Credit Payment","Other")</f>
        <v>Other</v>
      </c>
      <c r="P457" s="13" t="str">
        <f>IF(Sheet1!O457&gt;7,"Yes","No")</f>
        <v>No</v>
      </c>
    </row>
    <row r="458" spans="5:16">
      <c r="E458" s="13" t="str">
        <v>710</v>
      </c>
      <c r="F458" s="13" t="str">
        <v>4433</v>
      </c>
      <c r="G458" s="13" t="str">
        <v>46</v>
      </c>
      <c r="H458" s="13" t="str">
        <f>_xlfn.CONCAT(Sheet1!A458," --&gt; ",Sheet1!J458)</f>
        <v>710-46-4433 --&gt; 731.43</v>
      </c>
      <c r="I458" s="13" t="str">
        <f>_xlfn.CONCAT(Sheet1!C458,"_",TEXT(Sheet1!K458, "m/d/yyyy"))</f>
        <v>Mandalay_2/15/2019</v>
      </c>
      <c r="J458" s="13" t="str">
        <f>IF(Sheet1!I458=Sheet1!N458*0.05,"Valid","Error")</f>
        <v>Valid</v>
      </c>
      <c r="K458" s="13" t="str">
        <f>IF(Sheet1!N458=Sheet1!G458*Sheet1!H458,"True","False")</f>
        <v>True</v>
      </c>
      <c r="L458" s="13" t="b">
        <v>1</v>
      </c>
      <c r="M458" s="9" t="b">
        <f>ISNUMBER(Sheet1!J458)</f>
        <v>1</v>
      </c>
      <c r="N458" s="13" t="str">
        <f>IF(Sheet1!B458="A","Branch A",IF(Sheet1!B458="B","Branch B","Other Branch"))</f>
        <v>Branch B</v>
      </c>
      <c r="O458" s="13" t="str">
        <f>IF(Sheet1!M458="Credit card","Credit Payment","Other")</f>
        <v>Credit Payment</v>
      </c>
      <c r="P458" s="13" t="str">
        <f>IF(Sheet1!O458&gt;7,"Yes","No")</f>
        <v>No</v>
      </c>
    </row>
    <row r="459" spans="5:16">
      <c r="E459" s="13" t="str">
        <v>533</v>
      </c>
      <c r="F459" s="13" t="str">
        <v>5337</v>
      </c>
      <c r="G459" s="13" t="str">
        <v>33</v>
      </c>
      <c r="H459" s="13" t="str">
        <f>_xlfn.CONCAT(Sheet1!A459," --&gt; ",Sheet1!J459)</f>
        <v>533-33-5337 --&gt; 833.595</v>
      </c>
      <c r="I459" s="13" t="str">
        <f>_xlfn.CONCAT(Sheet1!C459,"_",TEXT(Sheet1!K459, "m/d/yyyy"))</f>
        <v>Mandalay_2/7/2019</v>
      </c>
      <c r="J459" s="13" t="str">
        <f>IF(Sheet1!I459=Sheet1!N459*0.05,"Valid","Error")</f>
        <v>Valid</v>
      </c>
      <c r="K459" s="13" t="str">
        <f>IF(Sheet1!N459=Sheet1!G459*Sheet1!H459,"True","False")</f>
        <v>True</v>
      </c>
      <c r="L459" s="13" t="b">
        <v>1</v>
      </c>
      <c r="M459" s="9" t="b">
        <f>ISNUMBER(Sheet1!J459)</f>
        <v>1</v>
      </c>
      <c r="N459" s="13" t="str">
        <f>IF(Sheet1!B459="A","Branch A",IF(Sheet1!B459="B","Branch B","Other Branch"))</f>
        <v>Branch B</v>
      </c>
      <c r="O459" s="13" t="str">
        <f>IF(Sheet1!M459="Credit card","Credit Payment","Other")</f>
        <v>Other</v>
      </c>
      <c r="P459" s="13" t="str">
        <f>IF(Sheet1!O459&gt;7,"Yes","No")</f>
        <v>No</v>
      </c>
    </row>
    <row r="460" spans="5:16">
      <c r="E460" s="13" t="str">
        <v>325</v>
      </c>
      <c r="F460" s="13" t="str">
        <v>8763</v>
      </c>
      <c r="G460" s="13" t="str">
        <v>90</v>
      </c>
      <c r="H460" s="13" t="str">
        <f>_xlfn.CONCAT(Sheet1!A460," --&gt; ",Sheet1!J460)</f>
        <v>325-90-8763 --&gt; 488.985</v>
      </c>
      <c r="I460" s="13" t="str">
        <f>_xlfn.CONCAT(Sheet1!C460,"_",TEXT(Sheet1!K460, "m/d/yyyy"))</f>
        <v>Naypyitaw_1/27/2019</v>
      </c>
      <c r="J460" s="13" t="str">
        <f>IF(Sheet1!I460=Sheet1!N460*0.05,"Valid","Error")</f>
        <v>Valid</v>
      </c>
      <c r="K460" s="13" t="str">
        <f>IF(Sheet1!N460=Sheet1!G460*Sheet1!H460,"True","False")</f>
        <v>True</v>
      </c>
      <c r="L460" s="13" t="b">
        <v>1</v>
      </c>
      <c r="M460" s="9" t="b">
        <f>ISNUMBER(Sheet1!J460)</f>
        <v>1</v>
      </c>
      <c r="N460" s="13" t="str">
        <f>IF(Sheet1!B460="A","Branch A",IF(Sheet1!B460="B","Branch B","Other Branch"))</f>
        <v>Other Branch</v>
      </c>
      <c r="O460" s="13" t="str">
        <f>IF(Sheet1!M460="Credit card","Credit Payment","Other")</f>
        <v>Other</v>
      </c>
      <c r="P460" s="13" t="str">
        <f>IF(Sheet1!O460&gt;7,"Yes","No")</f>
        <v>Yes</v>
      </c>
    </row>
    <row r="461" spans="5:16">
      <c r="E461" s="13" t="str">
        <v>729</v>
      </c>
      <c r="F461" s="13" t="str">
        <v>7422</v>
      </c>
      <c r="G461" s="13" t="str">
        <v>46</v>
      </c>
      <c r="H461" s="13" t="str">
        <f>_xlfn.CONCAT(Sheet1!A461," --&gt; ",Sheet1!J461)</f>
        <v>729-46-7422 --&gt; 37.6845</v>
      </c>
      <c r="I461" s="13" t="str">
        <f>_xlfn.CONCAT(Sheet1!C461,"_",TEXT(Sheet1!K461, "m/d/yyyy"))</f>
        <v>Naypyitaw_2/23/2019</v>
      </c>
      <c r="J461" s="13" t="str">
        <f>IF(Sheet1!I461=Sheet1!N461*0.05,"Valid","Error")</f>
        <v>Valid</v>
      </c>
      <c r="K461" s="13" t="str">
        <f>IF(Sheet1!N461=Sheet1!G461*Sheet1!H461,"True","False")</f>
        <v>True</v>
      </c>
      <c r="L461" s="13" t="b">
        <v>1</v>
      </c>
      <c r="M461" s="9" t="b">
        <f>ISNUMBER(Sheet1!J461)</f>
        <v>1</v>
      </c>
      <c r="N461" s="13" t="str">
        <f>IF(Sheet1!B461="A","Branch A",IF(Sheet1!B461="B","Branch B","Other Branch"))</f>
        <v>Other Branch</v>
      </c>
      <c r="O461" s="13" t="str">
        <f>IF(Sheet1!M461="Credit card","Credit Payment","Other")</f>
        <v>Credit Payment</v>
      </c>
      <c r="P461" s="13" t="str">
        <f>IF(Sheet1!O461&gt;7,"Yes","No")</f>
        <v>Yes</v>
      </c>
    </row>
    <row r="462" spans="5:16">
      <c r="E462" s="13" t="str">
        <v>639</v>
      </c>
      <c r="F462" s="13" t="str">
        <v>1242</v>
      </c>
      <c r="G462" s="13" t="str">
        <v>76</v>
      </c>
      <c r="H462" s="13" t="str">
        <f>_xlfn.CONCAT(Sheet1!A462," --&gt; ",Sheet1!J462)</f>
        <v>639-76-1242 --&gt; 212.73</v>
      </c>
      <c r="I462" s="13" t="str">
        <f>_xlfn.CONCAT(Sheet1!C462,"_",TEXT(Sheet1!K462, "m/d/yyyy"))</f>
        <v>Naypyitaw_2/3/2019</v>
      </c>
      <c r="J462" s="13" t="str">
        <f>IF(Sheet1!I462=Sheet1!N462*0.05,"Valid","Error")</f>
        <v>Valid</v>
      </c>
      <c r="K462" s="13" t="str">
        <f>IF(Sheet1!N462=Sheet1!G462*Sheet1!H462,"True","False")</f>
        <v>True</v>
      </c>
      <c r="L462" s="13" t="b">
        <v>1</v>
      </c>
      <c r="M462" s="9" t="b">
        <f>ISNUMBER(Sheet1!J462)</f>
        <v>1</v>
      </c>
      <c r="N462" s="13" t="str">
        <f>IF(Sheet1!B462="A","Branch A",IF(Sheet1!B462="B","Branch B","Other Branch"))</f>
        <v>Other Branch</v>
      </c>
      <c r="O462" s="13" t="str">
        <f>IF(Sheet1!M462="Credit card","Credit Payment","Other")</f>
        <v>Other</v>
      </c>
      <c r="P462" s="13" t="str">
        <f>IF(Sheet1!O462&gt;7,"Yes","No")</f>
        <v>No</v>
      </c>
    </row>
    <row r="463" spans="5:16">
      <c r="E463" s="13" t="str">
        <v>234</v>
      </c>
      <c r="F463" s="13" t="str">
        <v>4040</v>
      </c>
      <c r="G463" s="13" t="str">
        <v>03</v>
      </c>
      <c r="H463" s="13" t="str">
        <f>_xlfn.CONCAT(Sheet1!A463," --&gt; ",Sheet1!J463)</f>
        <v>234-03-4040 --&gt; 767.025</v>
      </c>
      <c r="I463" s="13" t="str">
        <f>_xlfn.CONCAT(Sheet1!C463,"_",TEXT(Sheet1!K463, "m/d/yyyy"))</f>
        <v>Mandalay_3/3/2019</v>
      </c>
      <c r="J463" s="13" t="str">
        <f>IF(Sheet1!I463=Sheet1!N463*0.05,"Valid","Error")</f>
        <v>Valid</v>
      </c>
      <c r="K463" s="13" t="str">
        <f>IF(Sheet1!N463=Sheet1!G463*Sheet1!H463,"True","False")</f>
        <v>True</v>
      </c>
      <c r="L463" s="13" t="b">
        <v>1</v>
      </c>
      <c r="M463" s="9" t="b">
        <f>ISNUMBER(Sheet1!J463)</f>
        <v>1</v>
      </c>
      <c r="N463" s="13" t="str">
        <f>IF(Sheet1!B463="A","Branch A",IF(Sheet1!B463="B","Branch B","Other Branch"))</f>
        <v>Branch B</v>
      </c>
      <c r="O463" s="13" t="str">
        <f>IF(Sheet1!M463="Credit card","Credit Payment","Other")</f>
        <v>Credit Payment</v>
      </c>
      <c r="P463" s="13" t="str">
        <f>IF(Sheet1!O463&gt;7,"Yes","No")</f>
        <v>Yes</v>
      </c>
    </row>
    <row r="464" spans="5:16">
      <c r="E464" s="13" t="str">
        <v>326</v>
      </c>
      <c r="F464" s="13" t="str">
        <v>2155</v>
      </c>
      <c r="G464" s="13" t="str">
        <v>71</v>
      </c>
      <c r="H464" s="13" t="str">
        <f>_xlfn.CONCAT(Sheet1!A464," --&gt; ",Sheet1!J464)</f>
        <v>326-71-2155 --&gt; 310.59</v>
      </c>
      <c r="I464" s="13" t="str">
        <f>_xlfn.CONCAT(Sheet1!C464,"_",TEXT(Sheet1!K464, "m/d/yyyy"))</f>
        <v>Naypyitaw_2/3/2019</v>
      </c>
      <c r="J464" s="13" t="str">
        <f>IF(Sheet1!I464=Sheet1!N464*0.05,"Valid","Error")</f>
        <v>Valid</v>
      </c>
      <c r="K464" s="13" t="str">
        <f>IF(Sheet1!N464=Sheet1!G464*Sheet1!H464,"True","False")</f>
        <v>True</v>
      </c>
      <c r="L464" s="13" t="b">
        <v>1</v>
      </c>
      <c r="M464" s="9" t="b">
        <f>ISNUMBER(Sheet1!J464)</f>
        <v>1</v>
      </c>
      <c r="N464" s="13" t="str">
        <f>IF(Sheet1!B464="A","Branch A",IF(Sheet1!B464="B","Branch B","Other Branch"))</f>
        <v>Other Branch</v>
      </c>
      <c r="O464" s="13" t="str">
        <f>IF(Sheet1!M464="Credit card","Credit Payment","Other")</f>
        <v>Other</v>
      </c>
      <c r="P464" s="13" t="str">
        <f>IF(Sheet1!O464&gt;7,"Yes","No")</f>
        <v>No</v>
      </c>
    </row>
    <row r="465" spans="5:16">
      <c r="E465" s="13" t="str">
        <v>320</v>
      </c>
      <c r="F465" s="13" t="str">
        <v>8842</v>
      </c>
      <c r="G465" s="13" t="str">
        <v>32</v>
      </c>
      <c r="H465" s="13" t="str">
        <f>_xlfn.CONCAT(Sheet1!A465," --&gt; ",Sheet1!J465)</f>
        <v>320-32-8842 --&gt; 23.751</v>
      </c>
      <c r="I465" s="13" t="str">
        <f>_xlfn.CONCAT(Sheet1!C465,"_",TEXT(Sheet1!K465, "m/d/yyyy"))</f>
        <v>Naypyitaw_3/17/2019</v>
      </c>
      <c r="J465" s="13" t="str">
        <f>IF(Sheet1!I465=Sheet1!N465*0.05,"Valid","Error")</f>
        <v>Valid</v>
      </c>
      <c r="K465" s="13" t="str">
        <f>IF(Sheet1!N465=Sheet1!G465*Sheet1!H465,"True","False")</f>
        <v>True</v>
      </c>
      <c r="L465" s="13" t="b">
        <v>1</v>
      </c>
      <c r="M465" s="9" t="b">
        <f>ISNUMBER(Sheet1!J465)</f>
        <v>1</v>
      </c>
      <c r="N465" s="13" t="str">
        <f>IF(Sheet1!B465="A","Branch A",IF(Sheet1!B465="B","Branch B","Other Branch"))</f>
        <v>Other Branch</v>
      </c>
      <c r="O465" s="13" t="str">
        <f>IF(Sheet1!M465="Credit card","Credit Payment","Other")</f>
        <v>Other</v>
      </c>
      <c r="P465" s="13" t="str">
        <f>IF(Sheet1!O465&gt;7,"Yes","No")</f>
        <v>No</v>
      </c>
    </row>
    <row r="466" spans="5:16">
      <c r="E466" s="13" t="str">
        <v>470</v>
      </c>
      <c r="F466" s="13" t="str">
        <v>9057</v>
      </c>
      <c r="G466" s="13" t="str">
        <v>32</v>
      </c>
      <c r="H466" s="13" t="str">
        <f>_xlfn.CONCAT(Sheet1!A466," --&gt; ",Sheet1!J466)</f>
        <v>470-32-9057 --&gt; 269.535</v>
      </c>
      <c r="I466" s="13" t="str">
        <f>_xlfn.CONCAT(Sheet1!C466,"_",TEXT(Sheet1!K466, "m/d/yyyy"))</f>
        <v>Yangon_3/28/2019</v>
      </c>
      <c r="J466" s="13" t="str">
        <f>IF(Sheet1!I466=Sheet1!N466*0.05,"Valid","Error")</f>
        <v>Valid</v>
      </c>
      <c r="K466" s="13" t="str">
        <f>IF(Sheet1!N466=Sheet1!G466*Sheet1!H466,"True","False")</f>
        <v>True</v>
      </c>
      <c r="L466" s="13" t="b">
        <v>1</v>
      </c>
      <c r="M466" s="9" t="b">
        <f>ISNUMBER(Sheet1!J466)</f>
        <v>1</v>
      </c>
      <c r="N466" s="13" t="str">
        <f>IF(Sheet1!B466="A","Branch A",IF(Sheet1!B466="B","Branch B","Other Branch"))</f>
        <v>Branch A</v>
      </c>
      <c r="O466" s="13" t="str">
        <f>IF(Sheet1!M466="Credit card","Credit Payment","Other")</f>
        <v>Credit Payment</v>
      </c>
      <c r="P466" s="13" t="str">
        <f>IF(Sheet1!O466&gt;7,"Yes","No")</f>
        <v>Yes</v>
      </c>
    </row>
    <row r="467" spans="5:16">
      <c r="E467" s="13" t="str">
        <v>878</v>
      </c>
      <c r="F467" s="13" t="str">
        <v>2331</v>
      </c>
      <c r="G467" s="13" t="str">
        <v>30</v>
      </c>
      <c r="H467" s="13" t="str">
        <f>_xlfn.CONCAT(Sheet1!A467," --&gt; ",Sheet1!J467)</f>
        <v>878-30-2331 --&gt; 572.775</v>
      </c>
      <c r="I467" s="13" t="str">
        <f>_xlfn.CONCAT(Sheet1!C467,"_",TEXT(Sheet1!K467, "m/d/yyyy"))</f>
        <v>Naypyitaw_3/2/2019</v>
      </c>
      <c r="J467" s="13" t="str">
        <f>IF(Sheet1!I467=Sheet1!N467*0.05,"Valid","Error")</f>
        <v>Valid</v>
      </c>
      <c r="K467" s="13" t="str">
        <f>IF(Sheet1!N467=Sheet1!G467*Sheet1!H467,"True","False")</f>
        <v>True</v>
      </c>
      <c r="L467" s="13" t="b">
        <v>1</v>
      </c>
      <c r="M467" s="9" t="b">
        <f>ISNUMBER(Sheet1!J467)</f>
        <v>1</v>
      </c>
      <c r="N467" s="13" t="str">
        <f>IF(Sheet1!B467="A","Branch A",IF(Sheet1!B467="B","Branch B","Other Branch"))</f>
        <v>Other Branch</v>
      </c>
      <c r="O467" s="13" t="str">
        <f>IF(Sheet1!M467="Credit card","Credit Payment","Other")</f>
        <v>Credit Payment</v>
      </c>
      <c r="P467" s="13" t="str">
        <f>IF(Sheet1!O467&gt;7,"Yes","No")</f>
        <v>Yes</v>
      </c>
    </row>
    <row r="468" spans="5:16">
      <c r="E468" s="13" t="str">
        <v>440</v>
      </c>
      <c r="F468" s="13" t="str">
        <v>5691</v>
      </c>
      <c r="G468" s="13" t="str">
        <v>59</v>
      </c>
      <c r="H468" s="13" t="str">
        <f>_xlfn.CONCAT(Sheet1!A468," --&gt; ",Sheet1!J468)</f>
        <v>440-59-5691 --&gt; 273.0525</v>
      </c>
      <c r="I468" s="13" t="str">
        <f>_xlfn.CONCAT(Sheet1!C468,"_",TEXT(Sheet1!K468, "m/d/yyyy"))</f>
        <v>Naypyitaw_2/8/2019</v>
      </c>
      <c r="J468" s="13" t="str">
        <f>IF(Sheet1!I468=Sheet1!N468*0.05,"Valid","Error")</f>
        <v>Valid</v>
      </c>
      <c r="K468" s="13" t="str">
        <f>IF(Sheet1!N468=Sheet1!G468*Sheet1!H468,"True","False")</f>
        <v>True</v>
      </c>
      <c r="L468" s="13" t="b">
        <v>1</v>
      </c>
      <c r="M468" s="9" t="b">
        <f>ISNUMBER(Sheet1!J468)</f>
        <v>1</v>
      </c>
      <c r="N468" s="13" t="str">
        <f>IF(Sheet1!B468="A","Branch A",IF(Sheet1!B468="B","Branch B","Other Branch"))</f>
        <v>Other Branch</v>
      </c>
      <c r="O468" s="13" t="str">
        <f>IF(Sheet1!M468="Credit card","Credit Payment","Other")</f>
        <v>Credit Payment</v>
      </c>
      <c r="P468" s="13" t="str">
        <f>IF(Sheet1!O468&gt;7,"Yes","No")</f>
        <v>Yes</v>
      </c>
    </row>
    <row r="469" spans="5:16">
      <c r="E469" s="13" t="str">
        <v>554</v>
      </c>
      <c r="F469" s="13" t="str">
        <v>3790</v>
      </c>
      <c r="G469" s="13" t="str">
        <v>53</v>
      </c>
      <c r="H469" s="13" t="str">
        <f>_xlfn.CONCAT(Sheet1!A469," --&gt; ",Sheet1!J469)</f>
        <v>554-53-3790 --&gt; 233.226</v>
      </c>
      <c r="I469" s="13" t="str">
        <f>_xlfn.CONCAT(Sheet1!C469,"_",TEXT(Sheet1!K469, "m/d/yyyy"))</f>
        <v>Mandalay_3/22/2019</v>
      </c>
      <c r="J469" s="13" t="str">
        <f>IF(Sheet1!I469=Sheet1!N469*0.05,"Valid","Error")</f>
        <v>Valid</v>
      </c>
      <c r="K469" s="13" t="str">
        <f>IF(Sheet1!N469=Sheet1!G469*Sheet1!H469,"True","False")</f>
        <v>True</v>
      </c>
      <c r="L469" s="13" t="b">
        <v>1</v>
      </c>
      <c r="M469" s="9" t="b">
        <f>ISNUMBER(Sheet1!J469)</f>
        <v>1</v>
      </c>
      <c r="N469" s="13" t="str">
        <f>IF(Sheet1!B469="A","Branch A",IF(Sheet1!B469="B","Branch B","Other Branch"))</f>
        <v>Branch B</v>
      </c>
      <c r="O469" s="13" t="str">
        <f>IF(Sheet1!M469="Credit card","Credit Payment","Other")</f>
        <v>Other</v>
      </c>
      <c r="P469" s="13" t="str">
        <f>IF(Sheet1!O469&gt;7,"Yes","No")</f>
        <v>No</v>
      </c>
    </row>
    <row r="470" spans="5:16">
      <c r="E470" s="13" t="str">
        <v>746</v>
      </c>
      <c r="F470" s="13" t="str">
        <v>0921</v>
      </c>
      <c r="G470" s="13" t="str">
        <v>19</v>
      </c>
      <c r="H470" s="13" t="str">
        <f>_xlfn.CONCAT(Sheet1!A470," --&gt; ",Sheet1!J470)</f>
        <v>746-19-0921 --&gt; 22.659</v>
      </c>
      <c r="I470" s="13" t="str">
        <f>_xlfn.CONCAT(Sheet1!C470,"_",TEXT(Sheet1!K470, "m/d/yyyy"))</f>
        <v>Naypyitaw_2/9/2019</v>
      </c>
      <c r="J470" s="13" t="str">
        <f>IF(Sheet1!I470=Sheet1!N470*0.05,"Valid","Error")</f>
        <v>Valid</v>
      </c>
      <c r="K470" s="13" t="str">
        <f>IF(Sheet1!N470=Sheet1!G470*Sheet1!H470,"True","False")</f>
        <v>True</v>
      </c>
      <c r="L470" s="13" t="b">
        <v>1</v>
      </c>
      <c r="M470" s="9" t="b">
        <f>ISNUMBER(Sheet1!J470)</f>
        <v>1</v>
      </c>
      <c r="N470" s="13" t="str">
        <f>IF(Sheet1!B470="A","Branch A",IF(Sheet1!B470="B","Branch B","Other Branch"))</f>
        <v>Other Branch</v>
      </c>
      <c r="O470" s="13" t="str">
        <f>IF(Sheet1!M470="Credit card","Credit Payment","Other")</f>
        <v>Other</v>
      </c>
      <c r="P470" s="13" t="str">
        <f>IF(Sheet1!O470&gt;7,"Yes","No")</f>
        <v>Yes</v>
      </c>
    </row>
    <row r="471" spans="5:16">
      <c r="E471" s="13" t="str">
        <v>233</v>
      </c>
      <c r="F471" s="13" t="str">
        <v>0817</v>
      </c>
      <c r="G471" s="13" t="str">
        <v>34</v>
      </c>
      <c r="H471" s="13" t="str">
        <f>_xlfn.CONCAT(Sheet1!A471," --&gt; ",Sheet1!J471)</f>
        <v>233-34-0817 --&gt; 103.782</v>
      </c>
      <c r="I471" s="13" t="str">
        <f>_xlfn.CONCAT(Sheet1!C471,"_",TEXT(Sheet1!K471, "m/d/yyyy"))</f>
        <v>Naypyitaw_2/15/2019</v>
      </c>
      <c r="J471" s="13" t="str">
        <f>IF(Sheet1!I471=Sheet1!N471*0.05,"Valid","Error")</f>
        <v>Valid</v>
      </c>
      <c r="K471" s="13" t="str">
        <f>IF(Sheet1!N471=Sheet1!G471*Sheet1!H471,"True","False")</f>
        <v>True</v>
      </c>
      <c r="L471" s="13" t="b">
        <v>1</v>
      </c>
      <c r="M471" s="9" t="b">
        <f>ISNUMBER(Sheet1!J471)</f>
        <v>1</v>
      </c>
      <c r="N471" s="13" t="str">
        <f>IF(Sheet1!B471="A","Branch A",IF(Sheet1!B471="B","Branch B","Other Branch"))</f>
        <v>Other Branch</v>
      </c>
      <c r="O471" s="13" t="str">
        <f>IF(Sheet1!M471="Credit card","Credit Payment","Other")</f>
        <v>Other</v>
      </c>
      <c r="P471" s="13" t="str">
        <f>IF(Sheet1!O471&gt;7,"Yes","No")</f>
        <v>Yes</v>
      </c>
    </row>
    <row r="472" spans="5:16">
      <c r="E472" s="13" t="str">
        <v>767</v>
      </c>
      <c r="F472" s="13" t="str">
        <v>1286</v>
      </c>
      <c r="G472" s="13" t="str">
        <v>05</v>
      </c>
      <c r="H472" s="13" t="str">
        <f>_xlfn.CONCAT(Sheet1!A472," --&gt; ",Sheet1!J472)</f>
        <v>767-05-1286 --&gt; 527.751</v>
      </c>
      <c r="I472" s="13" t="str">
        <f>_xlfn.CONCAT(Sheet1!C472,"_",TEXT(Sheet1!K472, "m/d/yyyy"))</f>
        <v>Naypyitaw_1/23/2019</v>
      </c>
      <c r="J472" s="13" t="str">
        <f>IF(Sheet1!I472=Sheet1!N472*0.05,"Valid","Error")</f>
        <v>Valid</v>
      </c>
      <c r="K472" s="13" t="str">
        <f>IF(Sheet1!N472=Sheet1!G472*Sheet1!H472,"True","False")</f>
        <v>True</v>
      </c>
      <c r="L472" s="13" t="b">
        <v>1</v>
      </c>
      <c r="M472" s="9" t="b">
        <f>ISNUMBER(Sheet1!J472)</f>
        <v>1</v>
      </c>
      <c r="N472" s="13" t="str">
        <f>IF(Sheet1!B472="A","Branch A",IF(Sheet1!B472="B","Branch B","Other Branch"))</f>
        <v>Other Branch</v>
      </c>
      <c r="O472" s="13" t="str">
        <f>IF(Sheet1!M472="Credit card","Credit Payment","Other")</f>
        <v>Other</v>
      </c>
      <c r="P472" s="13" t="str">
        <f>IF(Sheet1!O472&gt;7,"Yes","No")</f>
        <v>No</v>
      </c>
    </row>
    <row r="473" spans="5:16">
      <c r="E473" s="13" t="str">
        <v>340</v>
      </c>
      <c r="F473" s="13" t="str">
        <v>9136</v>
      </c>
      <c r="G473" s="13" t="str">
        <v>21</v>
      </c>
      <c r="H473" s="13" t="str">
        <f>_xlfn.CONCAT(Sheet1!A473," --&gt; ",Sheet1!J473)</f>
        <v>340-21-9136 --&gt; 168.21</v>
      </c>
      <c r="I473" s="13" t="str">
        <f>_xlfn.CONCAT(Sheet1!C473,"_",TEXT(Sheet1!K473, "m/d/yyyy"))</f>
        <v>Yangon_1/25/2019</v>
      </c>
      <c r="J473" s="13" t="str">
        <f>IF(Sheet1!I473=Sheet1!N473*0.05,"Valid","Error")</f>
        <v>Valid</v>
      </c>
      <c r="K473" s="13" t="str">
        <f>IF(Sheet1!N473=Sheet1!G473*Sheet1!H473,"True","False")</f>
        <v>True</v>
      </c>
      <c r="L473" s="13" t="b">
        <v>1</v>
      </c>
      <c r="M473" s="9" t="b">
        <f>ISNUMBER(Sheet1!J473)</f>
        <v>1</v>
      </c>
      <c r="N473" s="13" t="str">
        <f>IF(Sheet1!B473="A","Branch A",IF(Sheet1!B473="B","Branch B","Other Branch"))</f>
        <v>Branch A</v>
      </c>
      <c r="O473" s="13" t="str">
        <f>IF(Sheet1!M473="Credit card","Credit Payment","Other")</f>
        <v>Other</v>
      </c>
      <c r="P473" s="13" t="str">
        <f>IF(Sheet1!O473&gt;7,"Yes","No")</f>
        <v>Yes</v>
      </c>
    </row>
    <row r="474" spans="5:16">
      <c r="E474" s="13" t="str">
        <v>405</v>
      </c>
      <c r="F474" s="13" t="str">
        <v>3305</v>
      </c>
      <c r="G474" s="13" t="str">
        <v>31</v>
      </c>
      <c r="H474" s="13" t="str">
        <f>_xlfn.CONCAT(Sheet1!A474," --&gt; ",Sheet1!J474)</f>
        <v>405-31-3305 --&gt; 452.865</v>
      </c>
      <c r="I474" s="13" t="str">
        <f>_xlfn.CONCAT(Sheet1!C474,"_",TEXT(Sheet1!K474, "m/d/yyyy"))</f>
        <v>Yangon_2/2/2019</v>
      </c>
      <c r="J474" s="13" t="str">
        <f>IF(Sheet1!I474=Sheet1!N474*0.05,"Valid","Error")</f>
        <v>Valid</v>
      </c>
      <c r="K474" s="13" t="str">
        <f>IF(Sheet1!N474=Sheet1!G474*Sheet1!H474,"True","False")</f>
        <v>True</v>
      </c>
      <c r="L474" s="13" t="b">
        <v>1</v>
      </c>
      <c r="M474" s="9" t="b">
        <f>ISNUMBER(Sheet1!J474)</f>
        <v>1</v>
      </c>
      <c r="N474" s="13" t="str">
        <f>IF(Sheet1!B474="A","Branch A",IF(Sheet1!B474="B","Branch B","Other Branch"))</f>
        <v>Branch A</v>
      </c>
      <c r="O474" s="13" t="str">
        <f>IF(Sheet1!M474="Credit card","Credit Payment","Other")</f>
        <v>Credit Payment</v>
      </c>
      <c r="P474" s="13" t="str">
        <f>IF(Sheet1!O474&gt;7,"Yes","No")</f>
        <v>No</v>
      </c>
    </row>
    <row r="475" spans="5:16">
      <c r="E475" s="13" t="str">
        <v>731</v>
      </c>
      <c r="F475" s="13" t="str">
        <v>7531</v>
      </c>
      <c r="G475" s="13" t="str">
        <v>59</v>
      </c>
      <c r="H475" s="13" t="str">
        <f>_xlfn.CONCAT(Sheet1!A475," --&gt; ",Sheet1!J475)</f>
        <v>731-59-7531 --&gt; 609.588</v>
      </c>
      <c r="I475" s="13" t="str">
        <f>_xlfn.CONCAT(Sheet1!C475,"_",TEXT(Sheet1!K475, "m/d/yyyy"))</f>
        <v>Mandalay_3/30/2019</v>
      </c>
      <c r="J475" s="13" t="str">
        <f>IF(Sheet1!I475=Sheet1!N475*0.05,"Valid","Error")</f>
        <v>Valid</v>
      </c>
      <c r="K475" s="13" t="str">
        <f>IF(Sheet1!N475=Sheet1!G475*Sheet1!H475,"True","False")</f>
        <v>True</v>
      </c>
      <c r="L475" s="13" t="b">
        <v>1</v>
      </c>
      <c r="M475" s="9" t="b">
        <f>ISNUMBER(Sheet1!J475)</f>
        <v>1</v>
      </c>
      <c r="N475" s="13" t="str">
        <f>IF(Sheet1!B475="A","Branch A",IF(Sheet1!B475="B","Branch B","Other Branch"))</f>
        <v>Branch B</v>
      </c>
      <c r="O475" s="13" t="str">
        <f>IF(Sheet1!M475="Credit card","Credit Payment","Other")</f>
        <v>Other</v>
      </c>
      <c r="P475" s="13" t="str">
        <f>IF(Sheet1!O475&gt;7,"Yes","No")</f>
        <v>No</v>
      </c>
    </row>
    <row r="476" spans="5:16">
      <c r="E476" s="13" t="str">
        <v>676</v>
      </c>
      <c r="F476" s="13" t="str">
        <v>6028</v>
      </c>
      <c r="G476" s="13" t="str">
        <v>39</v>
      </c>
      <c r="H476" s="13" t="str">
        <f>_xlfn.CONCAT(Sheet1!A476," --&gt; ",Sheet1!J476)</f>
        <v>676-39-6028 --&gt; 338.31</v>
      </c>
      <c r="I476" s="13" t="str">
        <f>_xlfn.CONCAT(Sheet1!C476,"_",TEXT(Sheet1!K476, "m/d/yyyy"))</f>
        <v>Yangon_3/30/2019</v>
      </c>
      <c r="J476" s="13" t="str">
        <f>IF(Sheet1!I476=Sheet1!N476*0.05,"Valid","Error")</f>
        <v>Valid</v>
      </c>
      <c r="K476" s="13" t="str">
        <f>IF(Sheet1!N476=Sheet1!G476*Sheet1!H476,"True","False")</f>
        <v>True</v>
      </c>
      <c r="L476" s="13" t="b">
        <v>1</v>
      </c>
      <c r="M476" s="9" t="b">
        <f>ISNUMBER(Sheet1!J476)</f>
        <v>1</v>
      </c>
      <c r="N476" s="13" t="str">
        <f>IF(Sheet1!B476="A","Branch A",IF(Sheet1!B476="B","Branch B","Other Branch"))</f>
        <v>Branch A</v>
      </c>
      <c r="O476" s="13" t="str">
        <f>IF(Sheet1!M476="Credit card","Credit Payment","Other")</f>
        <v>Other</v>
      </c>
      <c r="P476" s="13" t="str">
        <f>IF(Sheet1!O476&gt;7,"Yes","No")</f>
        <v>No</v>
      </c>
    </row>
    <row r="477" spans="5:16">
      <c r="E477" s="13" t="str">
        <v>502</v>
      </c>
      <c r="F477" s="13" t="str">
        <v>1910</v>
      </c>
      <c r="G477" s="13" t="str">
        <v>05</v>
      </c>
      <c r="H477" s="13" t="str">
        <f>_xlfn.CONCAT(Sheet1!A477," --&gt; ",Sheet1!J477)</f>
        <v>502-05-1910 --&gt; 205.317</v>
      </c>
      <c r="I477" s="13" t="str">
        <f>_xlfn.CONCAT(Sheet1!C477,"_",TEXT(Sheet1!K477, "m/d/yyyy"))</f>
        <v>Yangon_2/25/2019</v>
      </c>
      <c r="J477" s="13" t="str">
        <f>IF(Sheet1!I477=Sheet1!N477*0.05,"Valid","Error")</f>
        <v>Valid</v>
      </c>
      <c r="K477" s="13" t="str">
        <f>IF(Sheet1!N477=Sheet1!G477*Sheet1!H477,"True","False")</f>
        <v>True</v>
      </c>
      <c r="L477" s="13" t="b">
        <v>1</v>
      </c>
      <c r="M477" s="9" t="b">
        <f>ISNUMBER(Sheet1!J477)</f>
        <v>1</v>
      </c>
      <c r="N477" s="13" t="str">
        <f>IF(Sheet1!B477="A","Branch A",IF(Sheet1!B477="B","Branch B","Other Branch"))</f>
        <v>Branch A</v>
      </c>
      <c r="O477" s="13" t="str">
        <f>IF(Sheet1!M477="Credit card","Credit Payment","Other")</f>
        <v>Credit Payment</v>
      </c>
      <c r="P477" s="13" t="str">
        <f>IF(Sheet1!O477&gt;7,"Yes","No")</f>
        <v>No</v>
      </c>
    </row>
    <row r="478" spans="5:16">
      <c r="E478" s="13" t="str">
        <v>485</v>
      </c>
      <c r="F478" s="13" t="str">
        <v>8700</v>
      </c>
      <c r="G478" s="13" t="str">
        <v>30</v>
      </c>
      <c r="H478" s="13" t="str">
        <f>_xlfn.CONCAT(Sheet1!A478," --&gt; ",Sheet1!J478)</f>
        <v>485-30-8700 --&gt; 174.615</v>
      </c>
      <c r="I478" s="13" t="str">
        <f>_xlfn.CONCAT(Sheet1!C478,"_",TEXT(Sheet1!K478, "m/d/yyyy"))</f>
        <v>Yangon_3/18/2019</v>
      </c>
      <c r="J478" s="13" t="str">
        <f>IF(Sheet1!I478=Sheet1!N478*0.05,"Valid","Error")</f>
        <v>Valid</v>
      </c>
      <c r="K478" s="13" t="str">
        <f>IF(Sheet1!N478=Sheet1!G478*Sheet1!H478,"True","False")</f>
        <v>True</v>
      </c>
      <c r="L478" s="13" t="b">
        <v>1</v>
      </c>
      <c r="M478" s="9" t="b">
        <f>ISNUMBER(Sheet1!J478)</f>
        <v>1</v>
      </c>
      <c r="N478" s="13" t="str">
        <f>IF(Sheet1!B478="A","Branch A",IF(Sheet1!B478="B","Branch B","Other Branch"))</f>
        <v>Branch A</v>
      </c>
      <c r="O478" s="13" t="str">
        <f>IF(Sheet1!M478="Credit card","Credit Payment","Other")</f>
        <v>Credit Payment</v>
      </c>
      <c r="P478" s="13" t="str">
        <f>IF(Sheet1!O478&gt;7,"Yes","No")</f>
        <v>No</v>
      </c>
    </row>
    <row r="479" spans="5:16">
      <c r="E479" s="13" t="str">
        <v>598</v>
      </c>
      <c r="F479" s="13" t="str">
        <v>9715</v>
      </c>
      <c r="G479" s="13" t="str">
        <v>47</v>
      </c>
      <c r="H479" s="13" t="str">
        <f>_xlfn.CONCAT(Sheet1!A479," --&gt; ",Sheet1!J479)</f>
        <v>598-47-9715 --&gt; 353.094</v>
      </c>
      <c r="I479" s="13" t="str">
        <f>_xlfn.CONCAT(Sheet1!C479,"_",TEXT(Sheet1!K479, "m/d/yyyy"))</f>
        <v>Naypyitaw_3/7/2019</v>
      </c>
      <c r="J479" s="13" t="str">
        <f>IF(Sheet1!I479=Sheet1!N479*0.05,"Valid","Error")</f>
        <v>Valid</v>
      </c>
      <c r="K479" s="13" t="str">
        <f>IF(Sheet1!N479=Sheet1!G479*Sheet1!H479,"True","False")</f>
        <v>True</v>
      </c>
      <c r="L479" s="13" t="b">
        <v>1</v>
      </c>
      <c r="M479" s="9" t="b">
        <f>ISNUMBER(Sheet1!J479)</f>
        <v>1</v>
      </c>
      <c r="N479" s="13" t="str">
        <f>IF(Sheet1!B479="A","Branch A",IF(Sheet1!B479="B","Branch B","Other Branch"))</f>
        <v>Other Branch</v>
      </c>
      <c r="O479" s="13" t="str">
        <f>IF(Sheet1!M479="Credit card","Credit Payment","Other")</f>
        <v>Other</v>
      </c>
      <c r="P479" s="13" t="str">
        <f>IF(Sheet1!O479&gt;7,"Yes","No")</f>
        <v>No</v>
      </c>
    </row>
    <row r="480" spans="5:16">
      <c r="E480" s="13" t="str">
        <v>701</v>
      </c>
      <c r="F480" s="13" t="str">
        <v>8742</v>
      </c>
      <c r="G480" s="13" t="str">
        <v>69</v>
      </c>
      <c r="H480" s="13" t="str">
        <f>_xlfn.CONCAT(Sheet1!A480," --&gt; ",Sheet1!J480)</f>
        <v>701-69-8742 --&gt; 360.885</v>
      </c>
      <c r="I480" s="13" t="str">
        <f>_xlfn.CONCAT(Sheet1!C480,"_",TEXT(Sheet1!K480, "m/d/yyyy"))</f>
        <v>Mandalay_3/16/2019</v>
      </c>
      <c r="J480" s="13" t="str">
        <f>IF(Sheet1!I480=Sheet1!N480*0.05,"Valid","Error")</f>
        <v>Valid</v>
      </c>
      <c r="K480" s="13" t="str">
        <f>IF(Sheet1!N480=Sheet1!G480*Sheet1!H480,"True","False")</f>
        <v>True</v>
      </c>
      <c r="L480" s="13" t="b">
        <v>1</v>
      </c>
      <c r="M480" s="9" t="b">
        <f>ISNUMBER(Sheet1!J480)</f>
        <v>1</v>
      </c>
      <c r="N480" s="13" t="str">
        <f>IF(Sheet1!B480="A","Branch A",IF(Sheet1!B480="B","Branch B","Other Branch"))</f>
        <v>Branch B</v>
      </c>
      <c r="O480" s="13" t="str">
        <f>IF(Sheet1!M480="Credit card","Credit Payment","Other")</f>
        <v>Other</v>
      </c>
      <c r="P480" s="13" t="str">
        <f>IF(Sheet1!O480&gt;7,"Yes","No")</f>
        <v>No</v>
      </c>
    </row>
    <row r="481" spans="5:16">
      <c r="E481" s="13" t="str">
        <v>575</v>
      </c>
      <c r="F481" s="13" t="str">
        <v>1508</v>
      </c>
      <c r="G481" s="13" t="str">
        <v>67</v>
      </c>
      <c r="H481" s="13" t="str">
        <f>_xlfn.CONCAT(Sheet1!A481," --&gt; ",Sheet1!J481)</f>
        <v>575-67-1508 --&gt; 40.53</v>
      </c>
      <c r="I481" s="13" t="str">
        <f>_xlfn.CONCAT(Sheet1!C481,"_",TEXT(Sheet1!K481, "m/d/yyyy"))</f>
        <v>Yangon_1/29/2019</v>
      </c>
      <c r="J481" s="13" t="str">
        <f>IF(Sheet1!I481=Sheet1!N481*0.05,"Valid","Error")</f>
        <v>Valid</v>
      </c>
      <c r="K481" s="13" t="str">
        <f>IF(Sheet1!N481=Sheet1!G481*Sheet1!H481,"True","False")</f>
        <v>True</v>
      </c>
      <c r="L481" s="13" t="b">
        <v>1</v>
      </c>
      <c r="M481" s="9" t="b">
        <f>ISNUMBER(Sheet1!J481)</f>
        <v>1</v>
      </c>
      <c r="N481" s="13" t="str">
        <f>IF(Sheet1!B481="A","Branch A",IF(Sheet1!B481="B","Branch B","Other Branch"))</f>
        <v>Branch A</v>
      </c>
      <c r="O481" s="13" t="str">
        <f>IF(Sheet1!M481="Credit card","Credit Payment","Other")</f>
        <v>Other</v>
      </c>
      <c r="P481" s="13" t="str">
        <f>IF(Sheet1!O481&gt;7,"Yes","No")</f>
        <v>No</v>
      </c>
    </row>
    <row r="482" spans="5:16">
      <c r="E482" s="13" t="str">
        <v>541</v>
      </c>
      <c r="F482" s="13" t="str">
        <v>3113</v>
      </c>
      <c r="G482" s="13" t="str">
        <v>08</v>
      </c>
      <c r="H482" s="13" t="str">
        <f>_xlfn.CONCAT(Sheet1!A482," --&gt; ",Sheet1!J482)</f>
        <v>541-08-3113 --&gt; 554.148</v>
      </c>
      <c r="I482" s="13" t="str">
        <f>_xlfn.CONCAT(Sheet1!C482,"_",TEXT(Sheet1!K482, "m/d/yyyy"))</f>
        <v>Naypyitaw_2/2/2019</v>
      </c>
      <c r="J482" s="13" t="str">
        <f>IF(Sheet1!I482=Sheet1!N482*0.05,"Valid","Error")</f>
        <v>Valid</v>
      </c>
      <c r="K482" s="13" t="str">
        <f>IF(Sheet1!N482=Sheet1!G482*Sheet1!H482,"True","False")</f>
        <v>True</v>
      </c>
      <c r="L482" s="13" t="b">
        <v>1</v>
      </c>
      <c r="M482" s="9" t="b">
        <f>ISNUMBER(Sheet1!J482)</f>
        <v>1</v>
      </c>
      <c r="N482" s="13" t="str">
        <f>IF(Sheet1!B482="A","Branch A",IF(Sheet1!B482="B","Branch B","Other Branch"))</f>
        <v>Other Branch</v>
      </c>
      <c r="O482" s="13" t="str">
        <f>IF(Sheet1!M482="Credit card","Credit Payment","Other")</f>
        <v>Other</v>
      </c>
      <c r="P482" s="13" t="str">
        <f>IF(Sheet1!O482&gt;7,"Yes","No")</f>
        <v>Yes</v>
      </c>
    </row>
    <row r="483" spans="5:16">
      <c r="E483" s="13" t="str">
        <v>246</v>
      </c>
      <c r="F483" s="13" t="str">
        <v>3901</v>
      </c>
      <c r="G483" s="13" t="str">
        <v>11</v>
      </c>
      <c r="H483" s="13" t="str">
        <f>_xlfn.CONCAT(Sheet1!A483," --&gt; ",Sheet1!J483)</f>
        <v>246-11-3901 --&gt; 344.4</v>
      </c>
      <c r="I483" s="13" t="str">
        <f>_xlfn.CONCAT(Sheet1!C483,"_",TEXT(Sheet1!K483, "m/d/yyyy"))</f>
        <v>Naypyitaw_2/15/2019</v>
      </c>
      <c r="J483" s="13" t="str">
        <f>IF(Sheet1!I483=Sheet1!N483*0.05,"Valid","Error")</f>
        <v>Valid</v>
      </c>
      <c r="K483" s="13" t="str">
        <f>IF(Sheet1!N483=Sheet1!G483*Sheet1!H483,"True","False")</f>
        <v>True</v>
      </c>
      <c r="L483" s="13" t="b">
        <v>1</v>
      </c>
      <c r="M483" s="9" t="b">
        <f>ISNUMBER(Sheet1!J483)</f>
        <v>1</v>
      </c>
      <c r="N483" s="13" t="str">
        <f>IF(Sheet1!B483="A","Branch A",IF(Sheet1!B483="B","Branch B","Other Branch"))</f>
        <v>Other Branch</v>
      </c>
      <c r="O483" s="13" t="str">
        <f>IF(Sheet1!M483="Credit card","Credit Payment","Other")</f>
        <v>Other</v>
      </c>
      <c r="P483" s="13" t="str">
        <f>IF(Sheet1!O483&gt;7,"Yes","No")</f>
        <v>No</v>
      </c>
    </row>
    <row r="484" spans="5:16">
      <c r="E484" s="13" t="str">
        <v>674</v>
      </c>
      <c r="F484" s="13" t="str">
        <v>9296</v>
      </c>
      <c r="G484" s="13" t="str">
        <v>15</v>
      </c>
      <c r="H484" s="13" t="str">
        <f>_xlfn.CONCAT(Sheet1!A484," --&gt; ",Sheet1!J484)</f>
        <v>674-15-9296 --&gt; 194.985</v>
      </c>
      <c r="I484" s="13" t="str">
        <f>_xlfn.CONCAT(Sheet1!C484,"_",TEXT(Sheet1!K484, "m/d/yyyy"))</f>
        <v>Yangon_1/8/2019</v>
      </c>
      <c r="J484" s="13" t="str">
        <f>IF(Sheet1!I484=Sheet1!N484*0.05,"Valid","Error")</f>
        <v>Valid</v>
      </c>
      <c r="K484" s="13" t="str">
        <f>IF(Sheet1!N484=Sheet1!G484*Sheet1!H484,"True","False")</f>
        <v>True</v>
      </c>
      <c r="L484" s="13" t="b">
        <v>1</v>
      </c>
      <c r="M484" s="9" t="b">
        <f>ISNUMBER(Sheet1!J484)</f>
        <v>1</v>
      </c>
      <c r="N484" s="13" t="str">
        <f>IF(Sheet1!B484="A","Branch A",IF(Sheet1!B484="B","Branch B","Other Branch"))</f>
        <v>Branch A</v>
      </c>
      <c r="O484" s="13" t="str">
        <f>IF(Sheet1!M484="Credit card","Credit Payment","Other")</f>
        <v>Other</v>
      </c>
      <c r="P484" s="13" t="str">
        <f>IF(Sheet1!O484&gt;7,"Yes","No")</f>
        <v>No</v>
      </c>
    </row>
    <row r="485" spans="5:16">
      <c r="E485" s="13" t="str">
        <v>305</v>
      </c>
      <c r="F485" s="13" t="str">
        <v>3552</v>
      </c>
      <c r="G485" s="13" t="str">
        <v>18</v>
      </c>
      <c r="H485" s="13" t="str">
        <f>_xlfn.CONCAT(Sheet1!A485," --&gt; ",Sheet1!J485)</f>
        <v>305-18-3552 --&gt; 633.99</v>
      </c>
      <c r="I485" s="13" t="str">
        <f>_xlfn.CONCAT(Sheet1!C485,"_",TEXT(Sheet1!K485, "m/d/yyyy"))</f>
        <v>Mandalay_2/12/2019</v>
      </c>
      <c r="J485" s="13" t="str">
        <f>IF(Sheet1!I485=Sheet1!N485*0.05,"Valid","Error")</f>
        <v>Valid</v>
      </c>
      <c r="K485" s="13" t="str">
        <f>IF(Sheet1!N485=Sheet1!G485*Sheet1!H485,"True","False")</f>
        <v>True</v>
      </c>
      <c r="L485" s="13" t="b">
        <v>1</v>
      </c>
      <c r="M485" s="9" t="b">
        <f>ISNUMBER(Sheet1!J485)</f>
        <v>1</v>
      </c>
      <c r="N485" s="13" t="str">
        <f>IF(Sheet1!B485="A","Branch A",IF(Sheet1!B485="B","Branch B","Other Branch"))</f>
        <v>Branch B</v>
      </c>
      <c r="O485" s="13" t="str">
        <f>IF(Sheet1!M485="Credit card","Credit Payment","Other")</f>
        <v>Other</v>
      </c>
      <c r="P485" s="13" t="str">
        <f>IF(Sheet1!O485&gt;7,"Yes","No")</f>
        <v>No</v>
      </c>
    </row>
    <row r="486" spans="5:16">
      <c r="E486" s="13" t="str">
        <v>493</v>
      </c>
      <c r="F486" s="13" t="str">
        <v>6248</v>
      </c>
      <c r="G486" s="13" t="str">
        <v>65</v>
      </c>
      <c r="H486" s="13" t="str">
        <f>_xlfn.CONCAT(Sheet1!A486," --&gt; ",Sheet1!J486)</f>
        <v>493-65-6248 --&gt; 388.29</v>
      </c>
      <c r="I486" s="13" t="str">
        <f>_xlfn.CONCAT(Sheet1!C486,"_",TEXT(Sheet1!K486, "m/d/yyyy"))</f>
        <v>Naypyitaw_1/1/2019</v>
      </c>
      <c r="J486" s="13" t="str">
        <f>IF(Sheet1!I486=Sheet1!N486*0.05,"Valid","Error")</f>
        <v>Valid</v>
      </c>
      <c r="K486" s="13" t="str">
        <f>IF(Sheet1!N486=Sheet1!G486*Sheet1!H486,"True","False")</f>
        <v>True</v>
      </c>
      <c r="L486" s="13" t="b">
        <v>1</v>
      </c>
      <c r="M486" s="9" t="b">
        <f>ISNUMBER(Sheet1!J486)</f>
        <v>1</v>
      </c>
      <c r="N486" s="13" t="str">
        <f>IF(Sheet1!B486="A","Branch A",IF(Sheet1!B486="B","Branch B","Other Branch"))</f>
        <v>Other Branch</v>
      </c>
      <c r="O486" s="13" t="str">
        <f>IF(Sheet1!M486="Credit card","Credit Payment","Other")</f>
        <v>Credit Payment</v>
      </c>
      <c r="P486" s="13" t="str">
        <f>IF(Sheet1!O486&gt;7,"Yes","No")</f>
        <v>No</v>
      </c>
    </row>
    <row r="487" spans="5:16">
      <c r="E487" s="13" t="str">
        <v>438</v>
      </c>
      <c r="F487" s="13" t="str">
        <v>4015</v>
      </c>
      <c r="G487" s="13" t="str">
        <v>01</v>
      </c>
      <c r="H487" s="13" t="str">
        <f>_xlfn.CONCAT(Sheet1!A487," --&gt; ",Sheet1!J487)</f>
        <v>438-01-4015 --&gt; 207.858</v>
      </c>
      <c r="I487" s="13" t="str">
        <f>_xlfn.CONCAT(Sheet1!C487,"_",TEXT(Sheet1!K487, "m/d/yyyy"))</f>
        <v>Mandalay_3/21/2019</v>
      </c>
      <c r="J487" s="13" t="str">
        <f>IF(Sheet1!I487=Sheet1!N487*0.05,"Valid","Error")</f>
        <v>Valid</v>
      </c>
      <c r="K487" s="13" t="str">
        <f>IF(Sheet1!N487=Sheet1!G487*Sheet1!H487,"True","False")</f>
        <v>True</v>
      </c>
      <c r="L487" s="13" t="b">
        <v>1</v>
      </c>
      <c r="M487" s="9" t="b">
        <f>ISNUMBER(Sheet1!J487)</f>
        <v>1</v>
      </c>
      <c r="N487" s="13" t="str">
        <f>IF(Sheet1!B487="A","Branch A",IF(Sheet1!B487="B","Branch B","Other Branch"))</f>
        <v>Branch B</v>
      </c>
      <c r="O487" s="13" t="str">
        <f>IF(Sheet1!M487="Credit card","Credit Payment","Other")</f>
        <v>Other</v>
      </c>
      <c r="P487" s="13" t="str">
        <f>IF(Sheet1!O487&gt;7,"Yes","No")</f>
        <v>No</v>
      </c>
    </row>
    <row r="488" spans="5:16">
      <c r="E488" s="13" t="str">
        <v>709</v>
      </c>
      <c r="F488" s="13" t="str">
        <v>4068</v>
      </c>
      <c r="G488" s="13" t="str">
        <v>58</v>
      </c>
      <c r="H488" s="13" t="str">
        <f>_xlfn.CONCAT(Sheet1!A488," --&gt; ",Sheet1!J488)</f>
        <v>709-58-4068 --&gt; 431.445</v>
      </c>
      <c r="I488" s="13" t="str">
        <f>_xlfn.CONCAT(Sheet1!C488,"_",TEXT(Sheet1!K488, "m/d/yyyy"))</f>
        <v>Mandalay_2/28/2019</v>
      </c>
      <c r="J488" s="13" t="str">
        <f>IF(Sheet1!I488=Sheet1!N488*0.05,"Valid","Error")</f>
        <v>Valid</v>
      </c>
      <c r="K488" s="13" t="str">
        <f>IF(Sheet1!N488=Sheet1!G488*Sheet1!H488,"True","False")</f>
        <v>True</v>
      </c>
      <c r="L488" s="13" t="b">
        <v>1</v>
      </c>
      <c r="M488" s="9" t="b">
        <f>ISNUMBER(Sheet1!J488)</f>
        <v>1</v>
      </c>
      <c r="N488" s="13" t="str">
        <f>IF(Sheet1!B488="A","Branch A",IF(Sheet1!B488="B","Branch B","Other Branch"))</f>
        <v>Branch B</v>
      </c>
      <c r="O488" s="13" t="str">
        <f>IF(Sheet1!M488="Credit card","Credit Payment","Other")</f>
        <v>Other</v>
      </c>
      <c r="P488" s="13" t="str">
        <f>IF(Sheet1!O488&gt;7,"Yes","No")</f>
        <v>Yes</v>
      </c>
    </row>
    <row r="489" spans="5:16">
      <c r="E489" s="13" t="str">
        <v>795</v>
      </c>
      <c r="F489" s="13" t="str">
        <v>7276</v>
      </c>
      <c r="G489" s="13" t="str">
        <v>49</v>
      </c>
      <c r="H489" s="13" t="str">
        <f>_xlfn.CONCAT(Sheet1!A489," --&gt; ",Sheet1!J489)</f>
        <v>795-49-7276 --&gt; 156.03</v>
      </c>
      <c r="I489" s="13" t="str">
        <f>_xlfn.CONCAT(Sheet1!C489,"_",TEXT(Sheet1!K489, "m/d/yyyy"))</f>
        <v>Yangon_3/23/2019</v>
      </c>
      <c r="J489" s="13" t="str">
        <f>IF(Sheet1!I489=Sheet1!N489*0.05,"Valid","Error")</f>
        <v>Valid</v>
      </c>
      <c r="K489" s="13" t="str">
        <f>IF(Sheet1!N489=Sheet1!G489*Sheet1!H489,"True","False")</f>
        <v>True</v>
      </c>
      <c r="L489" s="13" t="b">
        <v>1</v>
      </c>
      <c r="M489" s="9" t="b">
        <f>ISNUMBER(Sheet1!J489)</f>
        <v>1</v>
      </c>
      <c r="N489" s="13" t="str">
        <f>IF(Sheet1!B489="A","Branch A",IF(Sheet1!B489="B","Branch B","Other Branch"))</f>
        <v>Branch A</v>
      </c>
      <c r="O489" s="13" t="str">
        <f>IF(Sheet1!M489="Credit card","Credit Payment","Other")</f>
        <v>Other</v>
      </c>
      <c r="P489" s="13" t="str">
        <f>IF(Sheet1!O489&gt;7,"Yes","No")</f>
        <v>Yes</v>
      </c>
    </row>
    <row r="490" spans="5:16">
      <c r="E490" s="13" t="str">
        <v>556</v>
      </c>
      <c r="F490" s="13" t="str">
        <v>8512</v>
      </c>
      <c r="G490" s="13" t="str">
        <v>72</v>
      </c>
      <c r="H490" s="13" t="str">
        <f>_xlfn.CONCAT(Sheet1!A490," --&gt; ",Sheet1!J490)</f>
        <v>556-72-8512 --&gt; 24.108</v>
      </c>
      <c r="I490" s="13" t="str">
        <f>_xlfn.CONCAT(Sheet1!C490,"_",TEXT(Sheet1!K490, "m/d/yyyy"))</f>
        <v>Naypyitaw_1/30/2019</v>
      </c>
      <c r="J490" s="13" t="str">
        <f>IF(Sheet1!I490=Sheet1!N490*0.05,"Valid","Error")</f>
        <v>Valid</v>
      </c>
      <c r="K490" s="13" t="str">
        <f>IF(Sheet1!N490=Sheet1!G490*Sheet1!H490,"True","False")</f>
        <v>True</v>
      </c>
      <c r="L490" s="13" t="b">
        <v>1</v>
      </c>
      <c r="M490" s="9" t="b">
        <f>ISNUMBER(Sheet1!J490)</f>
        <v>1</v>
      </c>
      <c r="N490" s="13" t="str">
        <f>IF(Sheet1!B490="A","Branch A",IF(Sheet1!B490="B","Branch B","Other Branch"))</f>
        <v>Other Branch</v>
      </c>
      <c r="O490" s="13" t="str">
        <f>IF(Sheet1!M490="Credit card","Credit Payment","Other")</f>
        <v>Other</v>
      </c>
      <c r="P490" s="13" t="str">
        <f>IF(Sheet1!O490&gt;7,"Yes","No")</f>
        <v>No</v>
      </c>
    </row>
    <row r="491" spans="5:16">
      <c r="E491" s="13" t="str">
        <v>627</v>
      </c>
      <c r="F491" s="13" t="str">
        <v>3243</v>
      </c>
      <c r="G491" s="13" t="str">
        <v>95</v>
      </c>
      <c r="H491" s="13" t="str">
        <f>_xlfn.CONCAT(Sheet1!A491," --&gt; ",Sheet1!J491)</f>
        <v>627-95-3243 --&gt; 734.076</v>
      </c>
      <c r="I491" s="13" t="str">
        <f>_xlfn.CONCAT(Sheet1!C491,"_",TEXT(Sheet1!K491, "m/d/yyyy"))</f>
        <v>Mandalay_2/4/2019</v>
      </c>
      <c r="J491" s="13" t="str">
        <f>IF(Sheet1!I491=Sheet1!N491*0.05,"Valid","Error")</f>
        <v>Valid</v>
      </c>
      <c r="K491" s="13" t="str">
        <f>IF(Sheet1!N491=Sheet1!G491*Sheet1!H491,"True","False")</f>
        <v>True</v>
      </c>
      <c r="L491" s="13" t="b">
        <v>1</v>
      </c>
      <c r="M491" s="9" t="b">
        <f>ISNUMBER(Sheet1!J491)</f>
        <v>1</v>
      </c>
      <c r="N491" s="13" t="str">
        <f>IF(Sheet1!B491="A","Branch A",IF(Sheet1!B491="B","Branch B","Other Branch"))</f>
        <v>Branch B</v>
      </c>
      <c r="O491" s="13" t="str">
        <f>IF(Sheet1!M491="Credit card","Credit Payment","Other")</f>
        <v>Other</v>
      </c>
      <c r="P491" s="13" t="str">
        <f>IF(Sheet1!O491&gt;7,"Yes","No")</f>
        <v>Yes</v>
      </c>
    </row>
    <row r="492" spans="5:16">
      <c r="E492" s="13" t="str">
        <v>686</v>
      </c>
      <c r="F492" s="13" t="str">
        <v>0932</v>
      </c>
      <c r="G492" s="13" t="str">
        <v>41</v>
      </c>
      <c r="H492" s="13" t="str">
        <f>_xlfn.CONCAT(Sheet1!A492," --&gt; ",Sheet1!J492)</f>
        <v>686-41-0932 --&gt; 72.87</v>
      </c>
      <c r="I492" s="13" t="str">
        <f>_xlfn.CONCAT(Sheet1!C492,"_",TEXT(Sheet1!K492, "m/d/yyyy"))</f>
        <v>Mandalay_3/13/2019</v>
      </c>
      <c r="J492" s="13" t="str">
        <f>IF(Sheet1!I492=Sheet1!N492*0.05,"Valid","Error")</f>
        <v>Valid</v>
      </c>
      <c r="K492" s="13" t="str">
        <f>IF(Sheet1!N492=Sheet1!G492*Sheet1!H492,"True","False")</f>
        <v>True</v>
      </c>
      <c r="L492" s="13" t="b">
        <v>1</v>
      </c>
      <c r="M492" s="9" t="b">
        <f>ISNUMBER(Sheet1!J492)</f>
        <v>1</v>
      </c>
      <c r="N492" s="13" t="str">
        <f>IF(Sheet1!B492="A","Branch A",IF(Sheet1!B492="B","Branch B","Other Branch"))</f>
        <v>Branch B</v>
      </c>
      <c r="O492" s="13" t="str">
        <f>IF(Sheet1!M492="Credit card","Credit Payment","Other")</f>
        <v>Other</v>
      </c>
      <c r="P492" s="13" t="str">
        <f>IF(Sheet1!O492&gt;7,"Yes","No")</f>
        <v>Yes</v>
      </c>
    </row>
    <row r="493" spans="5:16">
      <c r="E493" s="13" t="str">
        <v>510</v>
      </c>
      <c r="F493" s="13" t="str">
        <v>5628</v>
      </c>
      <c r="G493" s="13" t="str">
        <v>09</v>
      </c>
      <c r="H493" s="13" t="str">
        <f>_xlfn.CONCAT(Sheet1!A493," --&gt; ",Sheet1!J493)</f>
        <v>510-09-5628 --&gt; 206.43</v>
      </c>
      <c r="I493" s="13" t="str">
        <f>_xlfn.CONCAT(Sheet1!C493,"_",TEXT(Sheet1!K493, "m/d/yyyy"))</f>
        <v>Yangon_3/15/2019</v>
      </c>
      <c r="J493" s="13" t="str">
        <f>IF(Sheet1!I493=Sheet1!N493*0.05,"Valid","Error")</f>
        <v>Valid</v>
      </c>
      <c r="K493" s="13" t="str">
        <f>IF(Sheet1!N493=Sheet1!G493*Sheet1!H493,"True","False")</f>
        <v>True</v>
      </c>
      <c r="L493" s="13" t="b">
        <v>1</v>
      </c>
      <c r="M493" s="9" t="b">
        <f>ISNUMBER(Sheet1!J493)</f>
        <v>1</v>
      </c>
      <c r="N493" s="13" t="str">
        <f>IF(Sheet1!B493="A","Branch A",IF(Sheet1!B493="B","Branch B","Other Branch"))</f>
        <v>Branch A</v>
      </c>
      <c r="O493" s="13" t="str">
        <f>IF(Sheet1!M493="Credit card","Credit Payment","Other")</f>
        <v>Credit Payment</v>
      </c>
      <c r="P493" s="13" t="str">
        <f>IF(Sheet1!O493&gt;7,"Yes","No")</f>
        <v>Yes</v>
      </c>
    </row>
    <row r="494" spans="5:16">
      <c r="E494" s="13" t="str">
        <v>608</v>
      </c>
      <c r="F494" s="13" t="str">
        <v>3797</v>
      </c>
      <c r="G494" s="13" t="str">
        <v>04</v>
      </c>
      <c r="H494" s="13" t="str">
        <f>_xlfn.CONCAT(Sheet1!A494," --&gt; ",Sheet1!J494)</f>
        <v>608-04-3797 --&gt; 212.688</v>
      </c>
      <c r="I494" s="13" t="str">
        <f>_xlfn.CONCAT(Sheet1!C494,"_",TEXT(Sheet1!K494, "m/d/yyyy"))</f>
        <v>Mandalay_3/5/2019</v>
      </c>
      <c r="J494" s="13" t="str">
        <f>IF(Sheet1!I494=Sheet1!N494*0.05,"Valid","Error")</f>
        <v>Valid</v>
      </c>
      <c r="K494" s="13" t="str">
        <f>IF(Sheet1!N494=Sheet1!G494*Sheet1!H494,"True","False")</f>
        <v>True</v>
      </c>
      <c r="L494" s="13" t="b">
        <v>1</v>
      </c>
      <c r="M494" s="9" t="b">
        <f>ISNUMBER(Sheet1!J494)</f>
        <v>1</v>
      </c>
      <c r="N494" s="13" t="str">
        <f>IF(Sheet1!B494="A","Branch A",IF(Sheet1!B494="B","Branch B","Other Branch"))</f>
        <v>Branch B</v>
      </c>
      <c r="O494" s="13" t="str">
        <f>IF(Sheet1!M494="Credit card","Credit Payment","Other")</f>
        <v>Other</v>
      </c>
      <c r="P494" s="13" t="str">
        <f>IF(Sheet1!O494&gt;7,"Yes","No")</f>
        <v>Yes</v>
      </c>
    </row>
    <row r="495" spans="5:16">
      <c r="E495" s="13" t="str">
        <v>148</v>
      </c>
      <c r="F495" s="13" t="str">
        <v>2527</v>
      </c>
      <c r="G495" s="13" t="str">
        <v>82</v>
      </c>
      <c r="H495" s="13" t="str">
        <f>_xlfn.CONCAT(Sheet1!A495," --&gt; ",Sheet1!J495)</f>
        <v>148-82-2527 --&gt; 127.26</v>
      </c>
      <c r="I495" s="13" t="str">
        <f>_xlfn.CONCAT(Sheet1!C495,"_",TEXT(Sheet1!K495, "m/d/yyyy"))</f>
        <v>Naypyitaw_3/5/2019</v>
      </c>
      <c r="J495" s="13" t="str">
        <f>IF(Sheet1!I495=Sheet1!N495*0.05,"Valid","Error")</f>
        <v>Valid</v>
      </c>
      <c r="K495" s="13" t="str">
        <f>IF(Sheet1!N495=Sheet1!G495*Sheet1!H495,"True","False")</f>
        <v>True</v>
      </c>
      <c r="L495" s="13" t="b">
        <v>1</v>
      </c>
      <c r="M495" s="9" t="b">
        <f>ISNUMBER(Sheet1!J495)</f>
        <v>1</v>
      </c>
      <c r="N495" s="13" t="str">
        <f>IF(Sheet1!B495="A","Branch A",IF(Sheet1!B495="B","Branch B","Other Branch"))</f>
        <v>Other Branch</v>
      </c>
      <c r="O495" s="13" t="str">
        <f>IF(Sheet1!M495="Credit card","Credit Payment","Other")</f>
        <v>Credit Payment</v>
      </c>
      <c r="P495" s="13" t="str">
        <f>IF(Sheet1!O495&gt;7,"Yes","No")</f>
        <v>Yes</v>
      </c>
    </row>
    <row r="496" spans="5:16">
      <c r="E496" s="13" t="str">
        <v>437</v>
      </c>
      <c r="F496" s="13" t="str">
        <v>3084</v>
      </c>
      <c r="G496" s="13" t="str">
        <v>53</v>
      </c>
      <c r="H496" s="13" t="str">
        <f>_xlfn.CONCAT(Sheet1!A496," --&gt; ",Sheet1!J496)</f>
        <v>437-53-3084 --&gt; 209.769</v>
      </c>
      <c r="I496" s="13" t="str">
        <f>_xlfn.CONCAT(Sheet1!C496,"_",TEXT(Sheet1!K496, "m/d/yyyy"))</f>
        <v>Mandalay_2/26/2019</v>
      </c>
      <c r="J496" s="13" t="str">
        <f>IF(Sheet1!I496=Sheet1!N496*0.05,"Valid","Error")</f>
        <v>Valid</v>
      </c>
      <c r="K496" s="13" t="str">
        <f>IF(Sheet1!N496=Sheet1!G496*Sheet1!H496,"True","False")</f>
        <v>True</v>
      </c>
      <c r="L496" s="13" t="b">
        <v>1</v>
      </c>
      <c r="M496" s="9" t="b">
        <f>ISNUMBER(Sheet1!J496)</f>
        <v>1</v>
      </c>
      <c r="N496" s="13" t="str">
        <f>IF(Sheet1!B496="A","Branch A",IF(Sheet1!B496="B","Branch B","Other Branch"))</f>
        <v>Branch B</v>
      </c>
      <c r="O496" s="13" t="str">
        <f>IF(Sheet1!M496="Credit card","Credit Payment","Other")</f>
        <v>Other</v>
      </c>
      <c r="P496" s="13" t="str">
        <f>IF(Sheet1!O496&gt;7,"Yes","No")</f>
        <v>Yes</v>
      </c>
    </row>
    <row r="497" spans="5:16">
      <c r="E497" s="13" t="str">
        <v>632</v>
      </c>
      <c r="F497" s="13" t="str">
        <v>4574</v>
      </c>
      <c r="G497" s="13" t="str">
        <v>32</v>
      </c>
      <c r="H497" s="13" t="str">
        <f>_xlfn.CONCAT(Sheet1!A497," --&gt; ",Sheet1!J497)</f>
        <v>632-32-4574 --&gt; 637.728</v>
      </c>
      <c r="I497" s="13" t="str">
        <f>_xlfn.CONCAT(Sheet1!C497,"_",TEXT(Sheet1!K497, "m/d/yyyy"))</f>
        <v>Mandalay_3/20/2019</v>
      </c>
      <c r="J497" s="13" t="str">
        <f>IF(Sheet1!I497=Sheet1!N497*0.05,"Valid","Error")</f>
        <v>Valid</v>
      </c>
      <c r="K497" s="13" t="str">
        <f>IF(Sheet1!N497=Sheet1!G497*Sheet1!H497,"True","False")</f>
        <v>True</v>
      </c>
      <c r="L497" s="13" t="b">
        <v>1</v>
      </c>
      <c r="M497" s="9" t="b">
        <f>ISNUMBER(Sheet1!J497)</f>
        <v>1</v>
      </c>
      <c r="N497" s="13" t="str">
        <f>IF(Sheet1!B497="A","Branch A",IF(Sheet1!B497="B","Branch B","Other Branch"))</f>
        <v>Branch B</v>
      </c>
      <c r="O497" s="13" t="str">
        <f>IF(Sheet1!M497="Credit card","Credit Payment","Other")</f>
        <v>Other</v>
      </c>
      <c r="P497" s="13" t="str">
        <f>IF(Sheet1!O497&gt;7,"Yes","No")</f>
        <v>No</v>
      </c>
    </row>
    <row r="498" spans="5:16">
      <c r="E498" s="13" t="str">
        <v>556</v>
      </c>
      <c r="F498" s="13" t="str">
        <v>7101</v>
      </c>
      <c r="G498" s="13" t="str">
        <v>97</v>
      </c>
      <c r="H498" s="13" t="str">
        <f>_xlfn.CONCAT(Sheet1!A498," --&gt; ",Sheet1!J498)</f>
        <v>556-97-7101 --&gt; 132.762</v>
      </c>
      <c r="I498" s="13" t="str">
        <f>_xlfn.CONCAT(Sheet1!C498,"_",TEXT(Sheet1!K498, "m/d/yyyy"))</f>
        <v>Naypyitaw_1/1/2019</v>
      </c>
      <c r="J498" s="13" t="str">
        <f>IF(Sheet1!I498=Sheet1!N498*0.05,"Valid","Error")</f>
        <v>Valid</v>
      </c>
      <c r="K498" s="13" t="str">
        <f>IF(Sheet1!N498=Sheet1!G498*Sheet1!H498,"True","False")</f>
        <v>True</v>
      </c>
      <c r="L498" s="13" t="b">
        <v>1</v>
      </c>
      <c r="M498" s="9" t="b">
        <f>ISNUMBER(Sheet1!J498)</f>
        <v>1</v>
      </c>
      <c r="N498" s="13" t="str">
        <f>IF(Sheet1!B498="A","Branch A",IF(Sheet1!B498="B","Branch B","Other Branch"))</f>
        <v>Other Branch</v>
      </c>
      <c r="O498" s="13" t="str">
        <f>IF(Sheet1!M498="Credit card","Credit Payment","Other")</f>
        <v>Other</v>
      </c>
      <c r="P498" s="13" t="str">
        <f>IF(Sheet1!O498&gt;7,"Yes","No")</f>
        <v>Yes</v>
      </c>
    </row>
    <row r="499" spans="5:16">
      <c r="E499" s="13" t="str">
        <v>862</v>
      </c>
      <c r="F499" s="13" t="str">
        <v>8517</v>
      </c>
      <c r="G499" s="13" t="str">
        <v>59</v>
      </c>
      <c r="H499" s="13" t="str">
        <f>_xlfn.CONCAT(Sheet1!A499," --&gt; ",Sheet1!J499)</f>
        <v>862-59-8517 --&gt; 568.512</v>
      </c>
      <c r="I499" s="13" t="str">
        <f>_xlfn.CONCAT(Sheet1!C499,"_",TEXT(Sheet1!K499, "m/d/yyyy"))</f>
        <v>Naypyitaw_1/27/2019</v>
      </c>
      <c r="J499" s="13" t="str">
        <f>IF(Sheet1!I499=Sheet1!N499*0.05,"Valid","Error")</f>
        <v>Valid</v>
      </c>
      <c r="K499" s="13" t="str">
        <f>IF(Sheet1!N499=Sheet1!G499*Sheet1!H499,"True","False")</f>
        <v>True</v>
      </c>
      <c r="L499" s="13" t="b">
        <v>1</v>
      </c>
      <c r="M499" s="9" t="b">
        <f>ISNUMBER(Sheet1!J499)</f>
        <v>1</v>
      </c>
      <c r="N499" s="13" t="str">
        <f>IF(Sheet1!B499="A","Branch A",IF(Sheet1!B499="B","Branch B","Other Branch"))</f>
        <v>Other Branch</v>
      </c>
      <c r="O499" s="13" t="str">
        <f>IF(Sheet1!M499="Credit card","Credit Payment","Other")</f>
        <v>Other</v>
      </c>
      <c r="P499" s="13" t="str">
        <f>IF(Sheet1!O499&gt;7,"Yes","No")</f>
        <v>No</v>
      </c>
    </row>
    <row r="500" spans="5:16">
      <c r="E500" s="13" t="str">
        <v>401</v>
      </c>
      <c r="F500" s="13" t="str">
        <v>8016</v>
      </c>
      <c r="G500" s="13" t="str">
        <v>18</v>
      </c>
      <c r="H500" s="13" t="str">
        <f>_xlfn.CONCAT(Sheet1!A500," --&gt; ",Sheet1!J500)</f>
        <v>401-18-8016 --&gt; 103.0365</v>
      </c>
      <c r="I500" s="13" t="str">
        <f>_xlfn.CONCAT(Sheet1!C500,"_",TEXT(Sheet1!K500, "m/d/yyyy"))</f>
        <v>Mandalay_1/21/2019</v>
      </c>
      <c r="J500" s="13" t="str">
        <f>IF(Sheet1!I500=Sheet1!N500*0.05,"Valid","Error")</f>
        <v>Valid</v>
      </c>
      <c r="K500" s="13" t="str">
        <f>IF(Sheet1!N500=Sheet1!G500*Sheet1!H500,"True","False")</f>
        <v>True</v>
      </c>
      <c r="L500" s="13" t="b">
        <v>1</v>
      </c>
      <c r="M500" s="9" t="b">
        <f>ISNUMBER(Sheet1!J500)</f>
        <v>1</v>
      </c>
      <c r="N500" s="13" t="str">
        <f>IF(Sheet1!B500="A","Branch A",IF(Sheet1!B500="B","Branch B","Other Branch"))</f>
        <v>Branch B</v>
      </c>
      <c r="O500" s="13" t="str">
        <f>IF(Sheet1!M500="Credit card","Credit Payment","Other")</f>
        <v>Other</v>
      </c>
      <c r="P500" s="13" t="str">
        <f>IF(Sheet1!O500&gt;7,"Yes","No")</f>
        <v>Yes</v>
      </c>
    </row>
    <row r="501" spans="5:16">
      <c r="E501" s="13" t="str">
        <v>420</v>
      </c>
      <c r="F501" s="13" t="str">
        <v>8989</v>
      </c>
      <c r="G501" s="13" t="str">
        <v>18</v>
      </c>
      <c r="H501" s="13" t="str">
        <f>_xlfn.CONCAT(Sheet1!A501," --&gt; ",Sheet1!J501)</f>
        <v>420-18-8989 --&gt; 432.768</v>
      </c>
      <c r="I501" s="13" t="str">
        <f>_xlfn.CONCAT(Sheet1!C501,"_",TEXT(Sheet1!K501, "m/d/yyyy"))</f>
        <v>Yangon_2/2/2019</v>
      </c>
      <c r="J501" s="13" t="str">
        <f>IF(Sheet1!I501=Sheet1!N501*0.05,"Valid","Error")</f>
        <v>Valid</v>
      </c>
      <c r="K501" s="13" t="str">
        <f>IF(Sheet1!N501=Sheet1!G501*Sheet1!H501,"True","False")</f>
        <v>True</v>
      </c>
      <c r="L501" s="13" t="b">
        <v>1</v>
      </c>
      <c r="M501" s="9" t="b">
        <f>ISNUMBER(Sheet1!J501)</f>
        <v>1</v>
      </c>
      <c r="N501" s="13" t="str">
        <f>IF(Sheet1!B501="A","Branch A",IF(Sheet1!B501="B","Branch B","Other Branch"))</f>
        <v>Branch A</v>
      </c>
      <c r="O501" s="13" t="str">
        <f>IF(Sheet1!M501="Credit card","Credit Payment","Other")</f>
        <v>Other</v>
      </c>
      <c r="P501" s="13" t="str">
        <f>IF(Sheet1!O501&gt;7,"Yes","No")</f>
        <v>Yes</v>
      </c>
    </row>
    <row r="502" spans="5:16">
      <c r="E502" s="13" t="str">
        <v>277</v>
      </c>
      <c r="F502" s="13" t="str">
        <v>2961</v>
      </c>
      <c r="G502" s="13" t="str">
        <v>63</v>
      </c>
      <c r="H502" s="13" t="str">
        <f>_xlfn.CONCAT(Sheet1!A502," --&gt; ",Sheet1!J502)</f>
        <v>277-63-2961 --&gt; 77.6685</v>
      </c>
      <c r="I502" s="13" t="str">
        <f>_xlfn.CONCAT(Sheet1!C502,"_",TEXT(Sheet1!K502, "m/d/yyyy"))</f>
        <v>Mandalay_2/3/2019</v>
      </c>
      <c r="J502" s="13" t="str">
        <f>IF(Sheet1!I502=Sheet1!N502*0.05,"Valid","Error")</f>
        <v>Valid</v>
      </c>
      <c r="K502" s="13" t="str">
        <f>IF(Sheet1!N502=Sheet1!G502*Sheet1!H502,"True","False")</f>
        <v>True</v>
      </c>
      <c r="L502" s="13" t="b">
        <v>1</v>
      </c>
      <c r="M502" s="9" t="b">
        <f>ISNUMBER(Sheet1!J502)</f>
        <v>1</v>
      </c>
      <c r="N502" s="13" t="str">
        <f>IF(Sheet1!B502="A","Branch A",IF(Sheet1!B502="B","Branch B","Other Branch"))</f>
        <v>Branch B</v>
      </c>
      <c r="O502" s="13" t="str">
        <f>IF(Sheet1!M502="Credit card","Credit Payment","Other")</f>
        <v>Credit Payment</v>
      </c>
      <c r="P502" s="13" t="str">
        <f>IF(Sheet1!O502&gt;7,"Yes","No")</f>
        <v>No</v>
      </c>
    </row>
    <row r="503" spans="5:16">
      <c r="E503" s="13" t="str">
        <v>573</v>
      </c>
      <c r="F503" s="13" t="str">
        <v>8548</v>
      </c>
      <c r="G503" s="13" t="str">
        <v>98</v>
      </c>
      <c r="H503" s="13" t="str">
        <f>_xlfn.CONCAT(Sheet1!A503," --&gt; ",Sheet1!J503)</f>
        <v>573-98-8548 --&gt; 33.495</v>
      </c>
      <c r="I503" s="13" t="str">
        <f>_xlfn.CONCAT(Sheet1!C503,"_",TEXT(Sheet1!K503, "m/d/yyyy"))</f>
        <v>Naypyitaw_1/5/2019</v>
      </c>
      <c r="J503" s="13" t="str">
        <f>IF(Sheet1!I503=Sheet1!N503*0.05,"Valid","Error")</f>
        <v>Valid</v>
      </c>
      <c r="K503" s="13" t="str">
        <f>IF(Sheet1!N503=Sheet1!G503*Sheet1!H503,"True","False")</f>
        <v>True</v>
      </c>
      <c r="L503" s="13" t="b">
        <v>1</v>
      </c>
      <c r="M503" s="9" t="b">
        <f>ISNUMBER(Sheet1!J503)</f>
        <v>1</v>
      </c>
      <c r="N503" s="13" t="str">
        <f>IF(Sheet1!B503="A","Branch A",IF(Sheet1!B503="B","Branch B","Other Branch"))</f>
        <v>Other Branch</v>
      </c>
      <c r="O503" s="13" t="str">
        <f>IF(Sheet1!M503="Credit card","Credit Payment","Other")</f>
        <v>Other</v>
      </c>
      <c r="P503" s="13" t="str">
        <f>IF(Sheet1!O503&gt;7,"Yes","No")</f>
        <v>Yes</v>
      </c>
    </row>
    <row r="504" spans="5:16">
      <c r="E504" s="13" t="str">
        <v>620</v>
      </c>
      <c r="F504" s="13" t="str">
        <v>2046</v>
      </c>
      <c r="G504" s="13" t="str">
        <v>02</v>
      </c>
      <c r="H504" s="13" t="str">
        <f>_xlfn.CONCAT(Sheet1!A504," --&gt; ",Sheet1!J504)</f>
        <v>620-02-2046 --&gt; 145.74</v>
      </c>
      <c r="I504" s="13" t="str">
        <f>_xlfn.CONCAT(Sheet1!C504,"_",TEXT(Sheet1!K504, "m/d/yyyy"))</f>
        <v>Naypyitaw_1/27/2019</v>
      </c>
      <c r="J504" s="13" t="str">
        <f>IF(Sheet1!I504=Sheet1!N504*0.05,"Valid","Error")</f>
        <v>Valid</v>
      </c>
      <c r="K504" s="13" t="str">
        <f>IF(Sheet1!N504=Sheet1!G504*Sheet1!H504,"True","False")</f>
        <v>True</v>
      </c>
      <c r="L504" s="13" t="b">
        <v>1</v>
      </c>
      <c r="M504" s="9" t="b">
        <f>ISNUMBER(Sheet1!J504)</f>
        <v>1</v>
      </c>
      <c r="N504" s="13" t="str">
        <f>IF(Sheet1!B504="A","Branch A",IF(Sheet1!B504="B","Branch B","Other Branch"))</f>
        <v>Other Branch</v>
      </c>
      <c r="O504" s="13" t="str">
        <f>IF(Sheet1!M504="Credit card","Credit Payment","Other")</f>
        <v>Other</v>
      </c>
      <c r="P504" s="13" t="str">
        <f>IF(Sheet1!O504&gt;7,"Yes","No")</f>
        <v>Yes</v>
      </c>
    </row>
    <row r="505" spans="5:16">
      <c r="E505" s="13" t="str">
        <v>282</v>
      </c>
      <c r="F505" s="13" t="str">
        <v>2475</v>
      </c>
      <c r="G505" s="13" t="str">
        <v>35</v>
      </c>
      <c r="H505" s="13" t="str">
        <f>_xlfn.CONCAT(Sheet1!A505," --&gt; ",Sheet1!J505)</f>
        <v>282-35-2475 --&gt; 195.951</v>
      </c>
      <c r="I505" s="13" t="str">
        <f>_xlfn.CONCAT(Sheet1!C505,"_",TEXT(Sheet1!K505, "m/d/yyyy"))</f>
        <v>Mandalay_3/25/2019</v>
      </c>
      <c r="J505" s="13" t="str">
        <f>IF(Sheet1!I505=Sheet1!N505*0.05,"Valid","Error")</f>
        <v>Valid</v>
      </c>
      <c r="K505" s="13" t="str">
        <f>IF(Sheet1!N505=Sheet1!G505*Sheet1!H505,"True","False")</f>
        <v>True</v>
      </c>
      <c r="L505" s="13" t="b">
        <v>1</v>
      </c>
      <c r="M505" s="9" t="b">
        <f>ISNUMBER(Sheet1!J505)</f>
        <v>1</v>
      </c>
      <c r="N505" s="13" t="str">
        <f>IF(Sheet1!B505="A","Branch A",IF(Sheet1!B505="B","Branch B","Other Branch"))</f>
        <v>Branch B</v>
      </c>
      <c r="O505" s="13" t="str">
        <f>IF(Sheet1!M505="Credit card","Credit Payment","Other")</f>
        <v>Other</v>
      </c>
      <c r="P505" s="13" t="str">
        <f>IF(Sheet1!O505&gt;7,"Yes","No")</f>
        <v>No</v>
      </c>
    </row>
    <row r="506" spans="5:16">
      <c r="E506" s="13" t="str">
        <v>511</v>
      </c>
      <c r="F506" s="13" t="str">
        <v>3087</v>
      </c>
      <c r="G506" s="13" t="str">
        <v>54</v>
      </c>
      <c r="H506" s="13" t="str">
        <f>_xlfn.CONCAT(Sheet1!A506," --&gt; ",Sheet1!J506)</f>
        <v>511-54-3087 --&gt; 92.8725</v>
      </c>
      <c r="I506" s="13" t="str">
        <f>_xlfn.CONCAT(Sheet1!C506,"_",TEXT(Sheet1!K506, "m/d/yyyy"))</f>
        <v>Mandalay_2/25/2019</v>
      </c>
      <c r="J506" s="13" t="str">
        <f>IF(Sheet1!I506=Sheet1!N506*0.05,"Valid","Error")</f>
        <v>Valid</v>
      </c>
      <c r="K506" s="13" t="str">
        <f>IF(Sheet1!N506=Sheet1!G506*Sheet1!H506,"True","False")</f>
        <v>True</v>
      </c>
      <c r="L506" s="13" t="b">
        <v>1</v>
      </c>
      <c r="M506" s="9" t="b">
        <f>ISNUMBER(Sheet1!J506)</f>
        <v>1</v>
      </c>
      <c r="N506" s="13" t="str">
        <f>IF(Sheet1!B506="A","Branch A",IF(Sheet1!B506="B","Branch B","Other Branch"))</f>
        <v>Branch B</v>
      </c>
      <c r="O506" s="13" t="str">
        <f>IF(Sheet1!M506="Credit card","Credit Payment","Other")</f>
        <v>Credit Payment</v>
      </c>
      <c r="P506" s="13" t="str">
        <f>IF(Sheet1!O506&gt;7,"Yes","No")</f>
        <v>Yes</v>
      </c>
    </row>
    <row r="507" spans="5:16">
      <c r="E507" s="13" t="str">
        <v>726</v>
      </c>
      <c r="F507" s="13" t="str">
        <v>6793</v>
      </c>
      <c r="G507" s="13" t="str">
        <v>29</v>
      </c>
      <c r="H507" s="13" t="str">
        <f>_xlfn.CONCAT(Sheet1!A507," --&gt; ",Sheet1!J507)</f>
        <v>726-29-6793 --&gt; 203.112</v>
      </c>
      <c r="I507" s="13" t="str">
        <f>_xlfn.CONCAT(Sheet1!C507,"_",TEXT(Sheet1!K507, "m/d/yyyy"))</f>
        <v>Yangon_1/28/2019</v>
      </c>
      <c r="J507" s="13" t="str">
        <f>IF(Sheet1!I507=Sheet1!N507*0.05,"Valid","Error")</f>
        <v>Valid</v>
      </c>
      <c r="K507" s="13" t="str">
        <f>IF(Sheet1!N507=Sheet1!G507*Sheet1!H507,"True","False")</f>
        <v>True</v>
      </c>
      <c r="L507" s="13" t="b">
        <v>1</v>
      </c>
      <c r="M507" s="9" t="b">
        <f>ISNUMBER(Sheet1!J507)</f>
        <v>1</v>
      </c>
      <c r="N507" s="13" t="str">
        <f>IF(Sheet1!B507="A","Branch A",IF(Sheet1!B507="B","Branch B","Other Branch"))</f>
        <v>Branch A</v>
      </c>
      <c r="O507" s="13" t="str">
        <f>IF(Sheet1!M507="Credit card","Credit Payment","Other")</f>
        <v>Other</v>
      </c>
      <c r="P507" s="13" t="str">
        <f>IF(Sheet1!O507&gt;7,"Yes","No")</f>
        <v>Yes</v>
      </c>
    </row>
    <row r="508" spans="5:16">
      <c r="E508" s="13" t="str">
        <v>387</v>
      </c>
      <c r="F508" s="13" t="str">
        <v>4215</v>
      </c>
      <c r="G508" s="13" t="str">
        <v>49</v>
      </c>
      <c r="H508" s="13" t="str">
        <f>_xlfn.CONCAT(Sheet1!A508," --&gt; ",Sheet1!J508)</f>
        <v>387-49-4215 --&gt; 152.775</v>
      </c>
      <c r="I508" s="13" t="str">
        <f>_xlfn.CONCAT(Sheet1!C508,"_",TEXT(Sheet1!K508, "m/d/yyyy"))</f>
        <v>Mandalay_1/8/2019</v>
      </c>
      <c r="J508" s="13" t="str">
        <f>IF(Sheet1!I508=Sheet1!N508*0.05,"Valid","Error")</f>
        <v>Valid</v>
      </c>
      <c r="K508" s="13" t="str">
        <f>IF(Sheet1!N508=Sheet1!G508*Sheet1!H508,"True","False")</f>
        <v>True</v>
      </c>
      <c r="L508" s="13" t="b">
        <v>1</v>
      </c>
      <c r="M508" s="9" t="b">
        <f>ISNUMBER(Sheet1!J508)</f>
        <v>1</v>
      </c>
      <c r="N508" s="13" t="str">
        <f>IF(Sheet1!B508="A","Branch A",IF(Sheet1!B508="B","Branch B","Other Branch"))</f>
        <v>Branch B</v>
      </c>
      <c r="O508" s="13" t="str">
        <f>IF(Sheet1!M508="Credit card","Credit Payment","Other")</f>
        <v>Other</v>
      </c>
      <c r="P508" s="13" t="str">
        <f>IF(Sheet1!O508&gt;7,"Yes","No")</f>
        <v>No</v>
      </c>
    </row>
    <row r="509" spans="5:16">
      <c r="E509" s="13" t="str">
        <v>862</v>
      </c>
      <c r="F509" s="13" t="str">
        <v>9201</v>
      </c>
      <c r="G509" s="13" t="str">
        <v>17</v>
      </c>
      <c r="H509" s="13" t="str">
        <f>_xlfn.CONCAT(Sheet1!A509," --&gt; ",Sheet1!J509)</f>
        <v>862-17-9201 --&gt; 529.515</v>
      </c>
      <c r="I509" s="13" t="str">
        <f>_xlfn.CONCAT(Sheet1!C509,"_",TEXT(Sheet1!K509, "m/d/yyyy"))</f>
        <v>Mandalay_1/29/2019</v>
      </c>
      <c r="J509" s="13" t="str">
        <f>IF(Sheet1!I509=Sheet1!N509*0.05,"Valid","Error")</f>
        <v>Valid</v>
      </c>
      <c r="K509" s="13" t="str">
        <f>IF(Sheet1!N509=Sheet1!G509*Sheet1!H509,"True","False")</f>
        <v>True</v>
      </c>
      <c r="L509" s="13" t="b">
        <v>1</v>
      </c>
      <c r="M509" s="9" t="b">
        <f>ISNUMBER(Sheet1!J509)</f>
        <v>1</v>
      </c>
      <c r="N509" s="13" t="str">
        <f>IF(Sheet1!B509="A","Branch A",IF(Sheet1!B509="B","Branch B","Other Branch"))</f>
        <v>Branch B</v>
      </c>
      <c r="O509" s="13" t="str">
        <f>IF(Sheet1!M509="Credit card","Credit Payment","Other")</f>
        <v>Credit Payment</v>
      </c>
      <c r="P509" s="13" t="str">
        <f>IF(Sheet1!O509&gt;7,"Yes","No")</f>
        <v>Yes</v>
      </c>
    </row>
    <row r="510" spans="5:16">
      <c r="E510" s="13" t="str">
        <v>291</v>
      </c>
      <c r="F510" s="13" t="str">
        <v>5991</v>
      </c>
      <c r="G510" s="13" t="str">
        <v>21</v>
      </c>
      <c r="H510" s="13" t="str">
        <f>_xlfn.CONCAT(Sheet1!A510," --&gt; ",Sheet1!J510)</f>
        <v>291-21-5991 --&gt; 321.7725</v>
      </c>
      <c r="I510" s="13" t="str">
        <f>_xlfn.CONCAT(Sheet1!C510,"_",TEXT(Sheet1!K510, "m/d/yyyy"))</f>
        <v>Mandalay_3/29/2019</v>
      </c>
      <c r="J510" s="13" t="str">
        <f>IF(Sheet1!I510=Sheet1!N510*0.05,"Valid","Error")</f>
        <v>Valid</v>
      </c>
      <c r="K510" s="13" t="str">
        <f>IF(Sheet1!N510=Sheet1!G510*Sheet1!H510,"True","False")</f>
        <v>True</v>
      </c>
      <c r="L510" s="13" t="b">
        <v>1</v>
      </c>
      <c r="M510" s="9" t="b">
        <f>ISNUMBER(Sheet1!J510)</f>
        <v>1</v>
      </c>
      <c r="N510" s="13" t="str">
        <f>IF(Sheet1!B510="A","Branch A",IF(Sheet1!B510="B","Branch B","Other Branch"))</f>
        <v>Branch B</v>
      </c>
      <c r="O510" s="13" t="str">
        <f>IF(Sheet1!M510="Credit card","Credit Payment","Other")</f>
        <v>Other</v>
      </c>
      <c r="P510" s="13" t="str">
        <f>IF(Sheet1!O510&gt;7,"Yes","No")</f>
        <v>No</v>
      </c>
    </row>
    <row r="511" spans="5:16">
      <c r="E511" s="13" t="str">
        <v>602</v>
      </c>
      <c r="F511" s="13" t="str">
        <v>9671</v>
      </c>
      <c r="G511" s="13" t="str">
        <v>80</v>
      </c>
      <c r="H511" s="13" t="str">
        <f>_xlfn.CONCAT(Sheet1!A511," --&gt; ",Sheet1!J511)</f>
        <v>602-80-9671 --&gt; 100.485</v>
      </c>
      <c r="I511" s="13" t="str">
        <f>_xlfn.CONCAT(Sheet1!C511,"_",TEXT(Sheet1!K511, "m/d/yyyy"))</f>
        <v>Naypyitaw_2/9/2019</v>
      </c>
      <c r="J511" s="13" t="str">
        <f>IF(Sheet1!I511=Sheet1!N511*0.05,"Valid","Error")</f>
        <v>Valid</v>
      </c>
      <c r="K511" s="13" t="str">
        <f>IF(Sheet1!N511=Sheet1!G511*Sheet1!H511,"True","False")</f>
        <v>True</v>
      </c>
      <c r="L511" s="13" t="b">
        <v>1</v>
      </c>
      <c r="M511" s="9" t="b">
        <f>ISNUMBER(Sheet1!J511)</f>
        <v>1</v>
      </c>
      <c r="N511" s="13" t="str">
        <f>IF(Sheet1!B511="A","Branch A",IF(Sheet1!B511="B","Branch B","Other Branch"))</f>
        <v>Other Branch</v>
      </c>
      <c r="O511" s="13" t="str">
        <f>IF(Sheet1!M511="Credit card","Credit Payment","Other")</f>
        <v>Credit Payment</v>
      </c>
      <c r="P511" s="13" t="str">
        <f>IF(Sheet1!O511&gt;7,"Yes","No")</f>
        <v>No</v>
      </c>
    </row>
    <row r="512" spans="5:16">
      <c r="E512" s="13" t="str">
        <v>347</v>
      </c>
      <c r="F512" s="13" t="str">
        <v>6115</v>
      </c>
      <c r="G512" s="13" t="str">
        <v>72</v>
      </c>
      <c r="H512" s="13" t="str">
        <f>_xlfn.CONCAT(Sheet1!A512," --&gt; ",Sheet1!J512)</f>
        <v>347-72-6115 --&gt; 666.939</v>
      </c>
      <c r="I512" s="13" t="str">
        <f>_xlfn.CONCAT(Sheet1!C512,"_",TEXT(Sheet1!K512, "m/d/yyyy"))</f>
        <v>Mandalay_1/16/2019</v>
      </c>
      <c r="J512" s="13" t="str">
        <f>IF(Sheet1!I512=Sheet1!N512*0.05,"Valid","Error")</f>
        <v>Valid</v>
      </c>
      <c r="K512" s="13" t="str">
        <f>IF(Sheet1!N512=Sheet1!G512*Sheet1!H512,"True","False")</f>
        <v>True</v>
      </c>
      <c r="L512" s="13" t="b">
        <v>1</v>
      </c>
      <c r="M512" s="9" t="b">
        <f>ISNUMBER(Sheet1!J512)</f>
        <v>1</v>
      </c>
      <c r="N512" s="13" t="str">
        <f>IF(Sheet1!B512="A","Branch A",IF(Sheet1!B512="B","Branch B","Other Branch"))</f>
        <v>Branch B</v>
      </c>
      <c r="O512" s="13" t="str">
        <f>IF(Sheet1!M512="Credit card","Credit Payment","Other")</f>
        <v>Credit Payment</v>
      </c>
      <c r="P512" s="13" t="str">
        <f>IF(Sheet1!O512&gt;7,"Yes","No")</f>
        <v>No</v>
      </c>
    </row>
    <row r="513" spans="5:16">
      <c r="E513" s="13" t="str">
        <v>209</v>
      </c>
      <c r="F513" s="13" t="str">
        <v>0206</v>
      </c>
      <c r="G513" s="13" t="str">
        <v>61</v>
      </c>
      <c r="H513" s="13" t="str">
        <f>_xlfn.CONCAT(Sheet1!A513," --&gt; ",Sheet1!J513)</f>
        <v>209-61-0206 --&gt; 225.2775</v>
      </c>
      <c r="I513" s="13" t="str">
        <f>_xlfn.CONCAT(Sheet1!C513,"_",TEXT(Sheet1!K513, "m/d/yyyy"))</f>
        <v>Yangon_1/5/2019</v>
      </c>
      <c r="J513" s="13" t="str">
        <f>IF(Sheet1!I513=Sheet1!N513*0.05,"Valid","Error")</f>
        <v>Valid</v>
      </c>
      <c r="K513" s="13" t="str">
        <f>IF(Sheet1!N513=Sheet1!G513*Sheet1!H513,"True","False")</f>
        <v>True</v>
      </c>
      <c r="L513" s="13" t="b">
        <v>1</v>
      </c>
      <c r="M513" s="9" t="b">
        <f>ISNUMBER(Sheet1!J513)</f>
        <v>1</v>
      </c>
      <c r="N513" s="13" t="str">
        <f>IF(Sheet1!B513="A","Branch A",IF(Sheet1!B513="B","Branch B","Other Branch"))</f>
        <v>Branch A</v>
      </c>
      <c r="O513" s="13" t="str">
        <f>IF(Sheet1!M513="Credit card","Credit Payment","Other")</f>
        <v>Other</v>
      </c>
      <c r="P513" s="13" t="str">
        <f>IF(Sheet1!O513&gt;7,"Yes","No")</f>
        <v>No</v>
      </c>
    </row>
    <row r="514" spans="5:16">
      <c r="E514" s="13" t="str">
        <v>595</v>
      </c>
      <c r="F514" s="13" t="str">
        <v>4851</v>
      </c>
      <c r="G514" s="13" t="str">
        <v>27</v>
      </c>
      <c r="H514" s="13" t="str">
        <f>_xlfn.CONCAT(Sheet1!A514," --&gt; ",Sheet1!J514)</f>
        <v>595-27-4851 --&gt; 398.958</v>
      </c>
      <c r="I514" s="13" t="str">
        <f>_xlfn.CONCAT(Sheet1!C514,"_",TEXT(Sheet1!K514, "m/d/yyyy"))</f>
        <v>Yangon_1/27/2019</v>
      </c>
      <c r="J514" s="13" t="str">
        <f>IF(Sheet1!I514=Sheet1!N514*0.05,"Valid","Error")</f>
        <v>Valid</v>
      </c>
      <c r="K514" s="13" t="str">
        <f>IF(Sheet1!N514=Sheet1!G514*Sheet1!H514,"True","False")</f>
        <v>True</v>
      </c>
      <c r="L514" s="13" t="b">
        <v>1</v>
      </c>
      <c r="M514" s="9" t="b">
        <f>ISNUMBER(Sheet1!J514)</f>
        <v>1</v>
      </c>
      <c r="N514" s="13" t="str">
        <f>IF(Sheet1!B514="A","Branch A",IF(Sheet1!B514="B","Branch B","Other Branch"))</f>
        <v>Branch A</v>
      </c>
      <c r="O514" s="13" t="str">
        <f>IF(Sheet1!M514="Credit card","Credit Payment","Other")</f>
        <v>Other</v>
      </c>
      <c r="P514" s="13" t="str">
        <f>IF(Sheet1!O514&gt;7,"Yes","No")</f>
        <v>Yes</v>
      </c>
    </row>
    <row r="515" spans="5:16">
      <c r="E515" s="13" t="str">
        <v>189</v>
      </c>
      <c r="F515" s="13" t="str">
        <v>0236</v>
      </c>
      <c r="G515" s="13" t="str">
        <v>52</v>
      </c>
      <c r="H515" s="13" t="str">
        <f>_xlfn.CONCAT(Sheet1!A515," --&gt; ",Sheet1!J515)</f>
        <v>189-52-0236 --&gt; 731.6925</v>
      </c>
      <c r="I515" s="13" t="str">
        <f>_xlfn.CONCAT(Sheet1!C515,"_",TEXT(Sheet1!K515, "m/d/yyyy"))</f>
        <v>Yangon_3/14/2019</v>
      </c>
      <c r="J515" s="13" t="str">
        <f>IF(Sheet1!I515=Sheet1!N515*0.05,"Valid","Error")</f>
        <v>Valid</v>
      </c>
      <c r="K515" s="13" t="str">
        <f>IF(Sheet1!N515=Sheet1!G515*Sheet1!H515,"True","False")</f>
        <v>True</v>
      </c>
      <c r="L515" s="13" t="b">
        <v>1</v>
      </c>
      <c r="M515" s="9" t="b">
        <f>ISNUMBER(Sheet1!J515)</f>
        <v>1</v>
      </c>
      <c r="N515" s="13" t="str">
        <f>IF(Sheet1!B515="A","Branch A",IF(Sheet1!B515="B","Branch B","Other Branch"))</f>
        <v>Branch A</v>
      </c>
      <c r="O515" s="13" t="str">
        <f>IF(Sheet1!M515="Credit card","Credit Payment","Other")</f>
        <v>Other</v>
      </c>
      <c r="P515" s="13" t="str">
        <f>IF(Sheet1!O515&gt;7,"Yes","No")</f>
        <v>Yes</v>
      </c>
    </row>
    <row r="516" spans="5:16">
      <c r="E516" s="13" t="str">
        <v>503</v>
      </c>
      <c r="F516" s="13" t="str">
        <v>0930</v>
      </c>
      <c r="G516" s="13" t="str">
        <v>07</v>
      </c>
      <c r="H516" s="13" t="str">
        <f>_xlfn.CONCAT(Sheet1!A516," --&gt; ",Sheet1!J516)</f>
        <v>503-07-0930 --&gt; 429.1665</v>
      </c>
      <c r="I516" s="13" t="str">
        <f>_xlfn.CONCAT(Sheet1!C516,"_",TEXT(Sheet1!K516, "m/d/yyyy"))</f>
        <v>Naypyitaw_2/23/2019</v>
      </c>
      <c r="J516" s="13" t="str">
        <f>IF(Sheet1!I516=Sheet1!N516*0.05,"Valid","Error")</f>
        <v>Valid</v>
      </c>
      <c r="K516" s="13" t="str">
        <f>IF(Sheet1!N516=Sheet1!G516*Sheet1!H516,"True","False")</f>
        <v>True</v>
      </c>
      <c r="L516" s="13" t="b">
        <v>1</v>
      </c>
      <c r="M516" s="9" t="b">
        <f>ISNUMBER(Sheet1!J516)</f>
        <v>1</v>
      </c>
      <c r="N516" s="13" t="str">
        <f>IF(Sheet1!B516="A","Branch A",IF(Sheet1!B516="B","Branch B","Other Branch"))</f>
        <v>Other Branch</v>
      </c>
      <c r="O516" s="13" t="str">
        <f>IF(Sheet1!M516="Credit card","Credit Payment","Other")</f>
        <v>Credit Payment</v>
      </c>
      <c r="P516" s="13" t="str">
        <f>IF(Sheet1!O516&gt;7,"Yes","No")</f>
        <v>Yes</v>
      </c>
    </row>
    <row r="517" spans="5:16">
      <c r="E517" s="13" t="str">
        <v>413</v>
      </c>
      <c r="F517" s="13" t="str">
        <v>6708</v>
      </c>
      <c r="G517" s="13" t="str">
        <v>20</v>
      </c>
      <c r="H517" s="13" t="str">
        <f>_xlfn.CONCAT(Sheet1!A517," --&gt; ",Sheet1!J517)</f>
        <v>413-20-6708 --&gt; 54.0435</v>
      </c>
      <c r="I517" s="13" t="str">
        <f>_xlfn.CONCAT(Sheet1!C517,"_",TEXT(Sheet1!K517, "m/d/yyyy"))</f>
        <v>Naypyitaw_3/18/2019</v>
      </c>
      <c r="J517" s="13" t="str">
        <f>IF(Sheet1!I517=Sheet1!N517*0.05,"Valid","Error")</f>
        <v>Valid</v>
      </c>
      <c r="K517" s="13" t="str">
        <f>IF(Sheet1!N517=Sheet1!G517*Sheet1!H517,"True","False")</f>
        <v>True</v>
      </c>
      <c r="L517" s="13" t="b">
        <v>1</v>
      </c>
      <c r="M517" s="9" t="b">
        <f>ISNUMBER(Sheet1!J517)</f>
        <v>1</v>
      </c>
      <c r="N517" s="13" t="str">
        <f>IF(Sheet1!B517="A","Branch A",IF(Sheet1!B517="B","Branch B","Other Branch"))</f>
        <v>Other Branch</v>
      </c>
      <c r="O517" s="13" t="str">
        <f>IF(Sheet1!M517="Credit card","Credit Payment","Other")</f>
        <v>Other</v>
      </c>
      <c r="P517" s="13" t="str">
        <f>IF(Sheet1!O517&gt;7,"Yes","No")</f>
        <v>Yes</v>
      </c>
    </row>
    <row r="518" spans="5:16">
      <c r="E518" s="13" t="str">
        <v>425</v>
      </c>
      <c r="F518" s="13" t="str">
        <v>2085</v>
      </c>
      <c r="G518" s="13" t="str">
        <v>85</v>
      </c>
      <c r="H518" s="13" t="str">
        <f>_xlfn.CONCAT(Sheet1!A518," --&gt; ",Sheet1!J518)</f>
        <v>425-85-2085 --&gt; 288.015</v>
      </c>
      <c r="I518" s="13" t="str">
        <f>_xlfn.CONCAT(Sheet1!C518,"_",TEXT(Sheet1!K518, "m/d/yyyy"))</f>
        <v>Mandalay_3/29/2019</v>
      </c>
      <c r="J518" s="13" t="str">
        <f>IF(Sheet1!I518=Sheet1!N518*0.05,"Valid","Error")</f>
        <v>Valid</v>
      </c>
      <c r="K518" s="13" t="str">
        <f>IF(Sheet1!N518=Sheet1!G518*Sheet1!H518,"True","False")</f>
        <v>True</v>
      </c>
      <c r="L518" s="13" t="b">
        <v>1</v>
      </c>
      <c r="M518" s="9" t="b">
        <f>ISNUMBER(Sheet1!J518)</f>
        <v>1</v>
      </c>
      <c r="N518" s="13" t="str">
        <f>IF(Sheet1!B518="A","Branch A",IF(Sheet1!B518="B","Branch B","Other Branch"))</f>
        <v>Branch B</v>
      </c>
      <c r="O518" s="13" t="str">
        <f>IF(Sheet1!M518="Credit card","Credit Payment","Other")</f>
        <v>Other</v>
      </c>
      <c r="P518" s="13" t="str">
        <f>IF(Sheet1!O518&gt;7,"Yes","No")</f>
        <v>Yes</v>
      </c>
    </row>
    <row r="519" spans="5:16">
      <c r="E519" s="13" t="str">
        <v>521</v>
      </c>
      <c r="F519" s="13" t="str">
        <v>7827</v>
      </c>
      <c r="G519" s="13" t="str">
        <v>18</v>
      </c>
      <c r="H519" s="13" t="str">
        <f>_xlfn.CONCAT(Sheet1!A519," --&gt; ",Sheet1!J519)</f>
        <v>521-18-7827 --&gt; 206.7975</v>
      </c>
      <c r="I519" s="13" t="str">
        <f>_xlfn.CONCAT(Sheet1!C519,"_",TEXT(Sheet1!K519, "m/d/yyyy"))</f>
        <v>Naypyitaw_1/22/2019</v>
      </c>
      <c r="J519" s="13" t="str">
        <f>IF(Sheet1!I519=Sheet1!N519*0.05,"Valid","Error")</f>
        <v>Valid</v>
      </c>
      <c r="K519" s="13" t="str">
        <f>IF(Sheet1!N519=Sheet1!G519*Sheet1!H519,"True","False")</f>
        <v>True</v>
      </c>
      <c r="L519" s="13" t="b">
        <v>1</v>
      </c>
      <c r="M519" s="9" t="b">
        <f>ISNUMBER(Sheet1!J519)</f>
        <v>1</v>
      </c>
      <c r="N519" s="13" t="str">
        <f>IF(Sheet1!B519="A","Branch A",IF(Sheet1!B519="B","Branch B","Other Branch"))</f>
        <v>Other Branch</v>
      </c>
      <c r="O519" s="13" t="str">
        <f>IF(Sheet1!M519="Credit card","Credit Payment","Other")</f>
        <v>Credit Payment</v>
      </c>
      <c r="P519" s="13" t="str">
        <f>IF(Sheet1!O519&gt;7,"Yes","No")</f>
        <v>Yes</v>
      </c>
    </row>
    <row r="520" spans="5:16">
      <c r="E520" s="13" t="str">
        <v>220</v>
      </c>
      <c r="F520" s="13" t="str">
        <v>1851</v>
      </c>
      <c r="G520" s="13" t="str">
        <v>28</v>
      </c>
      <c r="H520" s="13" t="str">
        <f>_xlfn.CONCAT(Sheet1!A520," --&gt; ",Sheet1!J520)</f>
        <v>220-28-1851 --&gt; 72.933</v>
      </c>
      <c r="I520" s="13" t="str">
        <f>_xlfn.CONCAT(Sheet1!C520,"_",TEXT(Sheet1!K520, "m/d/yyyy"))</f>
        <v>Yangon_3/1/2019</v>
      </c>
      <c r="J520" s="13" t="str">
        <f>IF(Sheet1!I520=Sheet1!N520*0.05,"Valid","Error")</f>
        <v>Valid</v>
      </c>
      <c r="K520" s="13" t="str">
        <f>IF(Sheet1!N520=Sheet1!G520*Sheet1!H520,"True","False")</f>
        <v>True</v>
      </c>
      <c r="L520" s="13" t="b">
        <v>1</v>
      </c>
      <c r="M520" s="9" t="b">
        <f>ISNUMBER(Sheet1!J520)</f>
        <v>1</v>
      </c>
      <c r="N520" s="13" t="str">
        <f>IF(Sheet1!B520="A","Branch A",IF(Sheet1!B520="B","Branch B","Other Branch"))</f>
        <v>Branch A</v>
      </c>
      <c r="O520" s="13" t="str">
        <f>IF(Sheet1!M520="Credit card","Credit Payment","Other")</f>
        <v>Other</v>
      </c>
      <c r="P520" s="13" t="str">
        <f>IF(Sheet1!O520&gt;7,"Yes","No")</f>
        <v>Yes</v>
      </c>
    </row>
    <row r="521" spans="5:16">
      <c r="E521" s="13" t="str">
        <v>600</v>
      </c>
      <c r="F521" s="13" t="str">
        <v>9738</v>
      </c>
      <c r="G521" s="13" t="str">
        <v>38</v>
      </c>
      <c r="H521" s="13" t="str">
        <f>_xlfn.CONCAT(Sheet1!A521," --&gt; ",Sheet1!J521)</f>
        <v>600-38-9738 --&gt; 377.58</v>
      </c>
      <c r="I521" s="13" t="str">
        <f>_xlfn.CONCAT(Sheet1!C521,"_",TEXT(Sheet1!K521, "m/d/yyyy"))</f>
        <v>Naypyitaw_1/17/2019</v>
      </c>
      <c r="J521" s="13" t="str">
        <f>IF(Sheet1!I521=Sheet1!N521*0.05,"Valid","Error")</f>
        <v>Valid</v>
      </c>
      <c r="K521" s="13" t="str">
        <f>IF(Sheet1!N521=Sheet1!G521*Sheet1!H521,"True","False")</f>
        <v>True</v>
      </c>
      <c r="L521" s="13" t="b">
        <v>1</v>
      </c>
      <c r="M521" s="9" t="b">
        <f>ISNUMBER(Sheet1!J521)</f>
        <v>1</v>
      </c>
      <c r="N521" s="13" t="str">
        <f>IF(Sheet1!B521="A","Branch A",IF(Sheet1!B521="B","Branch B","Other Branch"))</f>
        <v>Other Branch</v>
      </c>
      <c r="O521" s="13" t="str">
        <f>IF(Sheet1!M521="Credit card","Credit Payment","Other")</f>
        <v>Credit Payment</v>
      </c>
      <c r="P521" s="13" t="str">
        <f>IF(Sheet1!O521&gt;7,"Yes","No")</f>
        <v>No</v>
      </c>
    </row>
    <row r="522" spans="5:16">
      <c r="E522" s="13" t="str">
        <v>734</v>
      </c>
      <c r="F522" s="13" t="str">
        <v>1155</v>
      </c>
      <c r="G522" s="13" t="str">
        <v>91</v>
      </c>
      <c r="H522" s="13" t="str">
        <f>_xlfn.CONCAT(Sheet1!A522," --&gt; ",Sheet1!J522)</f>
        <v>734-91-1155 --&gt; 143.9865</v>
      </c>
      <c r="I522" s="13" t="str">
        <f>_xlfn.CONCAT(Sheet1!C522,"_",TEXT(Sheet1!K522, "m/d/yyyy"))</f>
        <v>Mandalay_3/26/2019</v>
      </c>
      <c r="J522" s="13" t="str">
        <f>IF(Sheet1!I522=Sheet1!N522*0.05,"Valid","Error")</f>
        <v>Valid</v>
      </c>
      <c r="K522" s="13" t="str">
        <f>IF(Sheet1!N522=Sheet1!G522*Sheet1!H522,"True","False")</f>
        <v>True</v>
      </c>
      <c r="L522" s="13" t="b">
        <v>1</v>
      </c>
      <c r="M522" s="9" t="b">
        <f>ISNUMBER(Sheet1!J522)</f>
        <v>1</v>
      </c>
      <c r="N522" s="13" t="str">
        <f>IF(Sheet1!B522="A","Branch A",IF(Sheet1!B522="B","Branch B","Other Branch"))</f>
        <v>Branch B</v>
      </c>
      <c r="O522" s="13" t="str">
        <f>IF(Sheet1!M522="Credit card","Credit Payment","Other")</f>
        <v>Credit Payment</v>
      </c>
      <c r="P522" s="13" t="str">
        <f>IF(Sheet1!O522&gt;7,"Yes","No")</f>
        <v>Yes</v>
      </c>
    </row>
    <row r="523" spans="5:16">
      <c r="E523" s="13" t="str">
        <v>451</v>
      </c>
      <c r="F523" s="13" t="str">
        <v>5717</v>
      </c>
      <c r="G523" s="13" t="str">
        <v>28</v>
      </c>
      <c r="H523" s="13" t="str">
        <f>_xlfn.CONCAT(Sheet1!A523," --&gt; ",Sheet1!J523)</f>
        <v>451-28-5717 --&gt; 523.971</v>
      </c>
      <c r="I523" s="13" t="str">
        <f>_xlfn.CONCAT(Sheet1!C523,"_",TEXT(Sheet1!K523, "m/d/yyyy"))</f>
        <v>Naypyitaw_3/20/2019</v>
      </c>
      <c r="J523" s="13" t="str">
        <f>IF(Sheet1!I523=Sheet1!N523*0.05,"Valid","Error")</f>
        <v>Valid</v>
      </c>
      <c r="K523" s="13" t="str">
        <f>IF(Sheet1!N523=Sheet1!G523*Sheet1!H523,"True","False")</f>
        <v>True</v>
      </c>
      <c r="L523" s="13" t="b">
        <v>1</v>
      </c>
      <c r="M523" s="9" t="b">
        <f>ISNUMBER(Sheet1!J523)</f>
        <v>1</v>
      </c>
      <c r="N523" s="13" t="str">
        <f>IF(Sheet1!B523="A","Branch A",IF(Sheet1!B523="B","Branch B","Other Branch"))</f>
        <v>Other Branch</v>
      </c>
      <c r="O523" s="13" t="str">
        <f>IF(Sheet1!M523="Credit card","Credit Payment","Other")</f>
        <v>Other</v>
      </c>
      <c r="P523" s="13" t="str">
        <f>IF(Sheet1!O523&gt;7,"Yes","No")</f>
        <v>Yes</v>
      </c>
    </row>
    <row r="524" spans="5:16">
      <c r="E524" s="13" t="str">
        <v>609</v>
      </c>
      <c r="F524" s="13" t="str">
        <v>8548</v>
      </c>
      <c r="G524" s="13" t="str">
        <v>81</v>
      </c>
      <c r="H524" s="13" t="str">
        <f>_xlfn.CONCAT(Sheet1!A524," --&gt; ",Sheet1!J524)</f>
        <v>609-81-8548 --&gt; 235.872</v>
      </c>
      <c r="I524" s="13" t="str">
        <f>_xlfn.CONCAT(Sheet1!C524,"_",TEXT(Sheet1!K524, "m/d/yyyy"))</f>
        <v>Yangon_2/6/2019</v>
      </c>
      <c r="J524" s="13" t="str">
        <f>IF(Sheet1!I524=Sheet1!N524*0.05,"Valid","Error")</f>
        <v>Valid</v>
      </c>
      <c r="K524" s="13" t="str">
        <f>IF(Sheet1!N524=Sheet1!G524*Sheet1!H524,"True","False")</f>
        <v>True</v>
      </c>
      <c r="L524" s="13" t="b">
        <v>1</v>
      </c>
      <c r="M524" s="9" t="b">
        <f>ISNUMBER(Sheet1!J524)</f>
        <v>1</v>
      </c>
      <c r="N524" s="13" t="str">
        <f>IF(Sheet1!B524="A","Branch A",IF(Sheet1!B524="B","Branch B","Other Branch"))</f>
        <v>Branch A</v>
      </c>
      <c r="O524" s="13" t="str">
        <f>IF(Sheet1!M524="Credit card","Credit Payment","Other")</f>
        <v>Credit Payment</v>
      </c>
      <c r="P524" s="13" t="str">
        <f>IF(Sheet1!O524&gt;7,"Yes","No")</f>
        <v>No</v>
      </c>
    </row>
    <row r="525" spans="5:16">
      <c r="E525" s="13" t="str">
        <v>133</v>
      </c>
      <c r="F525" s="13" t="str">
        <v>7229</v>
      </c>
      <c r="G525" s="13" t="str">
        <v>14</v>
      </c>
      <c r="H525" s="13" t="str">
        <f>_xlfn.CONCAT(Sheet1!A525," --&gt; ",Sheet1!J525)</f>
        <v>133-14-7229 --&gt; 132.027</v>
      </c>
      <c r="I525" s="13" t="str">
        <f>_xlfn.CONCAT(Sheet1!C525,"_",TEXT(Sheet1!K525, "m/d/yyyy"))</f>
        <v>Naypyitaw_1/1/2019</v>
      </c>
      <c r="J525" s="13" t="str">
        <f>IF(Sheet1!I525=Sheet1!N525*0.05,"Valid","Error")</f>
        <v>Valid</v>
      </c>
      <c r="K525" s="13" t="str">
        <f>IF(Sheet1!N525=Sheet1!G525*Sheet1!H525,"True","False")</f>
        <v>True</v>
      </c>
      <c r="L525" s="13" t="b">
        <v>1</v>
      </c>
      <c r="M525" s="9" t="b">
        <f>ISNUMBER(Sheet1!J525)</f>
        <v>1</v>
      </c>
      <c r="N525" s="13" t="str">
        <f>IF(Sheet1!B525="A","Branch A",IF(Sheet1!B525="B","Branch B","Other Branch"))</f>
        <v>Other Branch</v>
      </c>
      <c r="O525" s="13" t="str">
        <f>IF(Sheet1!M525="Credit card","Credit Payment","Other")</f>
        <v>Other</v>
      </c>
      <c r="P525" s="13" t="str">
        <f>IF(Sheet1!O525&gt;7,"Yes","No")</f>
        <v>No</v>
      </c>
    </row>
    <row r="526" spans="5:16">
      <c r="E526" s="13" t="str">
        <v>534</v>
      </c>
      <c r="F526" s="13" t="str">
        <v>4457</v>
      </c>
      <c r="G526" s="13" t="str">
        <v>01</v>
      </c>
      <c r="H526" s="13" t="str">
        <f>_xlfn.CONCAT(Sheet1!A526," --&gt; ",Sheet1!J526)</f>
        <v>534-01-4457 --&gt; 514.773</v>
      </c>
      <c r="I526" s="13" t="str">
        <f>_xlfn.CONCAT(Sheet1!C526,"_",TEXT(Sheet1!K526, "m/d/yyyy"))</f>
        <v>Yangon_1/27/2019</v>
      </c>
      <c r="J526" s="13" t="str">
        <f>IF(Sheet1!I526=Sheet1!N526*0.05,"Valid","Error")</f>
        <v>Valid</v>
      </c>
      <c r="K526" s="13" t="str">
        <f>IF(Sheet1!N526=Sheet1!G526*Sheet1!H526,"True","False")</f>
        <v>True</v>
      </c>
      <c r="L526" s="13" t="b">
        <v>1</v>
      </c>
      <c r="M526" s="9" t="b">
        <f>ISNUMBER(Sheet1!J526)</f>
        <v>1</v>
      </c>
      <c r="N526" s="13" t="str">
        <f>IF(Sheet1!B526="A","Branch A",IF(Sheet1!B526="B","Branch B","Other Branch"))</f>
        <v>Branch A</v>
      </c>
      <c r="O526" s="13" t="str">
        <f>IF(Sheet1!M526="Credit card","Credit Payment","Other")</f>
        <v>Credit Payment</v>
      </c>
      <c r="P526" s="13" t="str">
        <f>IF(Sheet1!O526&gt;7,"Yes","No")</f>
        <v>Yes</v>
      </c>
    </row>
    <row r="527" spans="5:16">
      <c r="E527" s="13" t="str">
        <v>719</v>
      </c>
      <c r="F527" s="13" t="str">
        <v>8991</v>
      </c>
      <c r="G527" s="13" t="str">
        <v>89</v>
      </c>
      <c r="H527" s="13" t="str">
        <f>_xlfn.CONCAT(Sheet1!A527," --&gt; ",Sheet1!J527)</f>
        <v>719-89-8991 --&gt; 479.9025</v>
      </c>
      <c r="I527" s="13" t="str">
        <f>_xlfn.CONCAT(Sheet1!C527,"_",TEXT(Sheet1!K527, "m/d/yyyy"))</f>
        <v>Yangon_2/25/2019</v>
      </c>
      <c r="J527" s="13" t="str">
        <f>IF(Sheet1!I527=Sheet1!N527*0.05,"Valid","Error")</f>
        <v>Valid</v>
      </c>
      <c r="K527" s="13" t="str">
        <f>IF(Sheet1!N527=Sheet1!G527*Sheet1!H527,"True","False")</f>
        <v>True</v>
      </c>
      <c r="L527" s="13" t="b">
        <v>1</v>
      </c>
      <c r="M527" s="9" t="b">
        <f>ISNUMBER(Sheet1!J527)</f>
        <v>1</v>
      </c>
      <c r="N527" s="13" t="str">
        <f>IF(Sheet1!B527="A","Branch A",IF(Sheet1!B527="B","Branch B","Other Branch"))</f>
        <v>Branch A</v>
      </c>
      <c r="O527" s="13" t="str">
        <f>IF(Sheet1!M527="Credit card","Credit Payment","Other")</f>
        <v>Other</v>
      </c>
      <c r="P527" s="13" t="str">
        <f>IF(Sheet1!O527&gt;7,"Yes","No")</f>
        <v>Yes</v>
      </c>
    </row>
    <row r="528" spans="5:16">
      <c r="E528" s="13" t="str">
        <v>286</v>
      </c>
      <c r="F528" s="13" t="str">
        <v>6248</v>
      </c>
      <c r="G528" s="13" t="str">
        <v>62</v>
      </c>
      <c r="H528" s="13" t="str">
        <f>_xlfn.CONCAT(Sheet1!A528," --&gt; ",Sheet1!J528)</f>
        <v>286-62-6248 --&gt; 164.682</v>
      </c>
      <c r="I528" s="13" t="str">
        <f>_xlfn.CONCAT(Sheet1!C528,"_",TEXT(Sheet1!K528, "m/d/yyyy"))</f>
        <v>Mandalay_1/16/2019</v>
      </c>
      <c r="J528" s="13" t="str">
        <f>IF(Sheet1!I528=Sheet1!N528*0.05,"Valid","Error")</f>
        <v>Valid</v>
      </c>
      <c r="K528" s="13" t="str">
        <f>IF(Sheet1!N528=Sheet1!G528*Sheet1!H528,"True","False")</f>
        <v>True</v>
      </c>
      <c r="L528" s="13" t="b">
        <v>1</v>
      </c>
      <c r="M528" s="9" t="b">
        <f>ISNUMBER(Sheet1!J528)</f>
        <v>1</v>
      </c>
      <c r="N528" s="13" t="str">
        <f>IF(Sheet1!B528="A","Branch A",IF(Sheet1!B528="B","Branch B","Other Branch"))</f>
        <v>Branch B</v>
      </c>
      <c r="O528" s="13" t="str">
        <f>IF(Sheet1!M528="Credit card","Credit Payment","Other")</f>
        <v>Credit Payment</v>
      </c>
      <c r="P528" s="13" t="str">
        <f>IF(Sheet1!O528&gt;7,"Yes","No")</f>
        <v>Yes</v>
      </c>
    </row>
    <row r="529" spans="5:16">
      <c r="E529" s="13" t="str">
        <v>339</v>
      </c>
      <c r="F529" s="13" t="str">
        <v>9982</v>
      </c>
      <c r="G529" s="13" t="str">
        <v>38</v>
      </c>
      <c r="H529" s="13" t="str">
        <f>_xlfn.CONCAT(Sheet1!A529," --&gt; ",Sheet1!J529)</f>
        <v>339-38-9982 --&gt; 125.706</v>
      </c>
      <c r="I529" s="13" t="str">
        <f>_xlfn.CONCAT(Sheet1!C529,"_",TEXT(Sheet1!K529, "m/d/yyyy"))</f>
        <v>Mandalay_1/13/2019</v>
      </c>
      <c r="J529" s="13" t="str">
        <f>IF(Sheet1!I529=Sheet1!N529*0.05,"Valid","Error")</f>
        <v>Valid</v>
      </c>
      <c r="K529" s="13" t="str">
        <f>IF(Sheet1!N529=Sheet1!G529*Sheet1!H529,"True","False")</f>
        <v>True</v>
      </c>
      <c r="L529" s="13" t="b">
        <v>1</v>
      </c>
      <c r="M529" s="9" t="b">
        <f>ISNUMBER(Sheet1!J529)</f>
        <v>1</v>
      </c>
      <c r="N529" s="13" t="str">
        <f>IF(Sheet1!B529="A","Branch A",IF(Sheet1!B529="B","Branch B","Other Branch"))</f>
        <v>Branch B</v>
      </c>
      <c r="O529" s="13" t="str">
        <f>IF(Sheet1!M529="Credit card","Credit Payment","Other")</f>
        <v>Other</v>
      </c>
      <c r="P529" s="13" t="str">
        <f>IF(Sheet1!O529&gt;7,"Yes","No")</f>
        <v>No</v>
      </c>
    </row>
    <row r="530" spans="5:16">
      <c r="E530" s="13" t="str">
        <v>827</v>
      </c>
      <c r="F530" s="13" t="str">
        <v>5872</v>
      </c>
      <c r="G530" s="13" t="str">
        <v>44</v>
      </c>
      <c r="H530" s="13" t="str">
        <f>_xlfn.CONCAT(Sheet1!A530," --&gt; ",Sheet1!J530)</f>
        <v>827-44-5872 --&gt; 570.78</v>
      </c>
      <c r="I530" s="13" t="str">
        <f>_xlfn.CONCAT(Sheet1!C530,"_",TEXT(Sheet1!K530, "m/d/yyyy"))</f>
        <v>Mandalay_2/7/2019</v>
      </c>
      <c r="J530" s="13" t="str">
        <f>IF(Sheet1!I530=Sheet1!N530*0.05,"Valid","Error")</f>
        <v>Valid</v>
      </c>
      <c r="K530" s="13" t="str">
        <f>IF(Sheet1!N530=Sheet1!G530*Sheet1!H530,"True","False")</f>
        <v>True</v>
      </c>
      <c r="L530" s="13" t="b">
        <v>1</v>
      </c>
      <c r="M530" s="9" t="b">
        <f>ISNUMBER(Sheet1!J530)</f>
        <v>1</v>
      </c>
      <c r="N530" s="13" t="str">
        <f>IF(Sheet1!B530="A","Branch A",IF(Sheet1!B530="B","Branch B","Other Branch"))</f>
        <v>Branch B</v>
      </c>
      <c r="O530" s="13" t="str">
        <f>IF(Sheet1!M530="Credit card","Credit Payment","Other")</f>
        <v>Credit Payment</v>
      </c>
      <c r="P530" s="13" t="str">
        <f>IF(Sheet1!O530&gt;7,"Yes","No")</f>
        <v>No</v>
      </c>
    </row>
    <row r="531" spans="5:16">
      <c r="E531" s="13" t="str">
        <v>827</v>
      </c>
      <c r="F531" s="13" t="str">
        <v>7633</v>
      </c>
      <c r="G531" s="13" t="str">
        <v>77</v>
      </c>
      <c r="H531" s="13" t="str">
        <f>_xlfn.CONCAT(Sheet1!A531," --&gt; ",Sheet1!J531)</f>
        <v>827-77-7633 --&gt; 926.9505</v>
      </c>
      <c r="I531" s="13" t="str">
        <f>_xlfn.CONCAT(Sheet1!C531,"_",TEXT(Sheet1!K531, "m/d/yyyy"))</f>
        <v>Yangon_2/17/2019</v>
      </c>
      <c r="J531" s="13" t="str">
        <f>IF(Sheet1!I531=Sheet1!N531*0.05,"Valid","Error")</f>
        <v>Valid</v>
      </c>
      <c r="K531" s="13" t="str">
        <f>IF(Sheet1!N531=Sheet1!G531*Sheet1!H531,"True","False")</f>
        <v>True</v>
      </c>
      <c r="L531" s="13" t="b">
        <v>1</v>
      </c>
      <c r="M531" s="9" t="b">
        <f>ISNUMBER(Sheet1!J531)</f>
        <v>1</v>
      </c>
      <c r="N531" s="13" t="str">
        <f>IF(Sheet1!B531="A","Branch A",IF(Sheet1!B531="B","Branch B","Other Branch"))</f>
        <v>Branch A</v>
      </c>
      <c r="O531" s="13" t="str">
        <f>IF(Sheet1!M531="Credit card","Credit Payment","Other")</f>
        <v>Other</v>
      </c>
      <c r="P531" s="13" t="str">
        <f>IF(Sheet1!O531&gt;7,"Yes","No")</f>
        <v>Yes</v>
      </c>
    </row>
    <row r="532" spans="5:16">
      <c r="E532" s="13" t="str">
        <v>287</v>
      </c>
      <c r="F532" s="13" t="str">
        <v>1405</v>
      </c>
      <c r="G532" s="13" t="str">
        <v>83</v>
      </c>
      <c r="H532" s="13" t="str">
        <f>_xlfn.CONCAT(Sheet1!A532," --&gt; ",Sheet1!J532)</f>
        <v>287-83-1405 --&gt; 160.209</v>
      </c>
      <c r="I532" s="13" t="str">
        <f>_xlfn.CONCAT(Sheet1!C532,"_",TEXT(Sheet1!K532, "m/d/yyyy"))</f>
        <v>Yangon_2/12/2019</v>
      </c>
      <c r="J532" s="13" t="str">
        <f>IF(Sheet1!I532=Sheet1!N532*0.05,"Valid","Error")</f>
        <v>Valid</v>
      </c>
      <c r="K532" s="13" t="str">
        <f>IF(Sheet1!N532=Sheet1!G532*Sheet1!H532,"True","False")</f>
        <v>True</v>
      </c>
      <c r="L532" s="13" t="b">
        <v>1</v>
      </c>
      <c r="M532" s="9" t="b">
        <f>ISNUMBER(Sheet1!J532)</f>
        <v>1</v>
      </c>
      <c r="N532" s="13" t="str">
        <f>IF(Sheet1!B532="A","Branch A",IF(Sheet1!B532="B","Branch B","Other Branch"))</f>
        <v>Branch A</v>
      </c>
      <c r="O532" s="13" t="str">
        <f>IF(Sheet1!M532="Credit card","Credit Payment","Other")</f>
        <v>Other</v>
      </c>
      <c r="P532" s="13" t="str">
        <f>IF(Sheet1!O532&gt;7,"Yes","No")</f>
        <v>No</v>
      </c>
    </row>
    <row r="533" spans="5:16">
      <c r="E533" s="13" t="str">
        <v>435</v>
      </c>
      <c r="F533" s="13" t="str">
        <v>4908</v>
      </c>
      <c r="G533" s="13" t="str">
        <v>13</v>
      </c>
      <c r="H533" s="13" t="str">
        <f>_xlfn.CONCAT(Sheet1!A533," --&gt; ",Sheet1!J533)</f>
        <v>435-13-4908 --&gt; 728.112</v>
      </c>
      <c r="I533" s="13" t="str">
        <f>_xlfn.CONCAT(Sheet1!C533,"_",TEXT(Sheet1!K533, "m/d/yyyy"))</f>
        <v>Yangon_1/24/2019</v>
      </c>
      <c r="J533" s="13" t="str">
        <f>IF(Sheet1!I533=Sheet1!N533*0.05,"Valid","Error")</f>
        <v>Valid</v>
      </c>
      <c r="K533" s="13" t="str">
        <f>IF(Sheet1!N533=Sheet1!G533*Sheet1!H533,"True","False")</f>
        <v>True</v>
      </c>
      <c r="L533" s="13" t="b">
        <v>1</v>
      </c>
      <c r="M533" s="9" t="b">
        <f>ISNUMBER(Sheet1!J533)</f>
        <v>1</v>
      </c>
      <c r="N533" s="13" t="str">
        <f>IF(Sheet1!B533="A","Branch A",IF(Sheet1!B533="B","Branch B","Other Branch"))</f>
        <v>Branch A</v>
      </c>
      <c r="O533" s="13" t="str">
        <f>IF(Sheet1!M533="Credit card","Credit Payment","Other")</f>
        <v>Credit Payment</v>
      </c>
      <c r="P533" s="13" t="str">
        <f>IF(Sheet1!O533&gt;7,"Yes","No")</f>
        <v>Yes</v>
      </c>
    </row>
    <row r="534" spans="5:16">
      <c r="E534" s="13" t="str">
        <v>857</v>
      </c>
      <c r="F534" s="13" t="str">
        <v>9057</v>
      </c>
      <c r="G534" s="13" t="str">
        <v>67</v>
      </c>
      <c r="H534" s="13" t="str">
        <f>_xlfn.CONCAT(Sheet1!A534," --&gt; ",Sheet1!J534)</f>
        <v>857-67-9057 --&gt; 240.975</v>
      </c>
      <c r="I534" s="13" t="str">
        <f>_xlfn.CONCAT(Sheet1!C534,"_",TEXT(Sheet1!K534, "m/d/yyyy"))</f>
        <v>Mandalay_2/6/2019</v>
      </c>
      <c r="J534" s="13" t="str">
        <f>IF(Sheet1!I534=Sheet1!N534*0.05,"Valid","Error")</f>
        <v>Valid</v>
      </c>
      <c r="K534" s="13" t="str">
        <f>IF(Sheet1!N534=Sheet1!G534*Sheet1!H534,"True","False")</f>
        <v>True</v>
      </c>
      <c r="L534" s="13" t="b">
        <v>1</v>
      </c>
      <c r="M534" s="9" t="b">
        <f>ISNUMBER(Sheet1!J534)</f>
        <v>1</v>
      </c>
      <c r="N534" s="13" t="str">
        <f>IF(Sheet1!B534="A","Branch A",IF(Sheet1!B534="B","Branch B","Other Branch"))</f>
        <v>Branch B</v>
      </c>
      <c r="O534" s="13" t="str">
        <f>IF(Sheet1!M534="Credit card","Credit Payment","Other")</f>
        <v>Other</v>
      </c>
      <c r="P534" s="13" t="str">
        <f>IF(Sheet1!O534&gt;7,"Yes","No")</f>
        <v>Yes</v>
      </c>
    </row>
    <row r="535" spans="5:16">
      <c r="E535" s="13" t="str">
        <v>236</v>
      </c>
      <c r="F535" s="13" t="str">
        <v>1144</v>
      </c>
      <c r="G535" s="13" t="str">
        <v>27</v>
      </c>
      <c r="H535" s="13" t="str">
        <f>_xlfn.CONCAT(Sheet1!A535," --&gt; ",Sheet1!J535)</f>
        <v>236-27-1144 --&gt; 154.1295</v>
      </c>
      <c r="I535" s="13" t="str">
        <f>_xlfn.CONCAT(Sheet1!C535,"_",TEXT(Sheet1!K535, "m/d/yyyy"))</f>
        <v>Naypyitaw_3/26/2019</v>
      </c>
      <c r="J535" s="13" t="str">
        <f>IF(Sheet1!I535=Sheet1!N535*0.05,"Valid","Error")</f>
        <v>Valid</v>
      </c>
      <c r="K535" s="13" t="str">
        <f>IF(Sheet1!N535=Sheet1!G535*Sheet1!H535,"True","False")</f>
        <v>True</v>
      </c>
      <c r="L535" s="13" t="b">
        <v>1</v>
      </c>
      <c r="M535" s="9" t="b">
        <f>ISNUMBER(Sheet1!J535)</f>
        <v>1</v>
      </c>
      <c r="N535" s="13" t="str">
        <f>IF(Sheet1!B535="A","Branch A",IF(Sheet1!B535="B","Branch B","Other Branch"))</f>
        <v>Other Branch</v>
      </c>
      <c r="O535" s="13" t="str">
        <f>IF(Sheet1!M535="Credit card","Credit Payment","Other")</f>
        <v>Other</v>
      </c>
      <c r="P535" s="13" t="str">
        <f>IF(Sheet1!O535&gt;7,"Yes","No")</f>
        <v>Yes</v>
      </c>
    </row>
    <row r="536" spans="5:16">
      <c r="E536" s="13" t="str">
        <v>892</v>
      </c>
      <c r="F536" s="13" t="str">
        <v>6689</v>
      </c>
      <c r="G536" s="13" t="str">
        <v>05</v>
      </c>
      <c r="H536" s="13" t="str">
        <f>_xlfn.CONCAT(Sheet1!A536," --&gt; ",Sheet1!J536)</f>
        <v>892-05-6689 --&gt; 148.68</v>
      </c>
      <c r="I536" s="13" t="str">
        <f>_xlfn.CONCAT(Sheet1!C536,"_",TEXT(Sheet1!K536, "m/d/yyyy"))</f>
        <v>Yangon_3/11/2019</v>
      </c>
      <c r="J536" s="13" t="str">
        <f>IF(Sheet1!I536=Sheet1!N536*0.05,"Valid","Error")</f>
        <v>Valid</v>
      </c>
      <c r="K536" s="13" t="str">
        <f>IF(Sheet1!N536=Sheet1!G536*Sheet1!H536,"True","False")</f>
        <v>True</v>
      </c>
      <c r="L536" s="13" t="b">
        <v>1</v>
      </c>
      <c r="M536" s="9" t="b">
        <f>ISNUMBER(Sheet1!J536)</f>
        <v>1</v>
      </c>
      <c r="N536" s="13" t="str">
        <f>IF(Sheet1!B536="A","Branch A",IF(Sheet1!B536="B","Branch B","Other Branch"))</f>
        <v>Branch A</v>
      </c>
      <c r="O536" s="13" t="str">
        <f>IF(Sheet1!M536="Credit card","Credit Payment","Other")</f>
        <v>Other</v>
      </c>
      <c r="P536" s="13" t="str">
        <f>IF(Sheet1!O536&gt;7,"Yes","No")</f>
        <v>No</v>
      </c>
    </row>
    <row r="537" spans="5:16">
      <c r="E537" s="13" t="str">
        <v>583</v>
      </c>
      <c r="F537" s="13" t="str">
        <v>4548</v>
      </c>
      <c r="G537" s="13" t="str">
        <v>41</v>
      </c>
      <c r="H537" s="13" t="str">
        <f>_xlfn.CONCAT(Sheet1!A537," --&gt; ",Sheet1!J537)</f>
        <v>583-41-4548 --&gt; 122.5245</v>
      </c>
      <c r="I537" s="13" t="str">
        <f>_xlfn.CONCAT(Sheet1!C537,"_",TEXT(Sheet1!K537, "m/d/yyyy"))</f>
        <v>Naypyitaw_2/7/2019</v>
      </c>
      <c r="J537" s="13" t="str">
        <f>IF(Sheet1!I537=Sheet1!N537*0.05,"Valid","Error")</f>
        <v>Valid</v>
      </c>
      <c r="K537" s="13" t="str">
        <f>IF(Sheet1!N537=Sheet1!G537*Sheet1!H537,"True","False")</f>
        <v>True</v>
      </c>
      <c r="L537" s="13" t="b">
        <v>1</v>
      </c>
      <c r="M537" s="9" t="b">
        <f>ISNUMBER(Sheet1!J537)</f>
        <v>1</v>
      </c>
      <c r="N537" s="13" t="str">
        <f>IF(Sheet1!B537="A","Branch A",IF(Sheet1!B537="B","Branch B","Other Branch"))</f>
        <v>Other Branch</v>
      </c>
      <c r="O537" s="13" t="str">
        <f>IF(Sheet1!M537="Credit card","Credit Payment","Other")</f>
        <v>Other</v>
      </c>
      <c r="P537" s="13" t="str">
        <f>IF(Sheet1!O537&gt;7,"Yes","No")</f>
        <v>Yes</v>
      </c>
    </row>
    <row r="538" spans="5:16">
      <c r="E538" s="13" t="str">
        <v>339</v>
      </c>
      <c r="F538" s="13" t="str">
        <v>4827</v>
      </c>
      <c r="G538" s="13" t="str">
        <v>12</v>
      </c>
      <c r="H538" s="13" t="str">
        <f>_xlfn.CONCAT(Sheet1!A538," --&gt; ",Sheet1!J538)</f>
        <v>339-12-4827 --&gt; 77.658</v>
      </c>
      <c r="I538" s="13" t="str">
        <f>_xlfn.CONCAT(Sheet1!C538,"_",TEXT(Sheet1!K538, "m/d/yyyy"))</f>
        <v>Mandalay_1/5/2019</v>
      </c>
      <c r="J538" s="13" t="str">
        <f>IF(Sheet1!I538=Sheet1!N538*0.05,"Valid","Error")</f>
        <v>Valid</v>
      </c>
      <c r="K538" s="13" t="str">
        <f>IF(Sheet1!N538=Sheet1!G538*Sheet1!H538,"True","False")</f>
        <v>True</v>
      </c>
      <c r="L538" s="13" t="b">
        <v>1</v>
      </c>
      <c r="M538" s="9" t="b">
        <f>ISNUMBER(Sheet1!J538)</f>
        <v>1</v>
      </c>
      <c r="N538" s="13" t="str">
        <f>IF(Sheet1!B538="A","Branch A",IF(Sheet1!B538="B","Branch B","Other Branch"))</f>
        <v>Branch B</v>
      </c>
      <c r="O538" s="13" t="str">
        <f>IF(Sheet1!M538="Credit card","Credit Payment","Other")</f>
        <v>Credit Payment</v>
      </c>
      <c r="P538" s="13" t="str">
        <f>IF(Sheet1!O538&gt;7,"Yes","No")</f>
        <v>No</v>
      </c>
    </row>
    <row r="539" spans="5:16">
      <c r="E539" s="13" t="str">
        <v>643</v>
      </c>
      <c r="F539" s="13" t="str">
        <v>7867</v>
      </c>
      <c r="G539" s="13" t="str">
        <v>38</v>
      </c>
      <c r="H539" s="13" t="str">
        <f>_xlfn.CONCAT(Sheet1!A539," --&gt; ",Sheet1!J539)</f>
        <v>643-38-7867 --&gt; 102.837</v>
      </c>
      <c r="I539" s="13" t="str">
        <f>_xlfn.CONCAT(Sheet1!C539,"_",TEXT(Sheet1!K539, "m/d/yyyy"))</f>
        <v>Yangon_3/7/2019</v>
      </c>
      <c r="J539" s="13" t="str">
        <f>IF(Sheet1!I539=Sheet1!N539*0.05,"Valid","Error")</f>
        <v>Valid</v>
      </c>
      <c r="K539" s="13" t="str">
        <f>IF(Sheet1!N539=Sheet1!G539*Sheet1!H539,"True","False")</f>
        <v>True</v>
      </c>
      <c r="L539" s="13" t="b">
        <v>1</v>
      </c>
      <c r="M539" s="9" t="b">
        <f>ISNUMBER(Sheet1!J539)</f>
        <v>1</v>
      </c>
      <c r="N539" s="13" t="str">
        <f>IF(Sheet1!B539="A","Branch A",IF(Sheet1!B539="B","Branch B","Other Branch"))</f>
        <v>Branch A</v>
      </c>
      <c r="O539" s="13" t="str">
        <f>IF(Sheet1!M539="Credit card","Credit Payment","Other")</f>
        <v>Other</v>
      </c>
      <c r="P539" s="13" t="str">
        <f>IF(Sheet1!O539&gt;7,"Yes","No")</f>
        <v>No</v>
      </c>
    </row>
    <row r="540" spans="5:16">
      <c r="E540" s="13" t="str">
        <v>308</v>
      </c>
      <c r="F540" s="13" t="str">
        <v>0538</v>
      </c>
      <c r="G540" s="13" t="str">
        <v>81</v>
      </c>
      <c r="H540" s="13" t="str">
        <f>_xlfn.CONCAT(Sheet1!A540," --&gt; ",Sheet1!J540)</f>
        <v>308-81-0538 --&gt; 306.81</v>
      </c>
      <c r="I540" s="13" t="str">
        <f>_xlfn.CONCAT(Sheet1!C540,"_",TEXT(Sheet1!K540, "m/d/yyyy"))</f>
        <v>Yangon_2/25/2019</v>
      </c>
      <c r="J540" s="13" t="str">
        <f>IF(Sheet1!I540=Sheet1!N540*0.05,"Valid","Error")</f>
        <v>Valid</v>
      </c>
      <c r="K540" s="13" t="str">
        <f>IF(Sheet1!N540=Sheet1!G540*Sheet1!H540,"True","False")</f>
        <v>True</v>
      </c>
      <c r="L540" s="13" t="b">
        <v>1</v>
      </c>
      <c r="M540" s="9" t="b">
        <f>ISNUMBER(Sheet1!J540)</f>
        <v>1</v>
      </c>
      <c r="N540" s="13" t="str">
        <f>IF(Sheet1!B540="A","Branch A",IF(Sheet1!B540="B","Branch B","Other Branch"))</f>
        <v>Branch A</v>
      </c>
      <c r="O540" s="13" t="str">
        <f>IF(Sheet1!M540="Credit card","Credit Payment","Other")</f>
        <v>Credit Payment</v>
      </c>
      <c r="P540" s="13" t="str">
        <f>IF(Sheet1!O540&gt;7,"Yes","No")</f>
        <v>No</v>
      </c>
    </row>
    <row r="541" spans="5:16">
      <c r="E541" s="13" t="str">
        <v>358</v>
      </c>
      <c r="F541" s="13" t="str">
        <v>9262</v>
      </c>
      <c r="G541" s="13" t="str">
        <v>88</v>
      </c>
      <c r="H541" s="13" t="str">
        <f>_xlfn.CONCAT(Sheet1!A541," --&gt; ",Sheet1!J541)</f>
        <v>358-88-9262 --&gt; 551.124</v>
      </c>
      <c r="I541" s="13" t="str">
        <f>_xlfn.CONCAT(Sheet1!C541,"_",TEXT(Sheet1!K541, "m/d/yyyy"))</f>
        <v>Naypyitaw_2/1/2019</v>
      </c>
      <c r="J541" s="13" t="str">
        <f>IF(Sheet1!I541=Sheet1!N541*0.05,"Valid","Error")</f>
        <v>Valid</v>
      </c>
      <c r="K541" s="13" t="str">
        <f>IF(Sheet1!N541=Sheet1!G541*Sheet1!H541,"True","False")</f>
        <v>True</v>
      </c>
      <c r="L541" s="13" t="b">
        <v>1</v>
      </c>
      <c r="M541" s="9" t="b">
        <f>ISNUMBER(Sheet1!J541)</f>
        <v>1</v>
      </c>
      <c r="N541" s="13" t="str">
        <f>IF(Sheet1!B541="A","Branch A",IF(Sheet1!B541="B","Branch B","Other Branch"))</f>
        <v>Other Branch</v>
      </c>
      <c r="O541" s="13" t="str">
        <f>IF(Sheet1!M541="Credit card","Credit Payment","Other")</f>
        <v>Other</v>
      </c>
      <c r="P541" s="13" t="str">
        <f>IF(Sheet1!O541&gt;7,"Yes","No")</f>
        <v>No</v>
      </c>
    </row>
    <row r="542" spans="5:16">
      <c r="E542" s="13" t="str">
        <v>460</v>
      </c>
      <c r="F542" s="13" t="str">
        <v>4390</v>
      </c>
      <c r="G542" s="13" t="str">
        <v>35</v>
      </c>
      <c r="H542" s="13" t="str">
        <f>_xlfn.CONCAT(Sheet1!A542," --&gt; ",Sheet1!J542)</f>
        <v>460-35-4390 --&gt; 96.642</v>
      </c>
      <c r="I542" s="13" t="str">
        <f>_xlfn.CONCAT(Sheet1!C542,"_",TEXT(Sheet1!K542, "m/d/yyyy"))</f>
        <v>Yangon_1/22/2019</v>
      </c>
      <c r="J542" s="13" t="str">
        <f>IF(Sheet1!I542=Sheet1!N542*0.05,"Valid","Error")</f>
        <v>Valid</v>
      </c>
      <c r="K542" s="13" t="str">
        <f>IF(Sheet1!N542=Sheet1!G542*Sheet1!H542,"True","False")</f>
        <v>True</v>
      </c>
      <c r="L542" s="13" t="b">
        <v>1</v>
      </c>
      <c r="M542" s="9" t="b">
        <f>ISNUMBER(Sheet1!J542)</f>
        <v>1</v>
      </c>
      <c r="N542" s="13" t="str">
        <f>IF(Sheet1!B542="A","Branch A",IF(Sheet1!B542="B","Branch B","Other Branch"))</f>
        <v>Branch A</v>
      </c>
      <c r="O542" s="13" t="str">
        <f>IF(Sheet1!M542="Credit card","Credit Payment","Other")</f>
        <v>Other</v>
      </c>
      <c r="P542" s="13" t="str">
        <f>IF(Sheet1!O542&gt;7,"Yes","No")</f>
        <v>Yes</v>
      </c>
    </row>
    <row r="543" spans="5:16">
      <c r="E543" s="13" t="str">
        <v>343</v>
      </c>
      <c r="F543" s="13" t="str">
        <v>0864</v>
      </c>
      <c r="G543" s="13" t="str">
        <v>87</v>
      </c>
      <c r="H543" s="13" t="str">
        <f>_xlfn.CONCAT(Sheet1!A543," --&gt; ",Sheet1!J543)</f>
        <v>343-87-0864 --&gt; 79.674</v>
      </c>
      <c r="I543" s="13" t="str">
        <f>_xlfn.CONCAT(Sheet1!C543,"_",TEXT(Sheet1!K543, "m/d/yyyy"))</f>
        <v>Naypyitaw_1/3/2019</v>
      </c>
      <c r="J543" s="13" t="str">
        <f>IF(Sheet1!I543=Sheet1!N543*0.05,"Valid","Error")</f>
        <v>Valid</v>
      </c>
      <c r="K543" s="13" t="str">
        <f>IF(Sheet1!N543=Sheet1!G543*Sheet1!H543,"True","False")</f>
        <v>True</v>
      </c>
      <c r="L543" s="13" t="b">
        <v>1</v>
      </c>
      <c r="M543" s="9" t="b">
        <f>ISNUMBER(Sheet1!J543)</f>
        <v>1</v>
      </c>
      <c r="N543" s="13" t="str">
        <f>IF(Sheet1!B543="A","Branch A",IF(Sheet1!B543="B","Branch B","Other Branch"))</f>
        <v>Other Branch</v>
      </c>
      <c r="O543" s="13" t="str">
        <f>IF(Sheet1!M543="Credit card","Credit Payment","Other")</f>
        <v>Credit Payment</v>
      </c>
      <c r="P543" s="13" t="str">
        <f>IF(Sheet1!O543&gt;7,"Yes","No")</f>
        <v>Yes</v>
      </c>
    </row>
    <row r="544" spans="5:16">
      <c r="E544" s="13" t="str">
        <v>173</v>
      </c>
      <c r="F544" s="13" t="str">
        <v>1108</v>
      </c>
      <c r="G544" s="13" t="str">
        <v>50</v>
      </c>
      <c r="H544" s="13" t="str">
        <f>_xlfn.CONCAT(Sheet1!A544," --&gt; ",Sheet1!J544)</f>
        <v>173-50-1108 --&gt; 84.756</v>
      </c>
      <c r="I544" s="13" t="str">
        <f>_xlfn.CONCAT(Sheet1!C544,"_",TEXT(Sheet1!K544, "m/d/yyyy"))</f>
        <v>Mandalay_2/13/2019</v>
      </c>
      <c r="J544" s="13" t="str">
        <f>IF(Sheet1!I544=Sheet1!N544*0.05,"Valid","Error")</f>
        <v>Valid</v>
      </c>
      <c r="K544" s="13" t="str">
        <f>IF(Sheet1!N544=Sheet1!G544*Sheet1!H544,"True","False")</f>
        <v>True</v>
      </c>
      <c r="L544" s="13" t="b">
        <v>1</v>
      </c>
      <c r="M544" s="9" t="b">
        <f>ISNUMBER(Sheet1!J544)</f>
        <v>1</v>
      </c>
      <c r="N544" s="13" t="str">
        <f>IF(Sheet1!B544="A","Branch A",IF(Sheet1!B544="B","Branch B","Other Branch"))</f>
        <v>Branch B</v>
      </c>
      <c r="O544" s="13" t="str">
        <f>IF(Sheet1!M544="Credit card","Credit Payment","Other")</f>
        <v>Credit Payment</v>
      </c>
      <c r="P544" s="13" t="str">
        <f>IF(Sheet1!O544&gt;7,"Yes","No")</f>
        <v>No</v>
      </c>
    </row>
    <row r="545" spans="5:16">
      <c r="E545" s="13" t="str">
        <v>243</v>
      </c>
      <c r="F545" s="13" t="str">
        <v>2663</v>
      </c>
      <c r="G545" s="13" t="str">
        <v>47</v>
      </c>
      <c r="H545" s="13" t="str">
        <f>_xlfn.CONCAT(Sheet1!A545," --&gt; ",Sheet1!J545)</f>
        <v>243-47-2663 --&gt; 118.251</v>
      </c>
      <c r="I545" s="13" t="str">
        <f>_xlfn.CONCAT(Sheet1!C545,"_",TEXT(Sheet1!K545, "m/d/yyyy"))</f>
        <v>Naypyitaw_1/28/2019</v>
      </c>
      <c r="J545" s="13" t="str">
        <f>IF(Sheet1!I545=Sheet1!N545*0.05,"Valid","Error")</f>
        <v>Valid</v>
      </c>
      <c r="K545" s="13" t="str">
        <f>IF(Sheet1!N545=Sheet1!G545*Sheet1!H545,"True","False")</f>
        <v>True</v>
      </c>
      <c r="L545" s="13" t="b">
        <v>1</v>
      </c>
      <c r="M545" s="9" t="b">
        <f>ISNUMBER(Sheet1!J545)</f>
        <v>1</v>
      </c>
      <c r="N545" s="13" t="str">
        <f>IF(Sheet1!B545="A","Branch A",IF(Sheet1!B545="B","Branch B","Other Branch"))</f>
        <v>Other Branch</v>
      </c>
      <c r="O545" s="13" t="str">
        <f>IF(Sheet1!M545="Credit card","Credit Payment","Other")</f>
        <v>Credit Payment</v>
      </c>
      <c r="P545" s="13" t="str">
        <f>IF(Sheet1!O545&gt;7,"Yes","No")</f>
        <v>No</v>
      </c>
    </row>
    <row r="546" spans="5:16">
      <c r="E546" s="13" t="str">
        <v>841</v>
      </c>
      <c r="F546" s="13" t="str">
        <v>8232</v>
      </c>
      <c r="G546" s="13" t="str">
        <v>18</v>
      </c>
      <c r="H546" s="13" t="str">
        <f>_xlfn.CONCAT(Sheet1!A546," --&gt; ",Sheet1!J546)</f>
        <v>841-18-8232 --&gt; 74.76</v>
      </c>
      <c r="I546" s="13" t="str">
        <f>_xlfn.CONCAT(Sheet1!C546,"_",TEXT(Sheet1!K546, "m/d/yyyy"))</f>
        <v>Mandalay_1/5/2019</v>
      </c>
      <c r="J546" s="13" t="str">
        <f>IF(Sheet1!I546=Sheet1!N546*0.05,"Valid","Error")</f>
        <v>Valid</v>
      </c>
      <c r="K546" s="13" t="str">
        <f>IF(Sheet1!N546=Sheet1!G546*Sheet1!H546,"True","False")</f>
        <v>True</v>
      </c>
      <c r="L546" s="13" t="b">
        <v>1</v>
      </c>
      <c r="M546" s="9" t="b">
        <f>ISNUMBER(Sheet1!J546)</f>
        <v>1</v>
      </c>
      <c r="N546" s="13" t="str">
        <f>IF(Sheet1!B546="A","Branch A",IF(Sheet1!B546="B","Branch B","Other Branch"))</f>
        <v>Branch B</v>
      </c>
      <c r="O546" s="13" t="str">
        <f>IF(Sheet1!M546="Credit card","Credit Payment","Other")</f>
        <v>Credit Payment</v>
      </c>
      <c r="P546" s="13" t="str">
        <f>IF(Sheet1!O546&gt;7,"Yes","No")</f>
        <v>Yes</v>
      </c>
    </row>
    <row r="547" spans="5:16">
      <c r="E547" s="13" t="str">
        <v>701</v>
      </c>
      <c r="F547" s="13" t="str">
        <v>5550</v>
      </c>
      <c r="G547" s="13" t="str">
        <v>23</v>
      </c>
      <c r="H547" s="13" t="str">
        <f>_xlfn.CONCAT(Sheet1!A547," --&gt; ",Sheet1!J547)</f>
        <v>701-23-5550 --&gt; 163.002</v>
      </c>
      <c r="I547" s="13" t="str">
        <f>_xlfn.CONCAT(Sheet1!C547,"_",TEXT(Sheet1!K547, "m/d/yyyy"))</f>
        <v>Mandalay_3/19/2019</v>
      </c>
      <c r="J547" s="13" t="str">
        <f>IF(Sheet1!I547=Sheet1!N547*0.05,"Valid","Error")</f>
        <v>Valid</v>
      </c>
      <c r="K547" s="13" t="str">
        <f>IF(Sheet1!N547=Sheet1!G547*Sheet1!H547,"True","False")</f>
        <v>True</v>
      </c>
      <c r="L547" s="13" t="b">
        <v>1</v>
      </c>
      <c r="M547" s="9" t="b">
        <f>ISNUMBER(Sheet1!J547)</f>
        <v>1</v>
      </c>
      <c r="N547" s="13" t="str">
        <f>IF(Sheet1!B547="A","Branch A",IF(Sheet1!B547="B","Branch B","Other Branch"))</f>
        <v>Branch B</v>
      </c>
      <c r="O547" s="13" t="str">
        <f>IF(Sheet1!M547="Credit card","Credit Payment","Other")</f>
        <v>Other</v>
      </c>
      <c r="P547" s="13" t="str">
        <f>IF(Sheet1!O547&gt;7,"Yes","No")</f>
        <v>No</v>
      </c>
    </row>
    <row r="548" spans="5:16">
      <c r="E548" s="13" t="str">
        <v>647</v>
      </c>
      <c r="F548" s="13" t="str">
        <v>1224</v>
      </c>
      <c r="G548" s="13" t="str">
        <v>50</v>
      </c>
      <c r="H548" s="13" t="str">
        <f>_xlfn.CONCAT(Sheet1!A548," --&gt; ",Sheet1!J548)</f>
        <v>647-50-1224 --&gt; 308.91</v>
      </c>
      <c r="I548" s="13" t="str">
        <f>_xlfn.CONCAT(Sheet1!C548,"_",TEXT(Sheet1!K548, "m/d/yyyy"))</f>
        <v>Yangon_1/12/2019</v>
      </c>
      <c r="J548" s="13" t="str">
        <f>IF(Sheet1!I548=Sheet1!N548*0.05,"Valid","Error")</f>
        <v>Valid</v>
      </c>
      <c r="K548" s="13" t="str">
        <f>IF(Sheet1!N548=Sheet1!G548*Sheet1!H548,"True","False")</f>
        <v>True</v>
      </c>
      <c r="L548" s="13" t="b">
        <v>1</v>
      </c>
      <c r="M548" s="9" t="b">
        <f>ISNUMBER(Sheet1!J548)</f>
        <v>1</v>
      </c>
      <c r="N548" s="13" t="str">
        <f>IF(Sheet1!B548="A","Branch A",IF(Sheet1!B548="B","Branch B","Other Branch"))</f>
        <v>Branch A</v>
      </c>
      <c r="O548" s="13" t="str">
        <f>IF(Sheet1!M548="Credit card","Credit Payment","Other")</f>
        <v>Other</v>
      </c>
      <c r="P548" s="13" t="str">
        <f>IF(Sheet1!O548&gt;7,"Yes","No")</f>
        <v>Yes</v>
      </c>
    </row>
    <row r="549" spans="5:16">
      <c r="E549" s="13" t="str">
        <v>541</v>
      </c>
      <c r="F549" s="13" t="str">
        <v>8554</v>
      </c>
      <c r="G549" s="13" t="str">
        <v>48</v>
      </c>
      <c r="H549" s="13" t="str">
        <f>_xlfn.CONCAT(Sheet1!A549," --&gt; ",Sheet1!J549)</f>
        <v>541-48-8554 --&gt; 575.9775</v>
      </c>
      <c r="I549" s="13" t="str">
        <f>_xlfn.CONCAT(Sheet1!C549,"_",TEXT(Sheet1!K549, "m/d/yyyy"))</f>
        <v>Yangon_1/7/2019</v>
      </c>
      <c r="J549" s="13" t="str">
        <f>IF(Sheet1!I549=Sheet1!N549*0.05,"Valid","Error")</f>
        <v>Valid</v>
      </c>
      <c r="K549" s="13" t="str">
        <f>IF(Sheet1!N549=Sheet1!G549*Sheet1!H549,"True","False")</f>
        <v>True</v>
      </c>
      <c r="L549" s="13" t="b">
        <v>1</v>
      </c>
      <c r="M549" s="9" t="b">
        <f>ISNUMBER(Sheet1!J549)</f>
        <v>1</v>
      </c>
      <c r="N549" s="13" t="str">
        <f>IF(Sheet1!B549="A","Branch A",IF(Sheet1!B549="B","Branch B","Other Branch"))</f>
        <v>Branch A</v>
      </c>
      <c r="O549" s="13" t="str">
        <f>IF(Sheet1!M549="Credit card","Credit Payment","Other")</f>
        <v>Credit Payment</v>
      </c>
      <c r="P549" s="13" t="str">
        <f>IF(Sheet1!O549&gt;7,"Yes","No")</f>
        <v>No</v>
      </c>
    </row>
    <row r="550" spans="5:16">
      <c r="E550" s="13" t="str">
        <v>539</v>
      </c>
      <c r="F550" s="13" t="str">
        <v>7227</v>
      </c>
      <c r="G550" s="13" t="str">
        <v>21</v>
      </c>
      <c r="H550" s="13" t="str">
        <f>_xlfn.CONCAT(Sheet1!A550," --&gt; ",Sheet1!J550)</f>
        <v>539-21-7227 --&gt; 270.585</v>
      </c>
      <c r="I550" s="13" t="str">
        <f>_xlfn.CONCAT(Sheet1!C550,"_",TEXT(Sheet1!K550, "m/d/yyyy"))</f>
        <v>Mandalay_1/26/2019</v>
      </c>
      <c r="J550" s="13" t="str">
        <f>IF(Sheet1!I550=Sheet1!N550*0.05,"Valid","Error")</f>
        <v>Valid</v>
      </c>
      <c r="K550" s="13" t="str">
        <f>IF(Sheet1!N550=Sheet1!G550*Sheet1!H550,"True","False")</f>
        <v>True</v>
      </c>
      <c r="L550" s="13" t="b">
        <v>1</v>
      </c>
      <c r="M550" s="9" t="b">
        <f>ISNUMBER(Sheet1!J550)</f>
        <v>1</v>
      </c>
      <c r="N550" s="13" t="str">
        <f>IF(Sheet1!B550="A","Branch A",IF(Sheet1!B550="B","Branch B","Other Branch"))</f>
        <v>Branch B</v>
      </c>
      <c r="O550" s="13" t="str">
        <f>IF(Sheet1!M550="Credit card","Credit Payment","Other")</f>
        <v>Other</v>
      </c>
      <c r="P550" s="13" t="str">
        <f>IF(Sheet1!O550&gt;7,"Yes","No")</f>
        <v>No</v>
      </c>
    </row>
    <row r="551" spans="5:16">
      <c r="E551" s="13" t="str">
        <v>213</v>
      </c>
      <c r="F551" s="13" t="str">
        <v>1216</v>
      </c>
      <c r="G551" s="13" t="str">
        <v>32</v>
      </c>
      <c r="H551" s="13" t="str">
        <f>_xlfn.CONCAT(Sheet1!A551," --&gt; ",Sheet1!J551)</f>
        <v>213-32-1216 --&gt; 416.178</v>
      </c>
      <c r="I551" s="13" t="str">
        <f>_xlfn.CONCAT(Sheet1!C551,"_",TEXT(Sheet1!K551, "m/d/yyyy"))</f>
        <v>Yangon_1/23/2019</v>
      </c>
      <c r="J551" s="13" t="str">
        <f>IF(Sheet1!I551=Sheet1!N551*0.05,"Valid","Error")</f>
        <v>Valid</v>
      </c>
      <c r="K551" s="13" t="str">
        <f>IF(Sheet1!N551=Sheet1!G551*Sheet1!H551,"True","False")</f>
        <v>True</v>
      </c>
      <c r="L551" s="13" t="b">
        <v>1</v>
      </c>
      <c r="M551" s="9" t="b">
        <f>ISNUMBER(Sheet1!J551)</f>
        <v>1</v>
      </c>
      <c r="N551" s="13" t="str">
        <f>IF(Sheet1!B551="A","Branch A",IF(Sheet1!B551="B","Branch B","Other Branch"))</f>
        <v>Branch A</v>
      </c>
      <c r="O551" s="13" t="str">
        <f>IF(Sheet1!M551="Credit card","Credit Payment","Other")</f>
        <v>Other</v>
      </c>
      <c r="P551" s="13" t="str">
        <f>IF(Sheet1!O551&gt;7,"Yes","No")</f>
        <v>Yes</v>
      </c>
    </row>
    <row r="552" spans="5:16">
      <c r="E552" s="13" t="str">
        <v>747</v>
      </c>
      <c r="F552" s="13" t="str">
        <v>7183</v>
      </c>
      <c r="G552" s="13" t="str">
        <v>58</v>
      </c>
      <c r="H552" s="13" t="str">
        <f>_xlfn.CONCAT(Sheet1!A552," --&gt; ",Sheet1!J552)</f>
        <v>747-58-7183 --&gt; 180.4005</v>
      </c>
      <c r="I552" s="13" t="str">
        <f>_xlfn.CONCAT(Sheet1!C552,"_",TEXT(Sheet1!K552, "m/d/yyyy"))</f>
        <v>Mandalay_2/9/2019</v>
      </c>
      <c r="J552" s="13" t="str">
        <f>IF(Sheet1!I552=Sheet1!N552*0.05,"Valid","Error")</f>
        <v>Valid</v>
      </c>
      <c r="K552" s="13" t="str">
        <f>IF(Sheet1!N552=Sheet1!G552*Sheet1!H552,"True","False")</f>
        <v>True</v>
      </c>
      <c r="L552" s="13" t="b">
        <v>1</v>
      </c>
      <c r="M552" s="9" t="b">
        <f>ISNUMBER(Sheet1!J552)</f>
        <v>1</v>
      </c>
      <c r="N552" s="13" t="str">
        <f>IF(Sheet1!B552="A","Branch A",IF(Sheet1!B552="B","Branch B","Other Branch"))</f>
        <v>Branch B</v>
      </c>
      <c r="O552" s="13" t="str">
        <f>IF(Sheet1!M552="Credit card","Credit Payment","Other")</f>
        <v>Other</v>
      </c>
      <c r="P552" s="13" t="str">
        <f>IF(Sheet1!O552&gt;7,"Yes","No")</f>
        <v>No</v>
      </c>
    </row>
    <row r="553" spans="5:16">
      <c r="E553" s="13" t="str">
        <v>582</v>
      </c>
      <c r="F553" s="13" t="str">
        <v>8065</v>
      </c>
      <c r="G553" s="13" t="str">
        <v>52</v>
      </c>
      <c r="H553" s="13" t="str">
        <f>_xlfn.CONCAT(Sheet1!A553," --&gt; ",Sheet1!J553)</f>
        <v>582-52-8065 --&gt; 513.2295</v>
      </c>
      <c r="I553" s="13" t="str">
        <f>_xlfn.CONCAT(Sheet1!C553,"_",TEXT(Sheet1!K553, "m/d/yyyy"))</f>
        <v>Mandalay_2/22/2019</v>
      </c>
      <c r="J553" s="13" t="str">
        <f>IF(Sheet1!I553=Sheet1!N553*0.05,"Valid","Error")</f>
        <v>Valid</v>
      </c>
      <c r="K553" s="13" t="str">
        <f>IF(Sheet1!N553=Sheet1!G553*Sheet1!H553,"True","False")</f>
        <v>True</v>
      </c>
      <c r="L553" s="13" t="b">
        <v>1</v>
      </c>
      <c r="M553" s="9" t="b">
        <f>ISNUMBER(Sheet1!J553)</f>
        <v>1</v>
      </c>
      <c r="N553" s="13" t="str">
        <f>IF(Sheet1!B553="A","Branch A",IF(Sheet1!B553="B","Branch B","Other Branch"))</f>
        <v>Branch B</v>
      </c>
      <c r="O553" s="13" t="str">
        <f>IF(Sheet1!M553="Credit card","Credit Payment","Other")</f>
        <v>Other</v>
      </c>
      <c r="P553" s="13" t="str">
        <f>IF(Sheet1!O553&gt;7,"Yes","No")</f>
        <v>Yes</v>
      </c>
    </row>
    <row r="554" spans="5:16">
      <c r="E554" s="13" t="str">
        <v>210</v>
      </c>
      <c r="F554" s="13" t="str">
        <v>1719</v>
      </c>
      <c r="G554" s="13" t="str">
        <v>57</v>
      </c>
      <c r="H554" s="13" t="str">
        <f>_xlfn.CONCAT(Sheet1!A554," --&gt; ",Sheet1!J554)</f>
        <v>210-57-1719 --&gt; 550.368</v>
      </c>
      <c r="I554" s="13" t="str">
        <f>_xlfn.CONCAT(Sheet1!C554,"_",TEXT(Sheet1!K554, "m/d/yyyy"))</f>
        <v>Mandalay_2/5/2019</v>
      </c>
      <c r="J554" s="13" t="str">
        <f>IF(Sheet1!I554=Sheet1!N554*0.05,"Valid","Error")</f>
        <v>Valid</v>
      </c>
      <c r="K554" s="13" t="str">
        <f>IF(Sheet1!N554=Sheet1!G554*Sheet1!H554,"True","False")</f>
        <v>True</v>
      </c>
      <c r="L554" s="13" t="b">
        <v>1</v>
      </c>
      <c r="M554" s="9" t="b">
        <f>ISNUMBER(Sheet1!J554)</f>
        <v>1</v>
      </c>
      <c r="N554" s="13" t="str">
        <f>IF(Sheet1!B554="A","Branch A",IF(Sheet1!B554="B","Branch B","Other Branch"))</f>
        <v>Branch B</v>
      </c>
      <c r="O554" s="13" t="str">
        <f>IF(Sheet1!M554="Credit card","Credit Payment","Other")</f>
        <v>Other</v>
      </c>
      <c r="P554" s="13" t="str">
        <f>IF(Sheet1!O554&gt;7,"Yes","No")</f>
        <v>Yes</v>
      </c>
    </row>
    <row r="555" spans="5:16">
      <c r="E555" s="13" t="str">
        <v>399</v>
      </c>
      <c r="F555" s="13" t="str">
        <v>4630</v>
      </c>
      <c r="G555" s="13" t="str">
        <v>69</v>
      </c>
      <c r="H555" s="13" t="str">
        <f>_xlfn.CONCAT(Sheet1!A555," --&gt; ",Sheet1!J555)</f>
        <v>399-69-4630 --&gt; 139.923</v>
      </c>
      <c r="I555" s="13" t="str">
        <f>_xlfn.CONCAT(Sheet1!C555,"_",TEXT(Sheet1!K555, "m/d/yyyy"))</f>
        <v>Naypyitaw_3/7/2019</v>
      </c>
      <c r="J555" s="13" t="str">
        <f>IF(Sheet1!I555=Sheet1!N555*0.05,"Valid","Error")</f>
        <v>Valid</v>
      </c>
      <c r="K555" s="13" t="str">
        <f>IF(Sheet1!N555=Sheet1!G555*Sheet1!H555,"True","False")</f>
        <v>True</v>
      </c>
      <c r="L555" s="13" t="b">
        <v>1</v>
      </c>
      <c r="M555" s="9" t="b">
        <f>ISNUMBER(Sheet1!J555)</f>
        <v>1</v>
      </c>
      <c r="N555" s="13" t="str">
        <f>IF(Sheet1!B555="A","Branch A",IF(Sheet1!B555="B","Branch B","Other Branch"))</f>
        <v>Other Branch</v>
      </c>
      <c r="O555" s="13" t="str">
        <f>IF(Sheet1!M555="Credit card","Credit Payment","Other")</f>
        <v>Credit Payment</v>
      </c>
      <c r="P555" s="13" t="str">
        <f>IF(Sheet1!O555&gt;7,"Yes","No")</f>
        <v>Yes</v>
      </c>
    </row>
    <row r="556" spans="5:16">
      <c r="E556" s="13" t="str">
        <v>134</v>
      </c>
      <c r="F556" s="13" t="str">
        <v>2619</v>
      </c>
      <c r="G556" s="13" t="str">
        <v>75</v>
      </c>
      <c r="H556" s="13" t="str">
        <f>_xlfn.CONCAT(Sheet1!A556," --&gt; ",Sheet1!J556)</f>
        <v>134-75-2619 --&gt; 142.002</v>
      </c>
      <c r="I556" s="13" t="str">
        <f>_xlfn.CONCAT(Sheet1!C556,"_",TEXT(Sheet1!K556, "m/d/yyyy"))</f>
        <v>Yangon_3/25/2019</v>
      </c>
      <c r="J556" s="13" t="str">
        <f>IF(Sheet1!I556=Sheet1!N556*0.05,"Valid","Error")</f>
        <v>Valid</v>
      </c>
      <c r="K556" s="13" t="str">
        <f>IF(Sheet1!N556=Sheet1!G556*Sheet1!H556,"True","False")</f>
        <v>True</v>
      </c>
      <c r="L556" s="13" t="b">
        <v>1</v>
      </c>
      <c r="M556" s="9" t="b">
        <f>ISNUMBER(Sheet1!J556)</f>
        <v>1</v>
      </c>
      <c r="N556" s="13" t="str">
        <f>IF(Sheet1!B556="A","Branch A",IF(Sheet1!B556="B","Branch B","Other Branch"))</f>
        <v>Branch A</v>
      </c>
      <c r="O556" s="13" t="str">
        <f>IF(Sheet1!M556="Credit card","Credit Payment","Other")</f>
        <v>Other</v>
      </c>
      <c r="P556" s="13" t="str">
        <f>IF(Sheet1!O556&gt;7,"Yes","No")</f>
        <v>No</v>
      </c>
    </row>
    <row r="557" spans="5:16">
      <c r="E557" s="13" t="str">
        <v>356</v>
      </c>
      <c r="F557" s="13" t="str">
        <v>8813</v>
      </c>
      <c r="G557" s="13" t="str">
        <v>44</v>
      </c>
      <c r="H557" s="13" t="str">
        <f>_xlfn.CONCAT(Sheet1!A557," --&gt; ",Sheet1!J557)</f>
        <v>356-44-8813 --&gt; 118.062</v>
      </c>
      <c r="I557" s="13" t="str">
        <f>_xlfn.CONCAT(Sheet1!C557,"_",TEXT(Sheet1!K557, "m/d/yyyy"))</f>
        <v>Mandalay_1/20/2019</v>
      </c>
      <c r="J557" s="13" t="str">
        <f>IF(Sheet1!I557=Sheet1!N557*0.05,"Valid","Error")</f>
        <v>Valid</v>
      </c>
      <c r="K557" s="13" t="str">
        <f>IF(Sheet1!N557=Sheet1!G557*Sheet1!H557,"True","False")</f>
        <v>True</v>
      </c>
      <c r="L557" s="13" t="b">
        <v>1</v>
      </c>
      <c r="M557" s="9" t="b">
        <f>ISNUMBER(Sheet1!J557)</f>
        <v>1</v>
      </c>
      <c r="N557" s="13" t="str">
        <f>IF(Sheet1!B557="A","Branch A",IF(Sheet1!B557="B","Branch B","Other Branch"))</f>
        <v>Branch B</v>
      </c>
      <c r="O557" s="13" t="str">
        <f>IF(Sheet1!M557="Credit card","Credit Payment","Other")</f>
        <v>Credit Payment</v>
      </c>
      <c r="P557" s="13" t="str">
        <f>IF(Sheet1!O557&gt;7,"Yes","No")</f>
        <v>Yes</v>
      </c>
    </row>
    <row r="558" spans="5:16">
      <c r="E558" s="13" t="str">
        <v>198</v>
      </c>
      <c r="F558" s="13" t="str">
        <v>9832</v>
      </c>
      <c r="G558" s="13" t="str">
        <v>66</v>
      </c>
      <c r="H558" s="13" t="str">
        <f>_xlfn.CONCAT(Sheet1!A558," --&gt; ",Sheet1!J558)</f>
        <v>198-66-9832 --&gt; 151.284</v>
      </c>
      <c r="I558" s="13" t="str">
        <f>_xlfn.CONCAT(Sheet1!C558,"_",TEXT(Sheet1!K558, "m/d/yyyy"))</f>
        <v>Mandalay_2/4/2019</v>
      </c>
      <c r="J558" s="13" t="str">
        <f>IF(Sheet1!I558=Sheet1!N558*0.05,"Valid","Error")</f>
        <v>Valid</v>
      </c>
      <c r="K558" s="13" t="str">
        <f>IF(Sheet1!N558=Sheet1!G558*Sheet1!H558,"True","False")</f>
        <v>True</v>
      </c>
      <c r="L558" s="13" t="b">
        <v>1</v>
      </c>
      <c r="M558" s="9" t="b">
        <f>ISNUMBER(Sheet1!J558)</f>
        <v>1</v>
      </c>
      <c r="N558" s="13" t="str">
        <f>IF(Sheet1!B558="A","Branch A",IF(Sheet1!B558="B","Branch B","Other Branch"))</f>
        <v>Branch B</v>
      </c>
      <c r="O558" s="13" t="str">
        <f>IF(Sheet1!M558="Credit card","Credit Payment","Other")</f>
        <v>Other</v>
      </c>
      <c r="P558" s="13" t="str">
        <f>IF(Sheet1!O558&gt;7,"Yes","No")</f>
        <v>Yes</v>
      </c>
    </row>
    <row r="559" spans="5:16">
      <c r="E559" s="13" t="str">
        <v>283</v>
      </c>
      <c r="F559" s="13" t="str">
        <v>5248</v>
      </c>
      <c r="G559" s="13" t="str">
        <v>26</v>
      </c>
      <c r="H559" s="13" t="str">
        <f>_xlfn.CONCAT(Sheet1!A559," --&gt; ",Sheet1!J559)</f>
        <v>283-26-5248 --&gt; 1034.46</v>
      </c>
      <c r="I559" s="13" t="str">
        <f>_xlfn.CONCAT(Sheet1!C559,"_",TEXT(Sheet1!K559, "m/d/yyyy"))</f>
        <v>Naypyitaw_1/30/2019</v>
      </c>
      <c r="J559" s="13" t="str">
        <f>IF(Sheet1!I559=Sheet1!N559*0.05,"Valid","Error")</f>
        <v>Valid</v>
      </c>
      <c r="K559" s="13" t="str">
        <f>IF(Sheet1!N559=Sheet1!G559*Sheet1!H559,"True","False")</f>
        <v>True</v>
      </c>
      <c r="L559" s="13" t="b">
        <v>1</v>
      </c>
      <c r="M559" s="9" t="b">
        <f>ISNUMBER(Sheet1!J559)</f>
        <v>1</v>
      </c>
      <c r="N559" s="13" t="str">
        <f>IF(Sheet1!B559="A","Branch A",IF(Sheet1!B559="B","Branch B","Other Branch"))</f>
        <v>Other Branch</v>
      </c>
      <c r="O559" s="13" t="str">
        <f>IF(Sheet1!M559="Credit card","Credit Payment","Other")</f>
        <v>Other</v>
      </c>
      <c r="P559" s="13" t="str">
        <f>IF(Sheet1!O559&gt;7,"Yes","No")</f>
        <v>No</v>
      </c>
    </row>
    <row r="560" spans="5:16">
      <c r="E560" s="13" t="str">
        <v>712</v>
      </c>
      <c r="F560" s="13" t="str">
        <v>0363</v>
      </c>
      <c r="G560" s="13" t="str">
        <v>39</v>
      </c>
      <c r="H560" s="13" t="str">
        <f>_xlfn.CONCAT(Sheet1!A560," --&gt; ",Sheet1!J560)</f>
        <v>712-39-0363 --&gt; 262.458</v>
      </c>
      <c r="I560" s="13" t="str">
        <f>_xlfn.CONCAT(Sheet1!C560,"_",TEXT(Sheet1!K560, "m/d/yyyy"))</f>
        <v>Yangon_1/2/2019</v>
      </c>
      <c r="J560" s="13" t="str">
        <f>IF(Sheet1!I560=Sheet1!N560*0.05,"Valid","Error")</f>
        <v>Valid</v>
      </c>
      <c r="K560" s="13" t="str">
        <f>IF(Sheet1!N560=Sheet1!G560*Sheet1!H560,"True","False")</f>
        <v>True</v>
      </c>
      <c r="L560" s="13" t="b">
        <v>1</v>
      </c>
      <c r="M560" s="9" t="b">
        <f>ISNUMBER(Sheet1!J560)</f>
        <v>1</v>
      </c>
      <c r="N560" s="13" t="str">
        <f>IF(Sheet1!B560="A","Branch A",IF(Sheet1!B560="B","Branch B","Other Branch"))</f>
        <v>Branch A</v>
      </c>
      <c r="O560" s="13" t="str">
        <f>IF(Sheet1!M560="Credit card","Credit Payment","Other")</f>
        <v>Other</v>
      </c>
      <c r="P560" s="13" t="str">
        <f>IF(Sheet1!O560&gt;7,"Yes","No")</f>
        <v>No</v>
      </c>
    </row>
    <row r="561" spans="5:16">
      <c r="E561" s="13" t="str">
        <v>218</v>
      </c>
      <c r="F561" s="13" t="str">
        <v>9410</v>
      </c>
      <c r="G561" s="13" t="str">
        <v>59</v>
      </c>
      <c r="H561" s="13" t="str">
        <f>_xlfn.CONCAT(Sheet1!A561," --&gt; ",Sheet1!J561)</f>
        <v>218-59-9410 --&gt; 228.123</v>
      </c>
      <c r="I561" s="13" t="str">
        <f>_xlfn.CONCAT(Sheet1!C561,"_",TEXT(Sheet1!K561, "m/d/yyyy"))</f>
        <v>Yangon_3/29/2019</v>
      </c>
      <c r="J561" s="13" t="str">
        <f>IF(Sheet1!I561=Sheet1!N561*0.05,"Valid","Error")</f>
        <v>Valid</v>
      </c>
      <c r="K561" s="13" t="str">
        <f>IF(Sheet1!N561=Sheet1!G561*Sheet1!H561,"True","False")</f>
        <v>True</v>
      </c>
      <c r="L561" s="13" t="b">
        <v>1</v>
      </c>
      <c r="M561" s="9" t="b">
        <f>ISNUMBER(Sheet1!J561)</f>
        <v>1</v>
      </c>
      <c r="N561" s="13" t="str">
        <f>IF(Sheet1!B561="A","Branch A",IF(Sheet1!B561="B","Branch B","Other Branch"))</f>
        <v>Branch A</v>
      </c>
      <c r="O561" s="13" t="str">
        <f>IF(Sheet1!M561="Credit card","Credit Payment","Other")</f>
        <v>Other</v>
      </c>
      <c r="P561" s="13" t="str">
        <f>IF(Sheet1!O561&gt;7,"Yes","No")</f>
        <v>Yes</v>
      </c>
    </row>
    <row r="562" spans="5:16">
      <c r="E562" s="13" t="str">
        <v>174</v>
      </c>
      <c r="F562" s="13" t="str">
        <v>0888</v>
      </c>
      <c r="G562" s="13" t="str">
        <v>75</v>
      </c>
      <c r="H562" s="13" t="str">
        <f>_xlfn.CONCAT(Sheet1!A562," --&gt; ",Sheet1!J562)</f>
        <v>174-75-0888 --&gt; 203.931</v>
      </c>
      <c r="I562" s="13" t="str">
        <f>_xlfn.CONCAT(Sheet1!C562,"_",TEXT(Sheet1!K562, "m/d/yyyy"))</f>
        <v>Mandalay_3/14/2019</v>
      </c>
      <c r="J562" s="13" t="str">
        <f>IF(Sheet1!I562=Sheet1!N562*0.05,"Valid","Error")</f>
        <v>Valid</v>
      </c>
      <c r="K562" s="13" t="str">
        <f>IF(Sheet1!N562=Sheet1!G562*Sheet1!H562,"True","False")</f>
        <v>True</v>
      </c>
      <c r="L562" s="13" t="b">
        <v>1</v>
      </c>
      <c r="M562" s="9" t="b">
        <f>ISNUMBER(Sheet1!J562)</f>
        <v>1</v>
      </c>
      <c r="N562" s="13" t="str">
        <f>IF(Sheet1!B562="A","Branch A",IF(Sheet1!B562="B","Branch B","Other Branch"))</f>
        <v>Branch B</v>
      </c>
      <c r="O562" s="13" t="str">
        <f>IF(Sheet1!M562="Credit card","Credit Payment","Other")</f>
        <v>Other</v>
      </c>
      <c r="P562" s="13" t="str">
        <f>IF(Sheet1!O562&gt;7,"Yes","No")</f>
        <v>Yes</v>
      </c>
    </row>
    <row r="563" spans="5:16">
      <c r="E563" s="13" t="str">
        <v>866</v>
      </c>
      <c r="F563" s="13" t="str">
        <v>7614</v>
      </c>
      <c r="G563" s="13" t="str">
        <v>99</v>
      </c>
      <c r="H563" s="13" t="str">
        <f>_xlfn.CONCAT(Sheet1!A563," --&gt; ",Sheet1!J563)</f>
        <v>866-99-7614 --&gt; 936.6</v>
      </c>
      <c r="I563" s="13" t="str">
        <f>_xlfn.CONCAT(Sheet1!C563,"_",TEXT(Sheet1!K563, "m/d/yyyy"))</f>
        <v>Naypyitaw_2/11/2019</v>
      </c>
      <c r="J563" s="13" t="str">
        <f>IF(Sheet1!I563=Sheet1!N563*0.05,"Valid","Error")</f>
        <v>Valid</v>
      </c>
      <c r="K563" s="13" t="str">
        <f>IF(Sheet1!N563=Sheet1!G563*Sheet1!H563,"True","False")</f>
        <v>True</v>
      </c>
      <c r="L563" s="13" t="b">
        <v>1</v>
      </c>
      <c r="M563" s="9" t="b">
        <f>ISNUMBER(Sheet1!J563)</f>
        <v>1</v>
      </c>
      <c r="N563" s="13" t="str">
        <f>IF(Sheet1!B563="A","Branch A",IF(Sheet1!B563="B","Branch B","Other Branch"))</f>
        <v>Other Branch</v>
      </c>
      <c r="O563" s="13" t="str">
        <f>IF(Sheet1!M563="Credit card","Credit Payment","Other")</f>
        <v>Credit Payment</v>
      </c>
      <c r="P563" s="13" t="str">
        <f>IF(Sheet1!O563&gt;7,"Yes","No")</f>
        <v>No</v>
      </c>
    </row>
    <row r="564" spans="5:16">
      <c r="E564" s="13" t="str">
        <v>134</v>
      </c>
      <c r="F564" s="13" t="str">
        <v>4720</v>
      </c>
      <c r="G564" s="13" t="str">
        <v>54</v>
      </c>
      <c r="H564" s="13" t="str">
        <f>_xlfn.CONCAT(Sheet1!A564," --&gt; ",Sheet1!J564)</f>
        <v>134-54-4720 --&gt; 356.328</v>
      </c>
      <c r="I564" s="13" t="str">
        <f>_xlfn.CONCAT(Sheet1!C564,"_",TEXT(Sheet1!K564, "m/d/yyyy"))</f>
        <v>Mandalay_1/30/2019</v>
      </c>
      <c r="J564" s="13" t="str">
        <f>IF(Sheet1!I564=Sheet1!N564*0.05,"Valid","Error")</f>
        <v>Valid</v>
      </c>
      <c r="K564" s="13" t="str">
        <f>IF(Sheet1!N564=Sheet1!G564*Sheet1!H564,"True","False")</f>
        <v>True</v>
      </c>
      <c r="L564" s="13" t="b">
        <v>1</v>
      </c>
      <c r="M564" s="9" t="b">
        <f>ISNUMBER(Sheet1!J564)</f>
        <v>1</v>
      </c>
      <c r="N564" s="13" t="str">
        <f>IF(Sheet1!B564="A","Branch A",IF(Sheet1!B564="B","Branch B","Other Branch"))</f>
        <v>Branch B</v>
      </c>
      <c r="O564" s="13" t="str">
        <f>IF(Sheet1!M564="Credit card","Credit Payment","Other")</f>
        <v>Other</v>
      </c>
      <c r="P564" s="13" t="str">
        <f>IF(Sheet1!O564&gt;7,"Yes","No")</f>
        <v>No</v>
      </c>
    </row>
    <row r="565" spans="5:16">
      <c r="E565" s="13" t="str">
        <v>760</v>
      </c>
      <c r="F565" s="13" t="str">
        <v>2357</v>
      </c>
      <c r="G565" s="13" t="str">
        <v>90</v>
      </c>
      <c r="H565" s="13" t="str">
        <f>_xlfn.CONCAT(Sheet1!A565," --&gt; ",Sheet1!J565)</f>
        <v>760-90-2357 --&gt; 469.413</v>
      </c>
      <c r="I565" s="13" t="str">
        <f>_xlfn.CONCAT(Sheet1!C565,"_",TEXT(Sheet1!K565, "m/d/yyyy"))</f>
        <v>Yangon_3/20/2019</v>
      </c>
      <c r="J565" s="13" t="str">
        <f>IF(Sheet1!I565=Sheet1!N565*0.05,"Valid","Error")</f>
        <v>Valid</v>
      </c>
      <c r="K565" s="13" t="str">
        <f>IF(Sheet1!N565=Sheet1!G565*Sheet1!H565,"True","False")</f>
        <v>True</v>
      </c>
      <c r="L565" s="13" t="b">
        <v>1</v>
      </c>
      <c r="M565" s="9" t="b">
        <f>ISNUMBER(Sheet1!J565)</f>
        <v>1</v>
      </c>
      <c r="N565" s="13" t="str">
        <f>IF(Sheet1!B565="A","Branch A",IF(Sheet1!B565="B","Branch B","Other Branch"))</f>
        <v>Branch A</v>
      </c>
      <c r="O565" s="13" t="str">
        <f>IF(Sheet1!M565="Credit card","Credit Payment","Other")</f>
        <v>Other</v>
      </c>
      <c r="P565" s="13" t="str">
        <f>IF(Sheet1!O565&gt;7,"Yes","No")</f>
        <v>No</v>
      </c>
    </row>
    <row r="566" spans="5:16">
      <c r="E566" s="13" t="str">
        <v>514</v>
      </c>
      <c r="F566" s="13" t="str">
        <v>2845</v>
      </c>
      <c r="G566" s="13" t="str">
        <v>37</v>
      </c>
      <c r="H566" s="13" t="str">
        <f>_xlfn.CONCAT(Sheet1!A566," --&gt; ",Sheet1!J566)</f>
        <v>514-37-2845 --&gt; 208.425</v>
      </c>
      <c r="I566" s="13" t="str">
        <f>_xlfn.CONCAT(Sheet1!C566,"_",TEXT(Sheet1!K566, "m/d/yyyy"))</f>
        <v>Mandalay_3/20/2019</v>
      </c>
      <c r="J566" s="13" t="str">
        <f>IF(Sheet1!I566=Sheet1!N566*0.05,"Valid","Error")</f>
        <v>Valid</v>
      </c>
      <c r="K566" s="13" t="str">
        <f>IF(Sheet1!N566=Sheet1!G566*Sheet1!H566,"True","False")</f>
        <v>True</v>
      </c>
      <c r="L566" s="13" t="b">
        <v>1</v>
      </c>
      <c r="M566" s="9" t="b">
        <f>ISNUMBER(Sheet1!J566)</f>
        <v>1</v>
      </c>
      <c r="N566" s="13" t="str">
        <f>IF(Sheet1!B566="A","Branch A",IF(Sheet1!B566="B","Branch B","Other Branch"))</f>
        <v>Branch B</v>
      </c>
      <c r="O566" s="13" t="str">
        <f>IF(Sheet1!M566="Credit card","Credit Payment","Other")</f>
        <v>Other</v>
      </c>
      <c r="P566" s="13" t="str">
        <f>IF(Sheet1!O566&gt;7,"Yes","No")</f>
        <v>Yes</v>
      </c>
    </row>
    <row r="567" spans="5:16">
      <c r="E567" s="13" t="str">
        <v>698</v>
      </c>
      <c r="F567" s="13" t="str">
        <v>5964</v>
      </c>
      <c r="G567" s="13" t="str">
        <v>98</v>
      </c>
      <c r="H567" s="13" t="str">
        <f>_xlfn.CONCAT(Sheet1!A567," --&gt; ",Sheet1!J567)</f>
        <v>698-98-5964 --&gt; 852.705</v>
      </c>
      <c r="I567" s="13" t="str">
        <f>_xlfn.CONCAT(Sheet1!C567,"_",TEXT(Sheet1!K567, "m/d/yyyy"))</f>
        <v>Yangon_1/17/2019</v>
      </c>
      <c r="J567" s="13" t="str">
        <f>IF(Sheet1!I567=Sheet1!N567*0.05,"Valid","Error")</f>
        <v>Valid</v>
      </c>
      <c r="K567" s="13" t="str">
        <f>IF(Sheet1!N567=Sheet1!G567*Sheet1!H567,"True","False")</f>
        <v>True</v>
      </c>
      <c r="L567" s="13" t="b">
        <v>1</v>
      </c>
      <c r="M567" s="9" t="b">
        <f>ISNUMBER(Sheet1!J567)</f>
        <v>1</v>
      </c>
      <c r="N567" s="13" t="str">
        <f>IF(Sheet1!B567="A","Branch A",IF(Sheet1!B567="B","Branch B","Other Branch"))</f>
        <v>Branch A</v>
      </c>
      <c r="O567" s="13" t="str">
        <f>IF(Sheet1!M567="Credit card","Credit Payment","Other")</f>
        <v>Credit Payment</v>
      </c>
      <c r="P567" s="13" t="str">
        <f>IF(Sheet1!O567&gt;7,"Yes","No")</f>
        <v>No</v>
      </c>
    </row>
    <row r="568" spans="5:16">
      <c r="E568" s="13" t="str">
        <v>718</v>
      </c>
      <c r="F568" s="13" t="str">
        <v>9773</v>
      </c>
      <c r="G568" s="13" t="str">
        <v>57</v>
      </c>
      <c r="H568" s="13" t="str">
        <f>_xlfn.CONCAT(Sheet1!A568," --&gt; ",Sheet1!J568)</f>
        <v>718-57-9773 --&gt; 517.965</v>
      </c>
      <c r="I568" s="13" t="str">
        <f>_xlfn.CONCAT(Sheet1!C568,"_",TEXT(Sheet1!K568, "m/d/yyyy"))</f>
        <v>Naypyitaw_2/3/2019</v>
      </c>
      <c r="J568" s="13" t="str">
        <f>IF(Sheet1!I568=Sheet1!N568*0.05,"Valid","Error")</f>
        <v>Valid</v>
      </c>
      <c r="K568" s="13" t="str">
        <f>IF(Sheet1!N568=Sheet1!G568*Sheet1!H568,"True","False")</f>
        <v>True</v>
      </c>
      <c r="L568" s="13" t="b">
        <v>1</v>
      </c>
      <c r="M568" s="9" t="b">
        <f>ISNUMBER(Sheet1!J568)</f>
        <v>1</v>
      </c>
      <c r="N568" s="13" t="str">
        <f>IF(Sheet1!B568="A","Branch A",IF(Sheet1!B568="B","Branch B","Other Branch"))</f>
        <v>Other Branch</v>
      </c>
      <c r="O568" s="13" t="str">
        <f>IF(Sheet1!M568="Credit card","Credit Payment","Other")</f>
        <v>Credit Payment</v>
      </c>
      <c r="P568" s="13" t="str">
        <f>IF(Sheet1!O568&gt;7,"Yes","No")</f>
        <v>Yes</v>
      </c>
    </row>
    <row r="569" spans="5:16">
      <c r="E569" s="13" t="str">
        <v>651</v>
      </c>
      <c r="F569" s="13" t="str">
        <v>7328</v>
      </c>
      <c r="G569" s="13" t="str">
        <v>88</v>
      </c>
      <c r="H569" s="13" t="str">
        <f>_xlfn.CONCAT(Sheet1!A569," --&gt; ",Sheet1!J569)</f>
        <v>651-88-7328 --&gt; 621.243</v>
      </c>
      <c r="I569" s="13" t="str">
        <f>_xlfn.CONCAT(Sheet1!C569,"_",TEXT(Sheet1!K569, "m/d/yyyy"))</f>
        <v>Yangon_1/1/2019</v>
      </c>
      <c r="J569" s="13" t="str">
        <f>IF(Sheet1!I569=Sheet1!N569*0.05,"Valid","Error")</f>
        <v>Valid</v>
      </c>
      <c r="K569" s="13" t="str">
        <f>IF(Sheet1!N569=Sheet1!G569*Sheet1!H569,"True","False")</f>
        <v>True</v>
      </c>
      <c r="L569" s="13" t="b">
        <v>1</v>
      </c>
      <c r="M569" s="9" t="b">
        <f>ISNUMBER(Sheet1!J569)</f>
        <v>1</v>
      </c>
      <c r="N569" s="13" t="str">
        <f>IF(Sheet1!B569="A","Branch A",IF(Sheet1!B569="B","Branch B","Other Branch"))</f>
        <v>Branch A</v>
      </c>
      <c r="O569" s="13" t="str">
        <f>IF(Sheet1!M569="Credit card","Credit Payment","Other")</f>
        <v>Other</v>
      </c>
      <c r="P569" s="13" t="str">
        <f>IF(Sheet1!O569&gt;7,"Yes","No")</f>
        <v>Yes</v>
      </c>
    </row>
    <row r="570" spans="5:16">
      <c r="E570" s="13" t="str">
        <v>241</v>
      </c>
      <c r="F570" s="13" t="str">
        <v>2261</v>
      </c>
      <c r="G570" s="13" t="str">
        <v>11</v>
      </c>
      <c r="H570" s="13" t="str">
        <f>_xlfn.CONCAT(Sheet1!A570," --&gt; ",Sheet1!J570)</f>
        <v>241-11-2261 --&gt; 586.971</v>
      </c>
      <c r="I570" s="13" t="str">
        <f>_xlfn.CONCAT(Sheet1!C570,"_",TEXT(Sheet1!K570, "m/d/yyyy"))</f>
        <v>Mandalay_1/10/2019</v>
      </c>
      <c r="J570" s="13" t="str">
        <f>IF(Sheet1!I570=Sheet1!N570*0.05,"Valid","Error")</f>
        <v>Valid</v>
      </c>
      <c r="K570" s="13" t="str">
        <f>IF(Sheet1!N570=Sheet1!G570*Sheet1!H570,"True","False")</f>
        <v>True</v>
      </c>
      <c r="L570" s="13" t="b">
        <v>1</v>
      </c>
      <c r="M570" s="9" t="b">
        <f>ISNUMBER(Sheet1!J570)</f>
        <v>1</v>
      </c>
      <c r="N570" s="13" t="str">
        <f>IF(Sheet1!B570="A","Branch A",IF(Sheet1!B570="B","Branch B","Other Branch"))</f>
        <v>Branch B</v>
      </c>
      <c r="O570" s="13" t="str">
        <f>IF(Sheet1!M570="Credit card","Credit Payment","Other")</f>
        <v>Credit Payment</v>
      </c>
      <c r="P570" s="13" t="str">
        <f>IF(Sheet1!O570&gt;7,"Yes","No")</f>
        <v>No</v>
      </c>
    </row>
    <row r="571" spans="5:16">
      <c r="E571" s="13" t="str">
        <v>408</v>
      </c>
      <c r="F571" s="13" t="str">
        <v>9866</v>
      </c>
      <c r="G571" s="13" t="str">
        <v>26</v>
      </c>
      <c r="H571" s="13" t="str">
        <f>_xlfn.CONCAT(Sheet1!A571," --&gt; ",Sheet1!J571)</f>
        <v>408-26-9866 --&gt; 543.753</v>
      </c>
      <c r="I571" s="13" t="str">
        <f>_xlfn.CONCAT(Sheet1!C571,"_",TEXT(Sheet1!K571, "m/d/yyyy"))</f>
        <v>Naypyitaw_3/2/2019</v>
      </c>
      <c r="J571" s="13" t="str">
        <f>IF(Sheet1!I571=Sheet1!N571*0.05,"Valid","Error")</f>
        <v>Valid</v>
      </c>
      <c r="K571" s="13" t="str">
        <f>IF(Sheet1!N571=Sheet1!G571*Sheet1!H571,"True","False")</f>
        <v>True</v>
      </c>
      <c r="L571" s="13" t="b">
        <v>1</v>
      </c>
      <c r="M571" s="9" t="b">
        <f>ISNUMBER(Sheet1!J571)</f>
        <v>1</v>
      </c>
      <c r="N571" s="13" t="str">
        <f>IF(Sheet1!B571="A","Branch A",IF(Sheet1!B571="B","Branch B","Other Branch"))</f>
        <v>Other Branch</v>
      </c>
      <c r="O571" s="13" t="str">
        <f>IF(Sheet1!M571="Credit card","Credit Payment","Other")</f>
        <v>Other</v>
      </c>
      <c r="P571" s="13" t="str">
        <f>IF(Sheet1!O571&gt;7,"Yes","No")</f>
        <v>No</v>
      </c>
    </row>
    <row r="572" spans="5:16">
      <c r="E572" s="13" t="str">
        <v>834</v>
      </c>
      <c r="F572" s="13" t="str">
        <v>1826</v>
      </c>
      <c r="G572" s="13" t="str">
        <v>83</v>
      </c>
      <c r="H572" s="13" t="str">
        <f>_xlfn.CONCAT(Sheet1!A572," --&gt; ",Sheet1!J572)</f>
        <v>834-83-1826 --&gt; 430.71</v>
      </c>
      <c r="I572" s="13" t="str">
        <f>_xlfn.CONCAT(Sheet1!C572,"_",TEXT(Sheet1!K572, "m/d/yyyy"))</f>
        <v>Mandalay_2/25/2019</v>
      </c>
      <c r="J572" s="13" t="str">
        <f>IF(Sheet1!I572=Sheet1!N572*0.05,"Valid","Error")</f>
        <v>Valid</v>
      </c>
      <c r="K572" s="13" t="str">
        <f>IF(Sheet1!N572=Sheet1!G572*Sheet1!H572,"True","False")</f>
        <v>True</v>
      </c>
      <c r="L572" s="13" t="b">
        <v>1</v>
      </c>
      <c r="M572" s="9" t="b">
        <f>ISNUMBER(Sheet1!J572)</f>
        <v>1</v>
      </c>
      <c r="N572" s="13" t="str">
        <f>IF(Sheet1!B572="A","Branch A",IF(Sheet1!B572="B","Branch B","Other Branch"))</f>
        <v>Branch B</v>
      </c>
      <c r="O572" s="13" t="str">
        <f>IF(Sheet1!M572="Credit card","Credit Payment","Other")</f>
        <v>Credit Payment</v>
      </c>
      <c r="P572" s="13" t="str">
        <f>IF(Sheet1!O572&gt;7,"Yes","No")</f>
        <v>Yes</v>
      </c>
    </row>
    <row r="573" spans="5:16">
      <c r="E573" s="13" t="str">
        <v>343</v>
      </c>
      <c r="F573" s="13" t="str">
        <v>3544</v>
      </c>
      <c r="G573" s="13" t="str">
        <v>61</v>
      </c>
      <c r="H573" s="13" t="str">
        <f>_xlfn.CONCAT(Sheet1!A573," --&gt; ",Sheet1!J573)</f>
        <v>343-61-3544 --&gt; 280.035</v>
      </c>
      <c r="I573" s="13" t="str">
        <f>_xlfn.CONCAT(Sheet1!C573,"_",TEXT(Sheet1!K573, "m/d/yyyy"))</f>
        <v>Mandalay_1/29/2019</v>
      </c>
      <c r="J573" s="13" t="str">
        <f>IF(Sheet1!I573=Sheet1!N573*0.05,"Valid","Error")</f>
        <v>Valid</v>
      </c>
      <c r="K573" s="13" t="str">
        <f>IF(Sheet1!N573=Sheet1!G573*Sheet1!H573,"True","False")</f>
        <v>True</v>
      </c>
      <c r="L573" s="13" t="b">
        <v>1</v>
      </c>
      <c r="M573" s="9" t="b">
        <f>ISNUMBER(Sheet1!J573)</f>
        <v>1</v>
      </c>
      <c r="N573" s="13" t="str">
        <f>IF(Sheet1!B573="A","Branch A",IF(Sheet1!B573="B","Branch B","Other Branch"))</f>
        <v>Branch B</v>
      </c>
      <c r="O573" s="13" t="str">
        <f>IF(Sheet1!M573="Credit card","Credit Payment","Other")</f>
        <v>Other</v>
      </c>
      <c r="P573" s="13" t="str">
        <f>IF(Sheet1!O573&gt;7,"Yes","No")</f>
        <v>Yes</v>
      </c>
    </row>
    <row r="574" spans="5:16">
      <c r="E574" s="13" t="str">
        <v>239</v>
      </c>
      <c r="F574" s="13" t="str">
        <v>4278</v>
      </c>
      <c r="G574" s="13" t="str">
        <v>48</v>
      </c>
      <c r="H574" s="13" t="str">
        <f>_xlfn.CONCAT(Sheet1!A574," --&gt; ",Sheet1!J574)</f>
        <v>239-48-4278 --&gt; 74.4555</v>
      </c>
      <c r="I574" s="13" t="str">
        <f>_xlfn.CONCAT(Sheet1!C574,"_",TEXT(Sheet1!K574, "m/d/yyyy"))</f>
        <v>Yangon_3/10/2019</v>
      </c>
      <c r="J574" s="13" t="str">
        <f>IF(Sheet1!I574=Sheet1!N574*0.05,"Valid","Error")</f>
        <v>Valid</v>
      </c>
      <c r="K574" s="13" t="str">
        <f>IF(Sheet1!N574=Sheet1!G574*Sheet1!H574,"True","False")</f>
        <v>True</v>
      </c>
      <c r="L574" s="13" t="b">
        <v>1</v>
      </c>
      <c r="M574" s="9" t="b">
        <f>ISNUMBER(Sheet1!J574)</f>
        <v>1</v>
      </c>
      <c r="N574" s="13" t="str">
        <f>IF(Sheet1!B574="A","Branch A",IF(Sheet1!B574="B","Branch B","Other Branch"))</f>
        <v>Branch A</v>
      </c>
      <c r="O574" s="13" t="str">
        <f>IF(Sheet1!M574="Credit card","Credit Payment","Other")</f>
        <v>Other</v>
      </c>
      <c r="P574" s="13" t="str">
        <f>IF(Sheet1!O574&gt;7,"Yes","No")</f>
        <v>Yes</v>
      </c>
    </row>
    <row r="575" spans="5:16">
      <c r="E575" s="13" t="str">
        <v>355</v>
      </c>
      <c r="F575" s="13" t="str">
        <v>6244</v>
      </c>
      <c r="G575" s="13" t="str">
        <v>34</v>
      </c>
      <c r="H575" s="13" t="str">
        <f>_xlfn.CONCAT(Sheet1!A575," --&gt; ",Sheet1!J575)</f>
        <v>355-34-6244 --&gt; 152.019</v>
      </c>
      <c r="I575" s="13" t="str">
        <f>_xlfn.CONCAT(Sheet1!C575,"_",TEXT(Sheet1!K575, "m/d/yyyy"))</f>
        <v>Mandalay_1/13/2019</v>
      </c>
      <c r="J575" s="13" t="str">
        <f>IF(Sheet1!I575=Sheet1!N575*0.05,"Valid","Error")</f>
        <v>Valid</v>
      </c>
      <c r="K575" s="13" t="str">
        <f>IF(Sheet1!N575=Sheet1!G575*Sheet1!H575,"True","False")</f>
        <v>True</v>
      </c>
      <c r="L575" s="13" t="b">
        <v>1</v>
      </c>
      <c r="M575" s="9" t="b">
        <f>ISNUMBER(Sheet1!J575)</f>
        <v>1</v>
      </c>
      <c r="N575" s="13" t="str">
        <f>IF(Sheet1!B575="A","Branch A",IF(Sheet1!B575="B","Branch B","Other Branch"))</f>
        <v>Branch B</v>
      </c>
      <c r="O575" s="13" t="str">
        <f>IF(Sheet1!M575="Credit card","Credit Payment","Other")</f>
        <v>Credit Payment</v>
      </c>
      <c r="P575" s="13" t="str">
        <f>IF(Sheet1!O575&gt;7,"Yes","No")</f>
        <v>Yes</v>
      </c>
    </row>
    <row r="576" spans="5:16">
      <c r="E576" s="13" t="str">
        <v>550</v>
      </c>
      <c r="F576" s="13" t="str">
        <v>8664</v>
      </c>
      <c r="G576" s="13" t="str">
        <v>84</v>
      </c>
      <c r="H576" s="13" t="str">
        <f>_xlfn.CONCAT(Sheet1!A576," --&gt; ",Sheet1!J576)</f>
        <v>550-84-8664 --&gt; 451.0275</v>
      </c>
      <c r="I576" s="13" t="str">
        <f>_xlfn.CONCAT(Sheet1!C576,"_",TEXT(Sheet1!K576, "m/d/yyyy"))</f>
        <v>Yangon_3/22/2019</v>
      </c>
      <c r="J576" s="13" t="str">
        <f>IF(Sheet1!I576=Sheet1!N576*0.05,"Valid","Error")</f>
        <v>Valid</v>
      </c>
      <c r="K576" s="13" t="str">
        <f>IF(Sheet1!N576=Sheet1!G576*Sheet1!H576,"True","False")</f>
        <v>True</v>
      </c>
      <c r="L576" s="13" t="b">
        <v>1</v>
      </c>
      <c r="M576" s="9" t="b">
        <f>ISNUMBER(Sheet1!J576)</f>
        <v>1</v>
      </c>
      <c r="N576" s="13" t="str">
        <f>IF(Sheet1!B576="A","Branch A",IF(Sheet1!B576="B","Branch B","Other Branch"))</f>
        <v>Branch A</v>
      </c>
      <c r="O576" s="13" t="str">
        <f>IF(Sheet1!M576="Credit card","Credit Payment","Other")</f>
        <v>Credit Payment</v>
      </c>
      <c r="P576" s="13" t="str">
        <f>IF(Sheet1!O576&gt;7,"Yes","No")</f>
        <v>Yes</v>
      </c>
    </row>
    <row r="577" spans="5:16">
      <c r="E577" s="13" t="str">
        <v>339</v>
      </c>
      <c r="F577" s="13" t="str">
        <v>8318</v>
      </c>
      <c r="G577" s="13" t="str">
        <v>96</v>
      </c>
      <c r="H577" s="13" t="str">
        <f>_xlfn.CONCAT(Sheet1!A577," --&gt; ",Sheet1!J577)</f>
        <v>339-96-8318 --&gt; 597.6285</v>
      </c>
      <c r="I577" s="13" t="str">
        <f>_xlfn.CONCAT(Sheet1!C577,"_",TEXT(Sheet1!K577, "m/d/yyyy"))</f>
        <v>Mandalay_3/1/2019</v>
      </c>
      <c r="J577" s="13" t="str">
        <f>IF(Sheet1!I577=Sheet1!N577*0.05,"Valid","Error")</f>
        <v>Valid</v>
      </c>
      <c r="K577" s="13" t="str">
        <f>IF(Sheet1!N577=Sheet1!G577*Sheet1!H577,"True","False")</f>
        <v>True</v>
      </c>
      <c r="L577" s="13" t="b">
        <v>1</v>
      </c>
      <c r="M577" s="9" t="b">
        <f>ISNUMBER(Sheet1!J577)</f>
        <v>1</v>
      </c>
      <c r="N577" s="13" t="str">
        <f>IF(Sheet1!B577="A","Branch A",IF(Sheet1!B577="B","Branch B","Other Branch"))</f>
        <v>Branch B</v>
      </c>
      <c r="O577" s="13" t="str">
        <f>IF(Sheet1!M577="Credit card","Credit Payment","Other")</f>
        <v>Other</v>
      </c>
      <c r="P577" s="13" t="str">
        <f>IF(Sheet1!O577&gt;7,"Yes","No")</f>
        <v>No</v>
      </c>
    </row>
    <row r="578" spans="5:16">
      <c r="E578" s="13" t="str">
        <v>458</v>
      </c>
      <c r="F578" s="13" t="str">
        <v>0011</v>
      </c>
      <c r="G578" s="13" t="str">
        <v>61</v>
      </c>
      <c r="H578" s="13" t="str">
        <f>_xlfn.CONCAT(Sheet1!A578," --&gt; ",Sheet1!J578)</f>
        <v>458-61-0011 --&gt; 253.26</v>
      </c>
      <c r="I578" s="13" t="str">
        <f>_xlfn.CONCAT(Sheet1!C578,"_",TEXT(Sheet1!K578, "m/d/yyyy"))</f>
        <v>Mandalay_2/20/2019</v>
      </c>
      <c r="J578" s="13" t="str">
        <f>IF(Sheet1!I578=Sheet1!N578*0.05,"Valid","Error")</f>
        <v>Valid</v>
      </c>
      <c r="K578" s="13" t="str">
        <f>IF(Sheet1!N578=Sheet1!G578*Sheet1!H578,"True","False")</f>
        <v>True</v>
      </c>
      <c r="L578" s="13" t="b">
        <v>1</v>
      </c>
      <c r="M578" s="9" t="b">
        <f>ISNUMBER(Sheet1!J578)</f>
        <v>1</v>
      </c>
      <c r="N578" s="13" t="str">
        <f>IF(Sheet1!B578="A","Branch A",IF(Sheet1!B578="B","Branch B","Other Branch"))</f>
        <v>Branch B</v>
      </c>
      <c r="O578" s="13" t="str">
        <f>IF(Sheet1!M578="Credit card","Credit Payment","Other")</f>
        <v>Other</v>
      </c>
      <c r="P578" s="13" t="str">
        <f>IF(Sheet1!O578&gt;7,"Yes","No")</f>
        <v>No</v>
      </c>
    </row>
    <row r="579" spans="5:16">
      <c r="E579" s="13" t="str">
        <v>592</v>
      </c>
      <c r="F579" s="13" t="str">
        <v>6155</v>
      </c>
      <c r="G579" s="13" t="str">
        <v>34</v>
      </c>
      <c r="H579" s="13" t="str">
        <f>_xlfn.CONCAT(Sheet1!A579," --&gt; ",Sheet1!J579)</f>
        <v>592-34-6155 --&gt; 133.434</v>
      </c>
      <c r="I579" s="13" t="str">
        <f>_xlfn.CONCAT(Sheet1!C579,"_",TEXT(Sheet1!K579, "m/d/yyyy"))</f>
        <v>Naypyitaw_1/14/2019</v>
      </c>
      <c r="J579" s="13" t="str">
        <f>IF(Sheet1!I579=Sheet1!N579*0.05,"Valid","Error")</f>
        <v>Valid</v>
      </c>
      <c r="K579" s="13" t="str">
        <f>IF(Sheet1!N579=Sheet1!G579*Sheet1!H579,"True","False")</f>
        <v>True</v>
      </c>
      <c r="L579" s="13" t="b">
        <v>1</v>
      </c>
      <c r="M579" s="9" t="b">
        <f>ISNUMBER(Sheet1!J579)</f>
        <v>1</v>
      </c>
      <c r="N579" s="13" t="str">
        <f>IF(Sheet1!B579="A","Branch A",IF(Sheet1!B579="B","Branch B","Other Branch"))</f>
        <v>Other Branch</v>
      </c>
      <c r="O579" s="13" t="str">
        <f>IF(Sheet1!M579="Credit card","Credit Payment","Other")</f>
        <v>Other</v>
      </c>
      <c r="P579" s="13" t="str">
        <f>IF(Sheet1!O579&gt;7,"Yes","No")</f>
        <v>No</v>
      </c>
    </row>
    <row r="580" spans="5:16">
      <c r="E580" s="13" t="str">
        <v>797</v>
      </c>
      <c r="F580" s="13" t="str">
        <v>0493</v>
      </c>
      <c r="G580" s="13" t="str">
        <v>88</v>
      </c>
      <c r="H580" s="13" t="str">
        <f>_xlfn.CONCAT(Sheet1!A580," --&gt; ",Sheet1!J580)</f>
        <v>797-88-0493 --&gt; 269.934</v>
      </c>
      <c r="I580" s="13" t="str">
        <f>_xlfn.CONCAT(Sheet1!C580,"_",TEXT(Sheet1!K580, "m/d/yyyy"))</f>
        <v>Yangon_3/26/2019</v>
      </c>
      <c r="J580" s="13" t="str">
        <f>IF(Sheet1!I580=Sheet1!N580*0.05,"Valid","Error")</f>
        <v>Valid</v>
      </c>
      <c r="K580" s="13" t="str">
        <f>IF(Sheet1!N580=Sheet1!G580*Sheet1!H580,"True","False")</f>
        <v>True</v>
      </c>
      <c r="L580" s="13" t="b">
        <v>1</v>
      </c>
      <c r="M580" s="9" t="b">
        <f>ISNUMBER(Sheet1!J580)</f>
        <v>1</v>
      </c>
      <c r="N580" s="13" t="str">
        <f>IF(Sheet1!B580="A","Branch A",IF(Sheet1!B580="B","Branch B","Other Branch"))</f>
        <v>Branch A</v>
      </c>
      <c r="O580" s="13" t="str">
        <f>IF(Sheet1!M580="Credit card","Credit Payment","Other")</f>
        <v>Other</v>
      </c>
      <c r="P580" s="13" t="str">
        <f>IF(Sheet1!O580&gt;7,"Yes","No")</f>
        <v>Yes</v>
      </c>
    </row>
    <row r="581" spans="5:16">
      <c r="E581" s="13" t="str">
        <v>207</v>
      </c>
      <c r="F581" s="13" t="str">
        <v>1363</v>
      </c>
      <c r="G581" s="13" t="str">
        <v>73</v>
      </c>
      <c r="H581" s="13" t="str">
        <f>_xlfn.CONCAT(Sheet1!A581," --&gt; ",Sheet1!J581)</f>
        <v>207-73-1363 --&gt; 145.971</v>
      </c>
      <c r="I581" s="13" t="str">
        <f>_xlfn.CONCAT(Sheet1!C581,"_",TEXT(Sheet1!K581, "m/d/yyyy"))</f>
        <v>Mandalay_3/1/2019</v>
      </c>
      <c r="J581" s="13" t="str">
        <f>IF(Sheet1!I581=Sheet1!N581*0.05,"Valid","Error")</f>
        <v>Valid</v>
      </c>
      <c r="K581" s="13" t="str">
        <f>IF(Sheet1!N581=Sheet1!G581*Sheet1!H581,"True","False")</f>
        <v>True</v>
      </c>
      <c r="L581" s="13" t="b">
        <v>1</v>
      </c>
      <c r="M581" s="9" t="b">
        <f>ISNUMBER(Sheet1!J581)</f>
        <v>1</v>
      </c>
      <c r="N581" s="13" t="str">
        <f>IF(Sheet1!B581="A","Branch A",IF(Sheet1!B581="B","Branch B","Other Branch"))</f>
        <v>Branch B</v>
      </c>
      <c r="O581" s="13" t="str">
        <f>IF(Sheet1!M581="Credit card","Credit Payment","Other")</f>
        <v>Other</v>
      </c>
      <c r="P581" s="13" t="str">
        <f>IF(Sheet1!O581&gt;7,"Yes","No")</f>
        <v>Yes</v>
      </c>
    </row>
    <row r="582" spans="5:16">
      <c r="E582" s="13" t="str">
        <v>390</v>
      </c>
      <c r="F582" s="13" t="str">
        <v>6381</v>
      </c>
      <c r="G582" s="13" t="str">
        <v>31</v>
      </c>
      <c r="H582" s="13" t="str">
        <f>_xlfn.CONCAT(Sheet1!A582," --&gt; ",Sheet1!J582)</f>
        <v>390-31-6381 --&gt; 85.743</v>
      </c>
      <c r="I582" s="13" t="str">
        <f>_xlfn.CONCAT(Sheet1!C582,"_",TEXT(Sheet1!K582, "m/d/yyyy"))</f>
        <v>Naypyitaw_1/7/2019</v>
      </c>
      <c r="J582" s="13" t="str">
        <f>IF(Sheet1!I582=Sheet1!N582*0.05,"Valid","Error")</f>
        <v>Valid</v>
      </c>
      <c r="K582" s="13" t="str">
        <f>IF(Sheet1!N582=Sheet1!G582*Sheet1!H582,"True","False")</f>
        <v>True</v>
      </c>
      <c r="L582" s="13" t="b">
        <v>1</v>
      </c>
      <c r="M582" s="9" t="b">
        <f>ISNUMBER(Sheet1!J582)</f>
        <v>1</v>
      </c>
      <c r="N582" s="13" t="str">
        <f>IF(Sheet1!B582="A","Branch A",IF(Sheet1!B582="B","Branch B","Other Branch"))</f>
        <v>Other Branch</v>
      </c>
      <c r="O582" s="13" t="str">
        <f>IF(Sheet1!M582="Credit card","Credit Payment","Other")</f>
        <v>Other</v>
      </c>
      <c r="P582" s="13" t="str">
        <f>IF(Sheet1!O582&gt;7,"Yes","No")</f>
        <v>Yes</v>
      </c>
    </row>
    <row r="583" spans="5:16">
      <c r="E583" s="13" t="str">
        <v>443</v>
      </c>
      <c r="F583" s="13" t="str">
        <v>0585</v>
      </c>
      <c r="G583" s="13" t="str">
        <v>82</v>
      </c>
      <c r="H583" s="13" t="str">
        <f>_xlfn.CONCAT(Sheet1!A583," --&gt; ",Sheet1!J583)</f>
        <v>443-82-0585 --&gt; 326.256</v>
      </c>
      <c r="I583" s="13" t="str">
        <f>_xlfn.CONCAT(Sheet1!C583,"_",TEXT(Sheet1!K583, "m/d/yyyy"))</f>
        <v>Yangon_2/1/2019</v>
      </c>
      <c r="J583" s="13" t="str">
        <f>IF(Sheet1!I583=Sheet1!N583*0.05,"Valid","Error")</f>
        <v>Valid</v>
      </c>
      <c r="K583" s="13" t="str">
        <f>IF(Sheet1!N583=Sheet1!G583*Sheet1!H583,"True","False")</f>
        <v>True</v>
      </c>
      <c r="L583" s="13" t="b">
        <v>1</v>
      </c>
      <c r="M583" s="9" t="b">
        <f>ISNUMBER(Sheet1!J583)</f>
        <v>1</v>
      </c>
      <c r="N583" s="13" t="str">
        <f>IF(Sheet1!B583="A","Branch A",IF(Sheet1!B583="B","Branch B","Other Branch"))</f>
        <v>Branch A</v>
      </c>
      <c r="O583" s="13" t="str">
        <f>IF(Sheet1!M583="Credit card","Credit Payment","Other")</f>
        <v>Other</v>
      </c>
      <c r="P583" s="13" t="str">
        <f>IF(Sheet1!O583&gt;7,"Yes","No")</f>
        <v>Yes</v>
      </c>
    </row>
    <row r="584" spans="5:16">
      <c r="E584" s="13" t="str">
        <v>339</v>
      </c>
      <c r="F584" s="13" t="str">
        <v>7061</v>
      </c>
      <c r="G584" s="13" t="str">
        <v>18</v>
      </c>
      <c r="H584" s="13" t="str">
        <f>_xlfn.CONCAT(Sheet1!A584," --&gt; ",Sheet1!J584)</f>
        <v>339-18-7061 --&gt; 195.258</v>
      </c>
      <c r="I584" s="13" t="str">
        <f>_xlfn.CONCAT(Sheet1!C584,"_",TEXT(Sheet1!K584, "m/d/yyyy"))</f>
        <v>Naypyitaw_2/13/2019</v>
      </c>
      <c r="J584" s="13" t="str">
        <f>IF(Sheet1!I584=Sheet1!N584*0.05,"Valid","Error")</f>
        <v>Valid</v>
      </c>
      <c r="K584" s="13" t="str">
        <f>IF(Sheet1!N584=Sheet1!G584*Sheet1!H584,"True","False")</f>
        <v>True</v>
      </c>
      <c r="L584" s="13" t="b">
        <v>1</v>
      </c>
      <c r="M584" s="9" t="b">
        <f>ISNUMBER(Sheet1!J584)</f>
        <v>1</v>
      </c>
      <c r="N584" s="13" t="str">
        <f>IF(Sheet1!B584="A","Branch A",IF(Sheet1!B584="B","Branch B","Other Branch"))</f>
        <v>Other Branch</v>
      </c>
      <c r="O584" s="13" t="str">
        <f>IF(Sheet1!M584="Credit card","Credit Payment","Other")</f>
        <v>Credit Payment</v>
      </c>
      <c r="P584" s="13" t="str">
        <f>IF(Sheet1!O584&gt;7,"Yes","No")</f>
        <v>Yes</v>
      </c>
    </row>
    <row r="585" spans="5:16">
      <c r="E585" s="13" t="str">
        <v>359</v>
      </c>
      <c r="F585" s="13" t="str">
        <v>3665</v>
      </c>
      <c r="G585" s="13" t="str">
        <v>90</v>
      </c>
      <c r="H585" s="13" t="str">
        <f>_xlfn.CONCAT(Sheet1!A585," --&gt; ",Sheet1!J585)</f>
        <v>359-90-3665 --&gt; 75.936</v>
      </c>
      <c r="I585" s="13" t="str">
        <f>_xlfn.CONCAT(Sheet1!C585,"_",TEXT(Sheet1!K585, "m/d/yyyy"))</f>
        <v>Mandalay_1/14/2019</v>
      </c>
      <c r="J585" s="13" t="str">
        <f>IF(Sheet1!I585=Sheet1!N585*0.05,"Valid","Error")</f>
        <v>Valid</v>
      </c>
      <c r="K585" s="13" t="str">
        <f>IF(Sheet1!N585=Sheet1!G585*Sheet1!H585,"True","False")</f>
        <v>True</v>
      </c>
      <c r="L585" s="13" t="b">
        <v>1</v>
      </c>
      <c r="M585" s="9" t="b">
        <f>ISNUMBER(Sheet1!J585)</f>
        <v>1</v>
      </c>
      <c r="N585" s="13" t="str">
        <f>IF(Sheet1!B585="A","Branch A",IF(Sheet1!B585="B","Branch B","Other Branch"))</f>
        <v>Branch B</v>
      </c>
      <c r="O585" s="13" t="str">
        <f>IF(Sheet1!M585="Credit card","Credit Payment","Other")</f>
        <v>Credit Payment</v>
      </c>
      <c r="P585" s="13" t="str">
        <f>IF(Sheet1!O585&gt;7,"Yes","No")</f>
        <v>Yes</v>
      </c>
    </row>
    <row r="586" spans="5:16">
      <c r="E586" s="13" t="str">
        <v>375</v>
      </c>
      <c r="F586" s="13" t="str">
        <v>3056</v>
      </c>
      <c r="G586" s="13" t="str">
        <v>72</v>
      </c>
      <c r="H586" s="13" t="str">
        <f>_xlfn.CONCAT(Sheet1!A586," --&gt; ",Sheet1!J586)</f>
        <v>375-72-3056 --&gt; 198.639</v>
      </c>
      <c r="I586" s="13" t="str">
        <f>_xlfn.CONCAT(Sheet1!C586,"_",TEXT(Sheet1!K586, "m/d/yyyy"))</f>
        <v>Mandalay_1/19/2019</v>
      </c>
      <c r="J586" s="13" t="str">
        <f>IF(Sheet1!I586=Sheet1!N586*0.05,"Valid","Error")</f>
        <v>Valid</v>
      </c>
      <c r="K586" s="13" t="str">
        <f>IF(Sheet1!N586=Sheet1!G586*Sheet1!H586,"True","False")</f>
        <v>True</v>
      </c>
      <c r="L586" s="13" t="b">
        <v>1</v>
      </c>
      <c r="M586" s="9" t="b">
        <f>ISNUMBER(Sheet1!J586)</f>
        <v>1</v>
      </c>
      <c r="N586" s="13" t="str">
        <f>IF(Sheet1!B586="A","Branch A",IF(Sheet1!B586="B","Branch B","Other Branch"))</f>
        <v>Branch B</v>
      </c>
      <c r="O586" s="13" t="str">
        <f>IF(Sheet1!M586="Credit card","Credit Payment","Other")</f>
        <v>Other</v>
      </c>
      <c r="P586" s="13" t="str">
        <f>IF(Sheet1!O586&gt;7,"Yes","No")</f>
        <v>No</v>
      </c>
    </row>
    <row r="587" spans="5:16">
      <c r="E587" s="13" t="str">
        <v>127</v>
      </c>
      <c r="F587" s="13" t="str">
        <v>6963</v>
      </c>
      <c r="G587" s="13" t="str">
        <v>47</v>
      </c>
      <c r="H587" s="13" t="str">
        <f>_xlfn.CONCAT(Sheet1!A587," --&gt; ",Sheet1!J587)</f>
        <v>127-47-6963 --&gt; 217.182</v>
      </c>
      <c r="I587" s="13" t="str">
        <f>_xlfn.CONCAT(Sheet1!C587,"_",TEXT(Sheet1!K587, "m/d/yyyy"))</f>
        <v>Yangon_3/9/2019</v>
      </c>
      <c r="J587" s="13" t="str">
        <f>IF(Sheet1!I587=Sheet1!N587*0.05,"Valid","Error")</f>
        <v>Valid</v>
      </c>
      <c r="K587" s="13" t="str">
        <f>IF(Sheet1!N587=Sheet1!G587*Sheet1!H587,"True","False")</f>
        <v>True</v>
      </c>
      <c r="L587" s="13" t="b">
        <v>1</v>
      </c>
      <c r="M587" s="9" t="b">
        <f>ISNUMBER(Sheet1!J587)</f>
        <v>1</v>
      </c>
      <c r="N587" s="13" t="str">
        <f>IF(Sheet1!B587="A","Branch A",IF(Sheet1!B587="B","Branch B","Other Branch"))</f>
        <v>Branch A</v>
      </c>
      <c r="O587" s="13" t="str">
        <f>IF(Sheet1!M587="Credit card","Credit Payment","Other")</f>
        <v>Credit Payment</v>
      </c>
      <c r="P587" s="13" t="str">
        <f>IF(Sheet1!O587&gt;7,"Yes","No")</f>
        <v>Yes</v>
      </c>
    </row>
    <row r="588" spans="5:16">
      <c r="E588" s="13" t="str">
        <v>278</v>
      </c>
      <c r="F588" s="13" t="str">
        <v>2735</v>
      </c>
      <c r="G588" s="13" t="str">
        <v>86</v>
      </c>
      <c r="H588" s="13" t="str">
        <f>_xlfn.CONCAT(Sheet1!A588," --&gt; ",Sheet1!J588)</f>
        <v>278-86-2735 --&gt; 164.871</v>
      </c>
      <c r="I588" s="13" t="str">
        <f>_xlfn.CONCAT(Sheet1!C588,"_",TEXT(Sheet1!K588, "m/d/yyyy"))</f>
        <v>Yangon_3/27/2019</v>
      </c>
      <c r="J588" s="13" t="str">
        <f>IF(Sheet1!I588=Sheet1!N588*0.05,"Valid","Error")</f>
        <v>Valid</v>
      </c>
      <c r="K588" s="13" t="str">
        <f>IF(Sheet1!N588=Sheet1!G588*Sheet1!H588,"True","False")</f>
        <v>True</v>
      </c>
      <c r="L588" s="13" t="b">
        <v>1</v>
      </c>
      <c r="M588" s="9" t="b">
        <f>ISNUMBER(Sheet1!J588)</f>
        <v>1</v>
      </c>
      <c r="N588" s="13" t="str">
        <f>IF(Sheet1!B588="A","Branch A",IF(Sheet1!B588="B","Branch B","Other Branch"))</f>
        <v>Branch A</v>
      </c>
      <c r="O588" s="13" t="str">
        <f>IF(Sheet1!M588="Credit card","Credit Payment","Other")</f>
        <v>Other</v>
      </c>
      <c r="P588" s="13" t="str">
        <f>IF(Sheet1!O588&gt;7,"Yes","No")</f>
        <v>Yes</v>
      </c>
    </row>
    <row r="589" spans="5:16">
      <c r="E589" s="13" t="str">
        <v>695</v>
      </c>
      <c r="F589" s="13" t="str">
        <v>6250</v>
      </c>
      <c r="G589" s="13" t="str">
        <v>28</v>
      </c>
      <c r="H589" s="13" t="str">
        <f>_xlfn.CONCAT(Sheet1!A589," --&gt; ",Sheet1!J589)</f>
        <v>695-28-6250 --&gt; 226.065</v>
      </c>
      <c r="I589" s="13" t="str">
        <f>_xlfn.CONCAT(Sheet1!C589,"_",TEXT(Sheet1!K589, "m/d/yyyy"))</f>
        <v>Yangon_2/4/2019</v>
      </c>
      <c r="J589" s="13" t="str">
        <f>IF(Sheet1!I589=Sheet1!N589*0.05,"Valid","Error")</f>
        <v>Valid</v>
      </c>
      <c r="K589" s="13" t="str">
        <f>IF(Sheet1!N589=Sheet1!G589*Sheet1!H589,"True","False")</f>
        <v>True</v>
      </c>
      <c r="L589" s="13" t="b">
        <v>1</v>
      </c>
      <c r="M589" s="9" t="b">
        <f>ISNUMBER(Sheet1!J589)</f>
        <v>1</v>
      </c>
      <c r="N589" s="13" t="str">
        <f>IF(Sheet1!B589="A","Branch A",IF(Sheet1!B589="B","Branch B","Other Branch"))</f>
        <v>Branch A</v>
      </c>
      <c r="O589" s="13" t="str">
        <f>IF(Sheet1!M589="Credit card","Credit Payment","Other")</f>
        <v>Other</v>
      </c>
      <c r="P589" s="13" t="str">
        <f>IF(Sheet1!O589&gt;7,"Yes","No")</f>
        <v>Yes</v>
      </c>
    </row>
    <row r="590" spans="5:16">
      <c r="E590" s="13" t="str">
        <v>379</v>
      </c>
      <c r="F590" s="13" t="str">
        <v>6588</v>
      </c>
      <c r="G590" s="13" t="str">
        <v>17</v>
      </c>
      <c r="H590" s="13" t="str">
        <f>_xlfn.CONCAT(Sheet1!A590," --&gt; ",Sheet1!J590)</f>
        <v>379-17-6588 --&gt; 625.905</v>
      </c>
      <c r="I590" s="13" t="str">
        <f>_xlfn.CONCAT(Sheet1!C590,"_",TEXT(Sheet1!K590, "m/d/yyyy"))</f>
        <v>Naypyitaw_3/14/2019</v>
      </c>
      <c r="J590" s="13" t="str">
        <f>IF(Sheet1!I590=Sheet1!N590*0.05,"Valid","Error")</f>
        <v>Valid</v>
      </c>
      <c r="K590" s="13" t="str">
        <f>IF(Sheet1!N590=Sheet1!G590*Sheet1!H590,"True","False")</f>
        <v>True</v>
      </c>
      <c r="L590" s="13" t="b">
        <v>1</v>
      </c>
      <c r="M590" s="9" t="b">
        <f>ISNUMBER(Sheet1!J590)</f>
        <v>1</v>
      </c>
      <c r="N590" s="13" t="str">
        <f>IF(Sheet1!B590="A","Branch A",IF(Sheet1!B590="B","Branch B","Other Branch"))</f>
        <v>Other Branch</v>
      </c>
      <c r="O590" s="13" t="str">
        <f>IF(Sheet1!M590="Credit card","Credit Payment","Other")</f>
        <v>Other</v>
      </c>
      <c r="P590" s="13" t="str">
        <f>IF(Sheet1!O590&gt;7,"Yes","No")</f>
        <v>No</v>
      </c>
    </row>
    <row r="591" spans="5:16">
      <c r="E591" s="13" t="str">
        <v>227</v>
      </c>
      <c r="F591" s="13" t="str">
        <v>3718</v>
      </c>
      <c r="G591" s="13" t="str">
        <v>50</v>
      </c>
      <c r="H591" s="13" t="str">
        <f>_xlfn.CONCAT(Sheet1!A591," --&gt; ",Sheet1!J591)</f>
        <v>227-50-3718 --&gt; 76.755</v>
      </c>
      <c r="I591" s="13" t="str">
        <f>_xlfn.CONCAT(Sheet1!C591,"_",TEXT(Sheet1!K591, "m/d/yyyy"))</f>
        <v>Yangon_3/4/2019</v>
      </c>
      <c r="J591" s="13" t="str">
        <f>IF(Sheet1!I591=Sheet1!N591*0.05,"Valid","Error")</f>
        <v>Valid</v>
      </c>
      <c r="K591" s="13" t="str">
        <f>IF(Sheet1!N591=Sheet1!G591*Sheet1!H591,"True","False")</f>
        <v>True</v>
      </c>
      <c r="L591" s="13" t="b">
        <v>1</v>
      </c>
      <c r="M591" s="9" t="b">
        <f>ISNUMBER(Sheet1!J591)</f>
        <v>1</v>
      </c>
      <c r="N591" s="13" t="str">
        <f>IF(Sheet1!B591="A","Branch A",IF(Sheet1!B591="B","Branch B","Other Branch"))</f>
        <v>Branch A</v>
      </c>
      <c r="O591" s="13" t="str">
        <f>IF(Sheet1!M591="Credit card","Credit Payment","Other")</f>
        <v>Other</v>
      </c>
      <c r="P591" s="13" t="str">
        <f>IF(Sheet1!O591&gt;7,"Yes","No")</f>
        <v>No</v>
      </c>
    </row>
    <row r="592" spans="5:16">
      <c r="E592" s="13" t="str">
        <v>302</v>
      </c>
      <c r="F592" s="13" t="str">
        <v>2162</v>
      </c>
      <c r="G592" s="13" t="str">
        <v>15</v>
      </c>
      <c r="H592" s="13" t="str">
        <f>_xlfn.CONCAT(Sheet1!A592," --&gt; ",Sheet1!J592)</f>
        <v>302-15-2162 --&gt; 293.139</v>
      </c>
      <c r="I592" s="13" t="str">
        <f>_xlfn.CONCAT(Sheet1!C592,"_",TEXT(Sheet1!K592, "m/d/yyyy"))</f>
        <v>Naypyitaw_3/3/2019</v>
      </c>
      <c r="J592" s="13" t="str">
        <f>IF(Sheet1!I592=Sheet1!N592*0.05,"Valid","Error")</f>
        <v>Valid</v>
      </c>
      <c r="K592" s="13" t="str">
        <f>IF(Sheet1!N592=Sheet1!G592*Sheet1!H592,"True","False")</f>
        <v>True</v>
      </c>
      <c r="L592" s="13" t="b">
        <v>1</v>
      </c>
      <c r="M592" s="9" t="b">
        <f>ISNUMBER(Sheet1!J592)</f>
        <v>1</v>
      </c>
      <c r="N592" s="13" t="str">
        <f>IF(Sheet1!B592="A","Branch A",IF(Sheet1!B592="B","Branch B","Other Branch"))</f>
        <v>Other Branch</v>
      </c>
      <c r="O592" s="13" t="str">
        <f>IF(Sheet1!M592="Credit card","Credit Payment","Other")</f>
        <v>Credit Payment</v>
      </c>
      <c r="P592" s="13" t="str">
        <f>IF(Sheet1!O592&gt;7,"Yes","No")</f>
        <v>No</v>
      </c>
    </row>
    <row r="593" spans="5:16">
      <c r="E593" s="13" t="str">
        <v>788</v>
      </c>
      <c r="F593" s="13" t="str">
        <v>8452</v>
      </c>
      <c r="G593" s="13" t="str">
        <v>07</v>
      </c>
      <c r="H593" s="13" t="str">
        <f>_xlfn.CONCAT(Sheet1!A593," --&gt; ",Sheet1!J593)</f>
        <v>788-07-8452 --&gt; 178.164</v>
      </c>
      <c r="I593" s="13" t="str">
        <f>_xlfn.CONCAT(Sheet1!C593,"_",TEXT(Sheet1!K593, "m/d/yyyy"))</f>
        <v>Naypyitaw_1/27/2019</v>
      </c>
      <c r="J593" s="13" t="str">
        <f>IF(Sheet1!I593=Sheet1!N593*0.05,"Valid","Error")</f>
        <v>Valid</v>
      </c>
      <c r="K593" s="13" t="str">
        <f>IF(Sheet1!N593=Sheet1!G593*Sheet1!H593,"True","False")</f>
        <v>True</v>
      </c>
      <c r="L593" s="13" t="b">
        <v>1</v>
      </c>
      <c r="M593" s="9" t="b">
        <f>ISNUMBER(Sheet1!J593)</f>
        <v>1</v>
      </c>
      <c r="N593" s="13" t="str">
        <f>IF(Sheet1!B593="A","Branch A",IF(Sheet1!B593="B","Branch B","Other Branch"))</f>
        <v>Other Branch</v>
      </c>
      <c r="O593" s="13" t="str">
        <f>IF(Sheet1!M593="Credit card","Credit Payment","Other")</f>
        <v>Other</v>
      </c>
      <c r="P593" s="13" t="str">
        <f>IF(Sheet1!O593&gt;7,"Yes","No")</f>
        <v>Yes</v>
      </c>
    </row>
    <row r="594" spans="5:16">
      <c r="E594" s="13" t="str">
        <v>560</v>
      </c>
      <c r="F594" s="13" t="str">
        <v>6611</v>
      </c>
      <c r="G594" s="13" t="str">
        <v>49</v>
      </c>
      <c r="H594" s="13" t="str">
        <f>_xlfn.CONCAT(Sheet1!A594," --&gt; ",Sheet1!J594)</f>
        <v>560-49-6611 --&gt; 47.859</v>
      </c>
      <c r="I594" s="13" t="str">
        <f>_xlfn.CONCAT(Sheet1!C594,"_",TEXT(Sheet1!K594, "m/d/yyyy"))</f>
        <v>Yangon_2/7/2019</v>
      </c>
      <c r="J594" s="13" t="str">
        <f>IF(Sheet1!I594=Sheet1!N594*0.05,"Valid","Error")</f>
        <v>Valid</v>
      </c>
      <c r="K594" s="13" t="str">
        <f>IF(Sheet1!N594=Sheet1!G594*Sheet1!H594,"True","False")</f>
        <v>True</v>
      </c>
      <c r="L594" s="13" t="b">
        <v>1</v>
      </c>
      <c r="M594" s="9" t="b">
        <f>ISNUMBER(Sheet1!J594)</f>
        <v>1</v>
      </c>
      <c r="N594" s="13" t="str">
        <f>IF(Sheet1!B594="A","Branch A",IF(Sheet1!B594="B","Branch B","Other Branch"))</f>
        <v>Branch A</v>
      </c>
      <c r="O594" s="13" t="str">
        <f>IF(Sheet1!M594="Credit card","Credit Payment","Other")</f>
        <v>Other</v>
      </c>
      <c r="P594" s="13" t="str">
        <f>IF(Sheet1!O594&gt;7,"Yes","No")</f>
        <v>Yes</v>
      </c>
    </row>
    <row r="595" spans="5:16">
      <c r="E595" s="13" t="str">
        <v>880</v>
      </c>
      <c r="F595" s="13" t="str">
        <v>0356</v>
      </c>
      <c r="G595" s="13" t="str">
        <v>35</v>
      </c>
      <c r="H595" s="13" t="str">
        <f>_xlfn.CONCAT(Sheet1!A595," --&gt; ",Sheet1!J595)</f>
        <v>880-35-0356 --&gt; 236.88</v>
      </c>
      <c r="I595" s="13" t="str">
        <f>_xlfn.CONCAT(Sheet1!C595,"_",TEXT(Sheet1!K595, "m/d/yyyy"))</f>
        <v>Yangon_2/5/2019</v>
      </c>
      <c r="J595" s="13" t="str">
        <f>IF(Sheet1!I595=Sheet1!N595*0.05,"Valid","Error")</f>
        <v>Valid</v>
      </c>
      <c r="K595" s="13" t="str">
        <f>IF(Sheet1!N595=Sheet1!G595*Sheet1!H595,"True","False")</f>
        <v>True</v>
      </c>
      <c r="L595" s="13" t="b">
        <v>1</v>
      </c>
      <c r="M595" s="9" t="b">
        <f>ISNUMBER(Sheet1!J595)</f>
        <v>1</v>
      </c>
      <c r="N595" s="13" t="str">
        <f>IF(Sheet1!B595="A","Branch A",IF(Sheet1!B595="B","Branch B","Other Branch"))</f>
        <v>Branch A</v>
      </c>
      <c r="O595" s="13" t="str">
        <f>IF(Sheet1!M595="Credit card","Credit Payment","Other")</f>
        <v>Other</v>
      </c>
      <c r="P595" s="13" t="str">
        <f>IF(Sheet1!O595&gt;7,"Yes","No")</f>
        <v>No</v>
      </c>
    </row>
    <row r="596" spans="5:16">
      <c r="E596" s="13" t="str">
        <v>585</v>
      </c>
      <c r="F596" s="13" t="str">
        <v>6748</v>
      </c>
      <c r="G596" s="13" t="str">
        <v>11</v>
      </c>
      <c r="H596" s="13" t="str">
        <f>_xlfn.CONCAT(Sheet1!A596," --&gt; ",Sheet1!J596)</f>
        <v>585-11-6748 --&gt; 304.92</v>
      </c>
      <c r="I596" s="13" t="str">
        <f>_xlfn.CONCAT(Sheet1!C596,"_",TEXT(Sheet1!K596, "m/d/yyyy"))</f>
        <v>Mandalay_3/15/2019</v>
      </c>
      <c r="J596" s="13" t="str">
        <f>IF(Sheet1!I596=Sheet1!N596*0.05,"Valid","Error")</f>
        <v>Valid</v>
      </c>
      <c r="K596" s="13" t="str">
        <f>IF(Sheet1!N596=Sheet1!G596*Sheet1!H596,"True","False")</f>
        <v>True</v>
      </c>
      <c r="L596" s="13" t="b">
        <v>1</v>
      </c>
      <c r="M596" s="9" t="b">
        <f>ISNUMBER(Sheet1!J596)</f>
        <v>1</v>
      </c>
      <c r="N596" s="13" t="str">
        <f>IF(Sheet1!B596="A","Branch A",IF(Sheet1!B596="B","Branch B","Other Branch"))</f>
        <v>Branch B</v>
      </c>
      <c r="O596" s="13" t="str">
        <f>IF(Sheet1!M596="Credit card","Credit Payment","Other")</f>
        <v>Other</v>
      </c>
      <c r="P596" s="13" t="str">
        <f>IF(Sheet1!O596&gt;7,"Yes","No")</f>
        <v>No</v>
      </c>
    </row>
    <row r="597" spans="5:16">
      <c r="E597" s="13" t="str">
        <v>470</v>
      </c>
      <c r="F597" s="13" t="str">
        <v>3286</v>
      </c>
      <c r="G597" s="13" t="str">
        <v>31</v>
      </c>
      <c r="H597" s="13" t="str">
        <f>_xlfn.CONCAT(Sheet1!A597," --&gt; ",Sheet1!J597)</f>
        <v>470-31-3286 --&gt; 46.683</v>
      </c>
      <c r="I597" s="13" t="str">
        <f>_xlfn.CONCAT(Sheet1!C597,"_",TEXT(Sheet1!K597, "m/d/yyyy"))</f>
        <v>Mandalay_3/1/2019</v>
      </c>
      <c r="J597" s="13" t="str">
        <f>IF(Sheet1!I597=Sheet1!N597*0.05,"Valid","Error")</f>
        <v>Valid</v>
      </c>
      <c r="K597" s="13" t="str">
        <f>IF(Sheet1!N597=Sheet1!G597*Sheet1!H597,"True","False")</f>
        <v>True</v>
      </c>
      <c r="L597" s="13" t="b">
        <v>1</v>
      </c>
      <c r="M597" s="9" t="b">
        <f>ISNUMBER(Sheet1!J597)</f>
        <v>1</v>
      </c>
      <c r="N597" s="13" t="str">
        <f>IF(Sheet1!B597="A","Branch A",IF(Sheet1!B597="B","Branch B","Other Branch"))</f>
        <v>Branch B</v>
      </c>
      <c r="O597" s="13" t="str">
        <f>IF(Sheet1!M597="Credit card","Credit Payment","Other")</f>
        <v>Credit Payment</v>
      </c>
      <c r="P597" s="13" t="str">
        <f>IF(Sheet1!O597&gt;7,"Yes","No")</f>
        <v>Yes</v>
      </c>
    </row>
    <row r="598" spans="5:16">
      <c r="E598" s="13" t="str">
        <v>152</v>
      </c>
      <c r="F598" s="13" t="str">
        <v>2907</v>
      </c>
      <c r="G598" s="13" t="str">
        <v>68</v>
      </c>
      <c r="H598" s="13" t="str">
        <f>_xlfn.CONCAT(Sheet1!A598," --&gt; ",Sheet1!J598)</f>
        <v>152-68-2907 --&gt; 164.43</v>
      </c>
      <c r="I598" s="13" t="str">
        <f>_xlfn.CONCAT(Sheet1!C598,"_",TEXT(Sheet1!K598, "m/d/yyyy"))</f>
        <v>Yangon_2/15/2019</v>
      </c>
      <c r="J598" s="13" t="str">
        <f>IF(Sheet1!I598=Sheet1!N598*0.05,"Valid","Error")</f>
        <v>Valid</v>
      </c>
      <c r="K598" s="13" t="str">
        <f>IF(Sheet1!N598=Sheet1!G598*Sheet1!H598,"True","False")</f>
        <v>True</v>
      </c>
      <c r="L598" s="13" t="b">
        <v>1</v>
      </c>
      <c r="M598" s="9" t="b">
        <f>ISNUMBER(Sheet1!J598)</f>
        <v>1</v>
      </c>
      <c r="N598" s="13" t="str">
        <f>IF(Sheet1!B598="A","Branch A",IF(Sheet1!B598="B","Branch B","Other Branch"))</f>
        <v>Branch A</v>
      </c>
      <c r="O598" s="13" t="str">
        <f>IF(Sheet1!M598="Credit card","Credit Payment","Other")</f>
        <v>Credit Payment</v>
      </c>
      <c r="P598" s="13" t="str">
        <f>IF(Sheet1!O598&gt;7,"Yes","No")</f>
        <v>Yes</v>
      </c>
    </row>
    <row r="599" spans="5:16">
      <c r="E599" s="13" t="str">
        <v>123</v>
      </c>
      <c r="F599" s="13" t="str">
        <v>4896</v>
      </c>
      <c r="G599" s="13" t="str">
        <v>35</v>
      </c>
      <c r="H599" s="13" t="str">
        <f>_xlfn.CONCAT(Sheet1!A599," --&gt; ",Sheet1!J599)</f>
        <v>123-35-4896 --&gt; 440.937</v>
      </c>
      <c r="I599" s="13" t="str">
        <f>_xlfn.CONCAT(Sheet1!C599,"_",TEXT(Sheet1!K599, "m/d/yyyy"))</f>
        <v>Naypyitaw_2/17/2019</v>
      </c>
      <c r="J599" s="13" t="str">
        <f>IF(Sheet1!I599=Sheet1!N599*0.05,"Valid","Error")</f>
        <v>Valid</v>
      </c>
      <c r="K599" s="13" t="str">
        <f>IF(Sheet1!N599=Sheet1!G599*Sheet1!H599,"True","False")</f>
        <v>True</v>
      </c>
      <c r="L599" s="13" t="b">
        <v>1</v>
      </c>
      <c r="M599" s="9" t="b">
        <f>ISNUMBER(Sheet1!J599)</f>
        <v>1</v>
      </c>
      <c r="N599" s="13" t="str">
        <f>IF(Sheet1!B599="A","Branch A",IF(Sheet1!B599="B","Branch B","Other Branch"))</f>
        <v>Other Branch</v>
      </c>
      <c r="O599" s="13" t="str">
        <f>IF(Sheet1!M599="Credit card","Credit Payment","Other")</f>
        <v>Other</v>
      </c>
      <c r="P599" s="13" t="str">
        <f>IF(Sheet1!O599&gt;7,"Yes","No")</f>
        <v>No</v>
      </c>
    </row>
    <row r="600" spans="5:16">
      <c r="E600" s="13" t="str">
        <v>258</v>
      </c>
      <c r="F600" s="13" t="str">
        <v>7810</v>
      </c>
      <c r="G600" s="13" t="str">
        <v>69</v>
      </c>
      <c r="H600" s="13" t="str">
        <f>_xlfn.CONCAT(Sheet1!A600," --&gt; ",Sheet1!J600)</f>
        <v>258-69-7810 --&gt; 193.4625</v>
      </c>
      <c r="I600" s="13" t="str">
        <f>_xlfn.CONCAT(Sheet1!C600,"_",TEXT(Sheet1!K600, "m/d/yyyy"))</f>
        <v>Naypyitaw_1/26/2019</v>
      </c>
      <c r="J600" s="13" t="str">
        <f>IF(Sheet1!I600=Sheet1!N600*0.05,"Valid","Error")</f>
        <v>Valid</v>
      </c>
      <c r="K600" s="13" t="str">
        <f>IF(Sheet1!N600=Sheet1!G600*Sheet1!H600,"True","False")</f>
        <v>True</v>
      </c>
      <c r="L600" s="13" t="b">
        <v>1</v>
      </c>
      <c r="M600" s="9" t="b">
        <f>ISNUMBER(Sheet1!J600)</f>
        <v>1</v>
      </c>
      <c r="N600" s="13" t="str">
        <f>IF(Sheet1!B600="A","Branch A",IF(Sheet1!B600="B","Branch B","Other Branch"))</f>
        <v>Other Branch</v>
      </c>
      <c r="O600" s="13" t="str">
        <f>IF(Sheet1!M600="Credit card","Credit Payment","Other")</f>
        <v>Other</v>
      </c>
      <c r="P600" s="13" t="str">
        <f>IF(Sheet1!O600&gt;7,"Yes","No")</f>
        <v>Yes</v>
      </c>
    </row>
    <row r="601" spans="5:16">
      <c r="E601" s="13" t="str">
        <v>334</v>
      </c>
      <c r="F601" s="13" t="str">
        <v>2006</v>
      </c>
      <c r="G601" s="13" t="str">
        <v>64</v>
      </c>
      <c r="H601" s="13" t="str">
        <f>_xlfn.CONCAT(Sheet1!A601," --&gt; ",Sheet1!J601)</f>
        <v>334-64-2006 --&gt; 147.672</v>
      </c>
      <c r="I601" s="13" t="str">
        <f>_xlfn.CONCAT(Sheet1!C601,"_",TEXT(Sheet1!K601, "m/d/yyyy"))</f>
        <v>Yangon_3/24/2019</v>
      </c>
      <c r="J601" s="13" t="str">
        <f>IF(Sheet1!I601=Sheet1!N601*0.05,"Valid","Error")</f>
        <v>Valid</v>
      </c>
      <c r="K601" s="13" t="str">
        <f>IF(Sheet1!N601=Sheet1!G601*Sheet1!H601,"True","False")</f>
        <v>True</v>
      </c>
      <c r="L601" s="13" t="b">
        <v>1</v>
      </c>
      <c r="M601" s="9" t="b">
        <f>ISNUMBER(Sheet1!J601)</f>
        <v>1</v>
      </c>
      <c r="N601" s="13" t="str">
        <f>IF(Sheet1!B601="A","Branch A",IF(Sheet1!B601="B","Branch B","Other Branch"))</f>
        <v>Branch A</v>
      </c>
      <c r="O601" s="13" t="str">
        <f>IF(Sheet1!M601="Credit card","Credit Payment","Other")</f>
        <v>Other</v>
      </c>
      <c r="P601" s="13" t="str">
        <f>IF(Sheet1!O601&gt;7,"Yes","No")</f>
        <v>Yes</v>
      </c>
    </row>
    <row r="602" spans="5:16">
      <c r="E602" s="13" t="str">
        <v>219</v>
      </c>
      <c r="F602" s="13" t="str">
        <v>4139</v>
      </c>
      <c r="G602" s="13" t="str">
        <v>61</v>
      </c>
      <c r="H602" s="13" t="str">
        <f>_xlfn.CONCAT(Sheet1!A602," --&gt; ",Sheet1!J602)</f>
        <v>219-61-4139 --&gt; 87.234</v>
      </c>
      <c r="I602" s="13" t="str">
        <f>_xlfn.CONCAT(Sheet1!C602,"_",TEXT(Sheet1!K602, "m/d/yyyy"))</f>
        <v>Naypyitaw_1/23/2019</v>
      </c>
      <c r="J602" s="13" t="str">
        <f>IF(Sheet1!I602=Sheet1!N602*0.05,"Valid","Error")</f>
        <v>Valid</v>
      </c>
      <c r="K602" s="13" t="str">
        <f>IF(Sheet1!N602=Sheet1!G602*Sheet1!H602,"True","False")</f>
        <v>True</v>
      </c>
      <c r="L602" s="13" t="b">
        <v>1</v>
      </c>
      <c r="M602" s="9" t="b">
        <f>ISNUMBER(Sheet1!J602)</f>
        <v>1</v>
      </c>
      <c r="N602" s="13" t="str">
        <f>IF(Sheet1!B602="A","Branch A",IF(Sheet1!B602="B","Branch B","Other Branch"))</f>
        <v>Other Branch</v>
      </c>
      <c r="O602" s="13" t="str">
        <f>IF(Sheet1!M602="Credit card","Credit Payment","Other")</f>
        <v>Other</v>
      </c>
      <c r="P602" s="13" t="str">
        <f>IF(Sheet1!O602&gt;7,"Yes","No")</f>
        <v>No</v>
      </c>
    </row>
    <row r="603" spans="5:16">
      <c r="E603" s="13" t="str">
        <v>881</v>
      </c>
      <c r="F603" s="13" t="str">
        <v>7302</v>
      </c>
      <c r="G603" s="13" t="str">
        <v>41</v>
      </c>
      <c r="H603" s="13" t="str">
        <f>_xlfn.CONCAT(Sheet1!A603," --&gt; ",Sheet1!J603)</f>
        <v>881-41-7302 --&gt; 68.2395</v>
      </c>
      <c r="I603" s="13" t="str">
        <f>_xlfn.CONCAT(Sheet1!C603,"_",TEXT(Sheet1!K603, "m/d/yyyy"))</f>
        <v>Naypyitaw_1/26/2019</v>
      </c>
      <c r="J603" s="13" t="str">
        <f>IF(Sheet1!I603=Sheet1!N603*0.05,"Valid","Error")</f>
        <v>Valid</v>
      </c>
      <c r="K603" s="13" t="str">
        <f>IF(Sheet1!N603=Sheet1!G603*Sheet1!H603,"True","False")</f>
        <v>True</v>
      </c>
      <c r="L603" s="13" t="b">
        <v>1</v>
      </c>
      <c r="M603" s="9" t="b">
        <f>ISNUMBER(Sheet1!J603)</f>
        <v>1</v>
      </c>
      <c r="N603" s="13" t="str">
        <f>IF(Sheet1!B603="A","Branch A",IF(Sheet1!B603="B","Branch B","Other Branch"))</f>
        <v>Other Branch</v>
      </c>
      <c r="O603" s="13" t="str">
        <f>IF(Sheet1!M603="Credit card","Credit Payment","Other")</f>
        <v>Credit Payment</v>
      </c>
      <c r="P603" s="13" t="str">
        <f>IF(Sheet1!O603&gt;7,"Yes","No")</f>
        <v>No</v>
      </c>
    </row>
    <row r="604" spans="5:16">
      <c r="E604" s="13" t="str">
        <v>373</v>
      </c>
      <c r="F604" s="13" t="str">
        <v>4567</v>
      </c>
      <c r="G604" s="13" t="str">
        <v>09</v>
      </c>
      <c r="H604" s="13" t="str">
        <f>_xlfn.CONCAT(Sheet1!A604," --&gt; ",Sheet1!J604)</f>
        <v>373-09-4567 --&gt; 814.38</v>
      </c>
      <c r="I604" s="13" t="str">
        <f>_xlfn.CONCAT(Sheet1!C604,"_",TEXT(Sheet1!K604, "m/d/yyyy"))</f>
        <v>Naypyitaw_3/14/2019</v>
      </c>
      <c r="J604" s="13" t="str">
        <f>IF(Sheet1!I604=Sheet1!N604*0.05,"Valid","Error")</f>
        <v>Valid</v>
      </c>
      <c r="K604" s="13" t="str">
        <f>IF(Sheet1!N604=Sheet1!G604*Sheet1!H604,"True","False")</f>
        <v>True</v>
      </c>
      <c r="L604" s="13" t="b">
        <v>1</v>
      </c>
      <c r="M604" s="9" t="b">
        <f>ISNUMBER(Sheet1!J604)</f>
        <v>1</v>
      </c>
      <c r="N604" s="13" t="str">
        <f>IF(Sheet1!B604="A","Branch A",IF(Sheet1!B604="B","Branch B","Other Branch"))</f>
        <v>Other Branch</v>
      </c>
      <c r="O604" s="13" t="str">
        <f>IF(Sheet1!M604="Credit card","Credit Payment","Other")</f>
        <v>Other</v>
      </c>
      <c r="P604" s="13" t="str">
        <f>IF(Sheet1!O604&gt;7,"Yes","No")</f>
        <v>No</v>
      </c>
    </row>
    <row r="605" spans="5:16">
      <c r="E605" s="13" t="str">
        <v>642</v>
      </c>
      <c r="F605" s="13" t="str">
        <v>6693</v>
      </c>
      <c r="G605" s="13" t="str">
        <v>30</v>
      </c>
      <c r="H605" s="13" t="str">
        <f>_xlfn.CONCAT(Sheet1!A605," --&gt; ",Sheet1!J605)</f>
        <v>642-30-6693 --&gt; 343.413</v>
      </c>
      <c r="I605" s="13" t="str">
        <f>_xlfn.CONCAT(Sheet1!C605,"_",TEXT(Sheet1!K605, "m/d/yyyy"))</f>
        <v>Mandalay_3/17/2019</v>
      </c>
      <c r="J605" s="13" t="str">
        <f>IF(Sheet1!I605=Sheet1!N605*0.05,"Valid","Error")</f>
        <v>Valid</v>
      </c>
      <c r="K605" s="13" t="str">
        <f>IF(Sheet1!N605=Sheet1!G605*Sheet1!H605,"True","False")</f>
        <v>True</v>
      </c>
      <c r="L605" s="13" t="b">
        <v>1</v>
      </c>
      <c r="M605" s="9" t="b">
        <f>ISNUMBER(Sheet1!J605)</f>
        <v>1</v>
      </c>
      <c r="N605" s="13" t="str">
        <f>IF(Sheet1!B605="A","Branch A",IF(Sheet1!B605="B","Branch B","Other Branch"))</f>
        <v>Branch B</v>
      </c>
      <c r="O605" s="13" t="str">
        <f>IF(Sheet1!M605="Credit card","Credit Payment","Other")</f>
        <v>Other</v>
      </c>
      <c r="P605" s="13" t="str">
        <f>IF(Sheet1!O605&gt;7,"Yes","No")</f>
        <v>Yes</v>
      </c>
    </row>
    <row r="606" spans="5:16">
      <c r="E606" s="13" t="str">
        <v>484</v>
      </c>
      <c r="F606" s="13" t="str">
        <v>8230</v>
      </c>
      <c r="G606" s="13" t="str">
        <v>22</v>
      </c>
      <c r="H606" s="13" t="str">
        <f>_xlfn.CONCAT(Sheet1!A606," --&gt; ",Sheet1!J606)</f>
        <v>484-22-8230 --&gt; 381.3915</v>
      </c>
      <c r="I606" s="13" t="str">
        <f>_xlfn.CONCAT(Sheet1!C606,"_",TEXT(Sheet1!K606, "m/d/yyyy"))</f>
        <v>Naypyitaw_1/8/2019</v>
      </c>
      <c r="J606" s="13" t="str">
        <f>IF(Sheet1!I606=Sheet1!N606*0.05,"Valid","Error")</f>
        <v>Valid</v>
      </c>
      <c r="K606" s="13" t="str">
        <f>IF(Sheet1!N606=Sheet1!G606*Sheet1!H606,"True","False")</f>
        <v>True</v>
      </c>
      <c r="L606" s="13" t="b">
        <v>1</v>
      </c>
      <c r="M606" s="9" t="b">
        <f>ISNUMBER(Sheet1!J606)</f>
        <v>1</v>
      </c>
      <c r="N606" s="13" t="str">
        <f>IF(Sheet1!B606="A","Branch A",IF(Sheet1!B606="B","Branch B","Other Branch"))</f>
        <v>Other Branch</v>
      </c>
      <c r="O606" s="13" t="str">
        <f>IF(Sheet1!M606="Credit card","Credit Payment","Other")</f>
        <v>Other</v>
      </c>
      <c r="P606" s="13" t="str">
        <f>IF(Sheet1!O606&gt;7,"Yes","No")</f>
        <v>No</v>
      </c>
    </row>
    <row r="607" spans="5:16">
      <c r="E607" s="13" t="str">
        <v>830</v>
      </c>
      <c r="F607" s="13" t="str">
        <v>2383</v>
      </c>
      <c r="G607" s="13" t="str">
        <v>58</v>
      </c>
      <c r="H607" s="13" t="str">
        <f>_xlfn.CONCAT(Sheet1!A607," --&gt; ",Sheet1!J607)</f>
        <v>830-58-2383 --&gt; 133.35</v>
      </c>
      <c r="I607" s="13" t="str">
        <f>_xlfn.CONCAT(Sheet1!C607,"_",TEXT(Sheet1!K607, "m/d/yyyy"))</f>
        <v>Mandalay_2/8/2019</v>
      </c>
      <c r="J607" s="13" t="str">
        <f>IF(Sheet1!I607=Sheet1!N607*0.05,"Valid","Error")</f>
        <v>Valid</v>
      </c>
      <c r="K607" s="13" t="str">
        <f>IF(Sheet1!N607=Sheet1!G607*Sheet1!H607,"True","False")</f>
        <v>True</v>
      </c>
      <c r="L607" s="13" t="b">
        <v>1</v>
      </c>
      <c r="M607" s="9" t="b">
        <f>ISNUMBER(Sheet1!J607)</f>
        <v>1</v>
      </c>
      <c r="N607" s="13" t="str">
        <f>IF(Sheet1!B607="A","Branch A",IF(Sheet1!B607="B","Branch B","Other Branch"))</f>
        <v>Branch B</v>
      </c>
      <c r="O607" s="13" t="str">
        <f>IF(Sheet1!M607="Credit card","Credit Payment","Other")</f>
        <v>Other</v>
      </c>
      <c r="P607" s="13" t="str">
        <f>IF(Sheet1!O607&gt;7,"Yes","No")</f>
        <v>Yes</v>
      </c>
    </row>
    <row r="608" spans="5:16">
      <c r="E608" s="13" t="str">
        <v>559</v>
      </c>
      <c r="F608" s="13" t="str">
        <v>9873</v>
      </c>
      <c r="G608" s="13" t="str">
        <v>98</v>
      </c>
      <c r="H608" s="13" t="str">
        <f>_xlfn.CONCAT(Sheet1!A608," --&gt; ",Sheet1!J608)</f>
        <v>559-98-9873 --&gt; 394.3275</v>
      </c>
      <c r="I608" s="13" t="str">
        <f>_xlfn.CONCAT(Sheet1!C608,"_",TEXT(Sheet1!K608, "m/d/yyyy"))</f>
        <v>Yangon_2/10/2019</v>
      </c>
      <c r="J608" s="13" t="str">
        <f>IF(Sheet1!I608=Sheet1!N608*0.05,"Valid","Error")</f>
        <v>Valid</v>
      </c>
      <c r="K608" s="13" t="str">
        <f>IF(Sheet1!N608=Sheet1!G608*Sheet1!H608,"True","False")</f>
        <v>True</v>
      </c>
      <c r="L608" s="13" t="b">
        <v>1</v>
      </c>
      <c r="M608" s="9" t="b">
        <f>ISNUMBER(Sheet1!J608)</f>
        <v>1</v>
      </c>
      <c r="N608" s="13" t="str">
        <f>IF(Sheet1!B608="A","Branch A",IF(Sheet1!B608="B","Branch B","Other Branch"))</f>
        <v>Branch A</v>
      </c>
      <c r="O608" s="13" t="str">
        <f>IF(Sheet1!M608="Credit card","Credit Payment","Other")</f>
        <v>Other</v>
      </c>
      <c r="P608" s="13" t="str">
        <f>IF(Sheet1!O608&gt;7,"Yes","No")</f>
        <v>No</v>
      </c>
    </row>
    <row r="609" spans="5:16">
      <c r="E609" s="13" t="str">
        <v>544</v>
      </c>
      <c r="F609" s="13" t="str">
        <v>5024</v>
      </c>
      <c r="G609" s="13" t="str">
        <v>32</v>
      </c>
      <c r="H609" s="13" t="str">
        <f>_xlfn.CONCAT(Sheet1!A609," --&gt; ",Sheet1!J609)</f>
        <v>544-32-5024 --&gt; 209.118</v>
      </c>
      <c r="I609" s="13" t="str">
        <f>_xlfn.CONCAT(Sheet1!C609,"_",TEXT(Sheet1!K609, "m/d/yyyy"))</f>
        <v>Naypyitaw_3/28/2019</v>
      </c>
      <c r="J609" s="13" t="str">
        <f>IF(Sheet1!I609=Sheet1!N609*0.05,"Valid","Error")</f>
        <v>Valid</v>
      </c>
      <c r="K609" s="13" t="str">
        <f>IF(Sheet1!N609=Sheet1!G609*Sheet1!H609,"True","False")</f>
        <v>True</v>
      </c>
      <c r="L609" s="13" t="b">
        <v>1</v>
      </c>
      <c r="M609" s="9" t="b">
        <f>ISNUMBER(Sheet1!J609)</f>
        <v>1</v>
      </c>
      <c r="N609" s="13" t="str">
        <f>IF(Sheet1!B609="A","Branch A",IF(Sheet1!B609="B","Branch B","Other Branch"))</f>
        <v>Other Branch</v>
      </c>
      <c r="O609" s="13" t="str">
        <f>IF(Sheet1!M609="Credit card","Credit Payment","Other")</f>
        <v>Credit Payment</v>
      </c>
      <c r="P609" s="13" t="str">
        <f>IF(Sheet1!O609&gt;7,"Yes","No")</f>
        <v>No</v>
      </c>
    </row>
    <row r="610" spans="5:16">
      <c r="E610" s="13" t="str">
        <v>318</v>
      </c>
      <c r="F610" s="13" t="str">
        <v>0304</v>
      </c>
      <c r="G610" s="13" t="str">
        <v>12</v>
      </c>
      <c r="H610" s="13" t="str">
        <f>_xlfn.CONCAT(Sheet1!A610," --&gt; ",Sheet1!J610)</f>
        <v>318-12-0304 --&gt; 32.1405</v>
      </c>
      <c r="I610" s="13" t="str">
        <f>_xlfn.CONCAT(Sheet1!C610,"_",TEXT(Sheet1!K610, "m/d/yyyy"))</f>
        <v>Yangon_1/23/2019</v>
      </c>
      <c r="J610" s="13" t="str">
        <f>IF(Sheet1!I610=Sheet1!N610*0.05,"Valid","Error")</f>
        <v>Valid</v>
      </c>
      <c r="K610" s="13" t="str">
        <f>IF(Sheet1!N610=Sheet1!G610*Sheet1!H610,"True","False")</f>
        <v>True</v>
      </c>
      <c r="L610" s="13" t="b">
        <v>1</v>
      </c>
      <c r="M610" s="9" t="b">
        <f>ISNUMBER(Sheet1!J610)</f>
        <v>1</v>
      </c>
      <c r="N610" s="13" t="str">
        <f>IF(Sheet1!B610="A","Branch A",IF(Sheet1!B610="B","Branch B","Other Branch"))</f>
        <v>Branch A</v>
      </c>
      <c r="O610" s="13" t="str">
        <f>IF(Sheet1!M610="Credit card","Credit Payment","Other")</f>
        <v>Other</v>
      </c>
      <c r="P610" s="13" t="str">
        <f>IF(Sheet1!O610&gt;7,"Yes","No")</f>
        <v>No</v>
      </c>
    </row>
    <row r="611" spans="5:16">
      <c r="E611" s="13" t="str">
        <v>349</v>
      </c>
      <c r="F611" s="13" t="str">
        <v>8902</v>
      </c>
      <c r="G611" s="13" t="str">
        <v>97</v>
      </c>
      <c r="H611" s="13" t="str">
        <f>_xlfn.CONCAT(Sheet1!A611," --&gt; ",Sheet1!J611)</f>
        <v>349-97-8902 --&gt; 121.569</v>
      </c>
      <c r="I611" s="13" t="str">
        <f>_xlfn.CONCAT(Sheet1!C611,"_",TEXT(Sheet1!K611, "m/d/yyyy"))</f>
        <v>Mandalay_1/17/2019</v>
      </c>
      <c r="J611" s="13" t="str">
        <f>IF(Sheet1!I611=Sheet1!N611*0.05,"Valid","Error")</f>
        <v>Valid</v>
      </c>
      <c r="K611" s="13" t="str">
        <f>IF(Sheet1!N611=Sheet1!G611*Sheet1!H611,"True","False")</f>
        <v>True</v>
      </c>
      <c r="L611" s="13" t="b">
        <v>1</v>
      </c>
      <c r="M611" s="9" t="b">
        <f>ISNUMBER(Sheet1!J611)</f>
        <v>1</v>
      </c>
      <c r="N611" s="13" t="str">
        <f>IF(Sheet1!B611="A","Branch A",IF(Sheet1!B611="B","Branch B","Other Branch"))</f>
        <v>Branch B</v>
      </c>
      <c r="O611" s="13" t="str">
        <f>IF(Sheet1!M611="Credit card","Credit Payment","Other")</f>
        <v>Other</v>
      </c>
      <c r="P611" s="13" t="str">
        <f>IF(Sheet1!O611&gt;7,"Yes","No")</f>
        <v>Yes</v>
      </c>
    </row>
    <row r="612" spans="5:16">
      <c r="E612" s="13" t="str">
        <v>421</v>
      </c>
      <c r="F612" s="13" t="str">
        <v>9805</v>
      </c>
      <c r="G612" s="13" t="str">
        <v>95</v>
      </c>
      <c r="H612" s="13" t="str">
        <f>_xlfn.CONCAT(Sheet1!A612," --&gt; ",Sheet1!J612)</f>
        <v>421-95-9805 --&gt; 30.408</v>
      </c>
      <c r="I612" s="13" t="str">
        <f>_xlfn.CONCAT(Sheet1!C612,"_",TEXT(Sheet1!K612, "m/d/yyyy"))</f>
        <v>Yangon_2/7/2019</v>
      </c>
      <c r="J612" s="13" t="str">
        <f>IF(Sheet1!I612=Sheet1!N612*0.05,"Valid","Error")</f>
        <v>Valid</v>
      </c>
      <c r="K612" s="13" t="str">
        <f>IF(Sheet1!N612=Sheet1!G612*Sheet1!H612,"True","False")</f>
        <v>True</v>
      </c>
      <c r="L612" s="13" t="b">
        <v>1</v>
      </c>
      <c r="M612" s="9" t="b">
        <f>ISNUMBER(Sheet1!J612)</f>
        <v>1</v>
      </c>
      <c r="N612" s="13" t="str">
        <f>IF(Sheet1!B612="A","Branch A",IF(Sheet1!B612="B","Branch B","Other Branch"))</f>
        <v>Branch A</v>
      </c>
      <c r="O612" s="13" t="str">
        <f>IF(Sheet1!M612="Credit card","Credit Payment","Other")</f>
        <v>Credit Payment</v>
      </c>
      <c r="P612" s="13" t="str">
        <f>IF(Sheet1!O612&gt;7,"Yes","No")</f>
        <v>No</v>
      </c>
    </row>
    <row r="613" spans="5:16">
      <c r="E613" s="13" t="str">
        <v>277</v>
      </c>
      <c r="F613" s="13" t="str">
        <v>5865</v>
      </c>
      <c r="G613" s="13" t="str">
        <v>35</v>
      </c>
      <c r="H613" s="13" t="str">
        <f>_xlfn.CONCAT(Sheet1!A613," --&gt; ",Sheet1!J613)</f>
        <v>277-35-5865 --&gt; 935.2665</v>
      </c>
      <c r="I613" s="13" t="str">
        <f>_xlfn.CONCAT(Sheet1!C613,"_",TEXT(Sheet1!K613, "m/d/yyyy"))</f>
        <v>Naypyitaw_3/9/2019</v>
      </c>
      <c r="J613" s="13" t="str">
        <f>IF(Sheet1!I613=Sheet1!N613*0.05,"Valid","Error")</f>
        <v>Valid</v>
      </c>
      <c r="K613" s="13" t="str">
        <f>IF(Sheet1!N613=Sheet1!G613*Sheet1!H613,"True","False")</f>
        <v>True</v>
      </c>
      <c r="L613" s="13" t="b">
        <v>1</v>
      </c>
      <c r="M613" s="9" t="b">
        <f>ISNUMBER(Sheet1!J613)</f>
        <v>1</v>
      </c>
      <c r="N613" s="13" t="str">
        <f>IF(Sheet1!B613="A","Branch A",IF(Sheet1!B613="B","Branch B","Other Branch"))</f>
        <v>Other Branch</v>
      </c>
      <c r="O613" s="13" t="str">
        <f>IF(Sheet1!M613="Credit card","Credit Payment","Other")</f>
        <v>Other</v>
      </c>
      <c r="P613" s="13" t="str">
        <f>IF(Sheet1!O613&gt;7,"Yes","No")</f>
        <v>No</v>
      </c>
    </row>
    <row r="614" spans="5:16">
      <c r="E614" s="13" t="str">
        <v>789</v>
      </c>
      <c r="F614" s="13" t="str">
        <v>8625</v>
      </c>
      <c r="G614" s="13" t="str">
        <v>23</v>
      </c>
      <c r="H614" s="13" t="str">
        <f>_xlfn.CONCAT(Sheet1!A614," --&gt; ",Sheet1!J614)</f>
        <v>789-23-8625 --&gt; 293.643</v>
      </c>
      <c r="I614" s="13" t="str">
        <f>_xlfn.CONCAT(Sheet1!C614,"_",TEXT(Sheet1!K614, "m/d/yyyy"))</f>
        <v>Mandalay_1/24/2019</v>
      </c>
      <c r="J614" s="13" t="str">
        <f>IF(Sheet1!I614=Sheet1!N614*0.05,"Valid","Error")</f>
        <v>Valid</v>
      </c>
      <c r="K614" s="13" t="str">
        <f>IF(Sheet1!N614=Sheet1!G614*Sheet1!H614,"True","False")</f>
        <v>True</v>
      </c>
      <c r="L614" s="13" t="b">
        <v>1</v>
      </c>
      <c r="M614" s="9" t="b">
        <f>ISNUMBER(Sheet1!J614)</f>
        <v>1</v>
      </c>
      <c r="N614" s="13" t="str">
        <f>IF(Sheet1!B614="A","Branch A",IF(Sheet1!B614="B","Branch B","Other Branch"))</f>
        <v>Branch B</v>
      </c>
      <c r="O614" s="13" t="str">
        <f>IF(Sheet1!M614="Credit card","Credit Payment","Other")</f>
        <v>Other</v>
      </c>
      <c r="P614" s="13" t="str">
        <f>IF(Sheet1!O614&gt;7,"Yes","No")</f>
        <v>Yes</v>
      </c>
    </row>
    <row r="615" spans="5:16">
      <c r="E615" s="13" t="str">
        <v>284</v>
      </c>
      <c r="F615" s="13" t="str">
        <v>4231</v>
      </c>
      <c r="G615" s="13" t="str">
        <v>54</v>
      </c>
      <c r="H615" s="13" t="str">
        <f>_xlfn.CONCAT(Sheet1!A615," --&gt; ",Sheet1!J615)</f>
        <v>284-54-4231 --&gt; 84.9765</v>
      </c>
      <c r="I615" s="13" t="str">
        <f>_xlfn.CONCAT(Sheet1!C615,"_",TEXT(Sheet1!K615, "m/d/yyyy"))</f>
        <v>Naypyitaw_1/19/2019</v>
      </c>
      <c r="J615" s="13" t="str">
        <f>IF(Sheet1!I615=Sheet1!N615*0.05,"Valid","Error")</f>
        <v>Valid</v>
      </c>
      <c r="K615" s="13" t="str">
        <f>IF(Sheet1!N615=Sheet1!G615*Sheet1!H615,"True","False")</f>
        <v>True</v>
      </c>
      <c r="L615" s="13" t="b">
        <v>1</v>
      </c>
      <c r="M615" s="9" t="b">
        <f>ISNUMBER(Sheet1!J615)</f>
        <v>1</v>
      </c>
      <c r="N615" s="13" t="str">
        <f>IF(Sheet1!B615="A","Branch A",IF(Sheet1!B615="B","Branch B","Other Branch"))</f>
        <v>Other Branch</v>
      </c>
      <c r="O615" s="13" t="str">
        <f>IF(Sheet1!M615="Credit card","Credit Payment","Other")</f>
        <v>Credit Payment</v>
      </c>
      <c r="P615" s="13" t="str">
        <f>IF(Sheet1!O615&gt;7,"Yes","No")</f>
        <v>Yes</v>
      </c>
    </row>
    <row r="616" spans="5:16">
      <c r="E616" s="13" t="str">
        <v>443</v>
      </c>
      <c r="F616" s="13" t="str">
        <v>0061</v>
      </c>
      <c r="G616" s="13" t="str">
        <v>59</v>
      </c>
      <c r="H616" s="13" t="str">
        <f>_xlfn.CONCAT(Sheet1!A616," --&gt; ",Sheet1!J616)</f>
        <v>443-59-0061 --&gt; 708.225</v>
      </c>
      <c r="I616" s="13" t="str">
        <f>_xlfn.CONCAT(Sheet1!C616,"_",TEXT(Sheet1!K616, "m/d/yyyy"))</f>
        <v>Yangon_2/3/2019</v>
      </c>
      <c r="J616" s="13" t="str">
        <f>IF(Sheet1!I616=Sheet1!N616*0.05,"Valid","Error")</f>
        <v>Valid</v>
      </c>
      <c r="K616" s="13" t="str">
        <f>IF(Sheet1!N616=Sheet1!G616*Sheet1!H616,"True","False")</f>
        <v>True</v>
      </c>
      <c r="L616" s="13" t="b">
        <v>1</v>
      </c>
      <c r="M616" s="9" t="b">
        <f>ISNUMBER(Sheet1!J616)</f>
        <v>1</v>
      </c>
      <c r="N616" s="13" t="str">
        <f>IF(Sheet1!B616="A","Branch A",IF(Sheet1!B616="B","Branch B","Other Branch"))</f>
        <v>Branch A</v>
      </c>
      <c r="O616" s="13" t="str">
        <f>IF(Sheet1!M616="Credit card","Credit Payment","Other")</f>
        <v>Other</v>
      </c>
      <c r="P616" s="13" t="str">
        <f>IF(Sheet1!O616&gt;7,"Yes","No")</f>
        <v>No</v>
      </c>
    </row>
    <row r="617" spans="5:16">
      <c r="E617" s="13" t="str">
        <v>509</v>
      </c>
      <c r="F617" s="13" t="str">
        <v>3912</v>
      </c>
      <c r="G617" s="13" t="str">
        <v>29</v>
      </c>
      <c r="H617" s="13" t="str">
        <f>_xlfn.CONCAT(Sheet1!A617," --&gt; ",Sheet1!J617)</f>
        <v>509-29-3912 --&gt; 365.904</v>
      </c>
      <c r="I617" s="13" t="str">
        <f>_xlfn.CONCAT(Sheet1!C617,"_",TEXT(Sheet1!K617, "m/d/yyyy"))</f>
        <v>Yangon_3/20/2019</v>
      </c>
      <c r="J617" s="13" t="str">
        <f>IF(Sheet1!I617=Sheet1!N617*0.05,"Valid","Error")</f>
        <v>Valid</v>
      </c>
      <c r="K617" s="13" t="str">
        <f>IF(Sheet1!N617=Sheet1!G617*Sheet1!H617,"True","False")</f>
        <v>True</v>
      </c>
      <c r="L617" s="13" t="b">
        <v>1</v>
      </c>
      <c r="M617" s="9" t="b">
        <f>ISNUMBER(Sheet1!J617)</f>
        <v>1</v>
      </c>
      <c r="N617" s="13" t="str">
        <f>IF(Sheet1!B617="A","Branch A",IF(Sheet1!B617="B","Branch B","Other Branch"))</f>
        <v>Branch A</v>
      </c>
      <c r="O617" s="13" t="str">
        <f>IF(Sheet1!M617="Credit card","Credit Payment","Other")</f>
        <v>Other</v>
      </c>
      <c r="P617" s="13" t="str">
        <f>IF(Sheet1!O617&gt;7,"Yes","No")</f>
        <v>No</v>
      </c>
    </row>
    <row r="618" spans="5:16">
      <c r="E618" s="13" t="str">
        <v>327</v>
      </c>
      <c r="F618" s="13" t="str">
        <v>9673</v>
      </c>
      <c r="G618" s="13" t="str">
        <v>40</v>
      </c>
      <c r="H618" s="13" t="str">
        <f>_xlfn.CONCAT(Sheet1!A618," --&gt; ",Sheet1!J618)</f>
        <v>327-40-9673 --&gt; 457.38</v>
      </c>
      <c r="I618" s="13" t="str">
        <f>_xlfn.CONCAT(Sheet1!C618,"_",TEXT(Sheet1!K618, "m/d/yyyy"))</f>
        <v>Mandalay_1/13/2019</v>
      </c>
      <c r="J618" s="13" t="str">
        <f>IF(Sheet1!I618=Sheet1!N618*0.05,"Valid","Error")</f>
        <v>Valid</v>
      </c>
      <c r="K618" s="13" t="str">
        <f>IF(Sheet1!N618=Sheet1!G618*Sheet1!H618,"True","False")</f>
        <v>True</v>
      </c>
      <c r="L618" s="13" t="b">
        <v>1</v>
      </c>
      <c r="M618" s="9" t="b">
        <f>ISNUMBER(Sheet1!J618)</f>
        <v>1</v>
      </c>
      <c r="N618" s="13" t="str">
        <f>IF(Sheet1!B618="A","Branch A",IF(Sheet1!B618="B","Branch B","Other Branch"))</f>
        <v>Branch B</v>
      </c>
      <c r="O618" s="13" t="str">
        <f>IF(Sheet1!M618="Credit card","Credit Payment","Other")</f>
        <v>Other</v>
      </c>
      <c r="P618" s="13" t="str">
        <f>IF(Sheet1!O618&gt;7,"Yes","No")</f>
        <v>No</v>
      </c>
    </row>
    <row r="619" spans="5:16">
      <c r="E619" s="13" t="str">
        <v>840</v>
      </c>
      <c r="F619" s="13" t="str">
        <v>2096</v>
      </c>
      <c r="G619" s="13" t="str">
        <v>19</v>
      </c>
      <c r="H619" s="13" t="str">
        <f>_xlfn.CONCAT(Sheet1!A619," --&gt; ",Sheet1!J619)</f>
        <v>840-19-2096 --&gt; 461.5275</v>
      </c>
      <c r="I619" s="13" t="str">
        <f>_xlfn.CONCAT(Sheet1!C619,"_",TEXT(Sheet1!K619, "m/d/yyyy"))</f>
        <v>Naypyitaw_3/14/2019</v>
      </c>
      <c r="J619" s="13" t="str">
        <f>IF(Sheet1!I619=Sheet1!N619*0.05,"Valid","Error")</f>
        <v>Valid</v>
      </c>
      <c r="K619" s="13" t="str">
        <f>IF(Sheet1!N619=Sheet1!G619*Sheet1!H619,"True","False")</f>
        <v>True</v>
      </c>
      <c r="L619" s="13" t="b">
        <v>1</v>
      </c>
      <c r="M619" s="9" t="b">
        <f>ISNUMBER(Sheet1!J619)</f>
        <v>1</v>
      </c>
      <c r="N619" s="13" t="str">
        <f>IF(Sheet1!B619="A","Branch A",IF(Sheet1!B619="B","Branch B","Other Branch"))</f>
        <v>Other Branch</v>
      </c>
      <c r="O619" s="13" t="str">
        <f>IF(Sheet1!M619="Credit card","Credit Payment","Other")</f>
        <v>Other</v>
      </c>
      <c r="P619" s="13" t="str">
        <f>IF(Sheet1!O619&gt;7,"Yes","No")</f>
        <v>No</v>
      </c>
    </row>
    <row r="620" spans="5:16">
      <c r="E620" s="13" t="str">
        <v>828</v>
      </c>
      <c r="F620" s="13" t="str">
        <v>6863</v>
      </c>
      <c r="G620" s="13" t="str">
        <v>46</v>
      </c>
      <c r="H620" s="13" t="str">
        <f>_xlfn.CONCAT(Sheet1!A620," --&gt; ",Sheet1!J620)</f>
        <v>828-46-6863 --&gt; 620.739</v>
      </c>
      <c r="I620" s="13" t="str">
        <f>_xlfn.CONCAT(Sheet1!C620,"_",TEXT(Sheet1!K620, "m/d/yyyy"))</f>
        <v>Yangon_1/23/2019</v>
      </c>
      <c r="J620" s="13" t="str">
        <f>IF(Sheet1!I620=Sheet1!N620*0.05,"Valid","Error")</f>
        <v>Valid</v>
      </c>
      <c r="K620" s="13" t="str">
        <f>IF(Sheet1!N620=Sheet1!G620*Sheet1!H620,"True","False")</f>
        <v>True</v>
      </c>
      <c r="L620" s="13" t="b">
        <v>1</v>
      </c>
      <c r="M620" s="9" t="b">
        <f>ISNUMBER(Sheet1!J620)</f>
        <v>1</v>
      </c>
      <c r="N620" s="13" t="str">
        <f>IF(Sheet1!B620="A","Branch A",IF(Sheet1!B620="B","Branch B","Other Branch"))</f>
        <v>Branch A</v>
      </c>
      <c r="O620" s="13" t="str">
        <f>IF(Sheet1!M620="Credit card","Credit Payment","Other")</f>
        <v>Credit Payment</v>
      </c>
      <c r="P620" s="13" t="str">
        <f>IF(Sheet1!O620&gt;7,"Yes","No")</f>
        <v>No</v>
      </c>
    </row>
    <row r="621" spans="5:16">
      <c r="E621" s="13" t="str">
        <v>641</v>
      </c>
      <c r="F621" s="13" t="str">
        <v>3695</v>
      </c>
      <c r="G621" s="13" t="str">
        <v>96</v>
      </c>
      <c r="H621" s="13" t="str">
        <f>_xlfn.CONCAT(Sheet1!A621," --&gt; ",Sheet1!J621)</f>
        <v>641-96-3695 --&gt; 273.798</v>
      </c>
      <c r="I621" s="13" t="str">
        <f>_xlfn.CONCAT(Sheet1!C621,"_",TEXT(Sheet1!K621, "m/d/yyyy"))</f>
        <v>Naypyitaw_2/7/2019</v>
      </c>
      <c r="J621" s="13" t="str">
        <f>IF(Sheet1!I621=Sheet1!N621*0.05,"Valid","Error")</f>
        <v>Valid</v>
      </c>
      <c r="K621" s="13" t="str">
        <f>IF(Sheet1!N621=Sheet1!G621*Sheet1!H621,"True","False")</f>
        <v>True</v>
      </c>
      <c r="L621" s="13" t="b">
        <v>1</v>
      </c>
      <c r="M621" s="9" t="b">
        <f>ISNUMBER(Sheet1!J621)</f>
        <v>1</v>
      </c>
      <c r="N621" s="13" t="str">
        <f>IF(Sheet1!B621="A","Branch A",IF(Sheet1!B621="B","Branch B","Other Branch"))</f>
        <v>Other Branch</v>
      </c>
      <c r="O621" s="13" t="str">
        <f>IF(Sheet1!M621="Credit card","Credit Payment","Other")</f>
        <v>Other</v>
      </c>
      <c r="P621" s="13" t="str">
        <f>IF(Sheet1!O621&gt;7,"Yes","No")</f>
        <v>Yes</v>
      </c>
    </row>
    <row r="622" spans="5:16">
      <c r="E622" s="13" t="str">
        <v>420</v>
      </c>
      <c r="F622" s="13" t="str">
        <v>3340</v>
      </c>
      <c r="G622" s="13" t="str">
        <v>97</v>
      </c>
      <c r="H622" s="13" t="str">
        <f>_xlfn.CONCAT(Sheet1!A622," --&gt; ",Sheet1!J622)</f>
        <v>420-97-3340 --&gt; 225.792</v>
      </c>
      <c r="I622" s="13" t="str">
        <f>_xlfn.CONCAT(Sheet1!C622,"_",TEXT(Sheet1!K622, "m/d/yyyy"))</f>
        <v>Yangon_3/28/2019</v>
      </c>
      <c r="J622" s="13" t="str">
        <f>IF(Sheet1!I622=Sheet1!N622*0.05,"Valid","Error")</f>
        <v>Valid</v>
      </c>
      <c r="K622" s="13" t="str">
        <f>IF(Sheet1!N622=Sheet1!G622*Sheet1!H622,"True","False")</f>
        <v>True</v>
      </c>
      <c r="L622" s="13" t="b">
        <v>1</v>
      </c>
      <c r="M622" s="9" t="b">
        <f>ISNUMBER(Sheet1!J622)</f>
        <v>1</v>
      </c>
      <c r="N622" s="13" t="str">
        <f>IF(Sheet1!B622="A","Branch A",IF(Sheet1!B622="B","Branch B","Other Branch"))</f>
        <v>Branch A</v>
      </c>
      <c r="O622" s="13" t="str">
        <f>IF(Sheet1!M622="Credit card","Credit Payment","Other")</f>
        <v>Credit Payment</v>
      </c>
      <c r="P622" s="13" t="str">
        <f>IF(Sheet1!O622&gt;7,"Yes","No")</f>
        <v>Yes</v>
      </c>
    </row>
    <row r="623" spans="5:16">
      <c r="E623" s="13" t="str">
        <v>436</v>
      </c>
      <c r="F623" s="13" t="str">
        <v>4512</v>
      </c>
      <c r="G623" s="13" t="str">
        <v>54</v>
      </c>
      <c r="H623" s="13" t="str">
        <f>_xlfn.CONCAT(Sheet1!A623," --&gt; ",Sheet1!J623)</f>
        <v>436-54-4512 --&gt; 96.1905</v>
      </c>
      <c r="I623" s="13" t="str">
        <f>_xlfn.CONCAT(Sheet1!C623,"_",TEXT(Sheet1!K623, "m/d/yyyy"))</f>
        <v>Yangon_3/20/2019</v>
      </c>
      <c r="J623" s="13" t="str">
        <f>IF(Sheet1!I623=Sheet1!N623*0.05,"Valid","Error")</f>
        <v>Valid</v>
      </c>
      <c r="K623" s="13" t="str">
        <f>IF(Sheet1!N623=Sheet1!G623*Sheet1!H623,"True","False")</f>
        <v>True</v>
      </c>
      <c r="L623" s="13" t="b">
        <v>1</v>
      </c>
      <c r="M623" s="9" t="b">
        <f>ISNUMBER(Sheet1!J623)</f>
        <v>1</v>
      </c>
      <c r="N623" s="13" t="str">
        <f>IF(Sheet1!B623="A","Branch A",IF(Sheet1!B623="B","Branch B","Other Branch"))</f>
        <v>Branch A</v>
      </c>
      <c r="O623" s="13" t="str">
        <f>IF(Sheet1!M623="Credit card","Credit Payment","Other")</f>
        <v>Other</v>
      </c>
      <c r="P623" s="13" t="str">
        <f>IF(Sheet1!O623&gt;7,"Yes","No")</f>
        <v>Yes</v>
      </c>
    </row>
    <row r="624" spans="5:16">
      <c r="E624" s="13" t="str">
        <v>670</v>
      </c>
      <c r="F624" s="13" t="str">
        <v>6321</v>
      </c>
      <c r="G624" s="13" t="str">
        <v>79</v>
      </c>
      <c r="H624" s="13" t="str">
        <f>_xlfn.CONCAT(Sheet1!A624," --&gt; ",Sheet1!J624)</f>
        <v>670-79-6321 --&gt; 695.2365</v>
      </c>
      <c r="I624" s="13" t="str">
        <f>_xlfn.CONCAT(Sheet1!C624,"_",TEXT(Sheet1!K624, "m/d/yyyy"))</f>
        <v>Mandalay_1/17/2019</v>
      </c>
      <c r="J624" s="13" t="str">
        <f>IF(Sheet1!I624=Sheet1!N624*0.05,"Valid","Error")</f>
        <v>Valid</v>
      </c>
      <c r="K624" s="13" t="str">
        <f>IF(Sheet1!N624=Sheet1!G624*Sheet1!H624,"True","False")</f>
        <v>True</v>
      </c>
      <c r="L624" s="13" t="b">
        <v>1</v>
      </c>
      <c r="M624" s="9" t="b">
        <f>ISNUMBER(Sheet1!J624)</f>
        <v>1</v>
      </c>
      <c r="N624" s="13" t="str">
        <f>IF(Sheet1!B624="A","Branch A",IF(Sheet1!B624="B","Branch B","Other Branch"))</f>
        <v>Branch B</v>
      </c>
      <c r="O624" s="13" t="str">
        <f>IF(Sheet1!M624="Credit card","Credit Payment","Other")</f>
        <v>Credit Payment</v>
      </c>
      <c r="P624" s="13" t="str">
        <f>IF(Sheet1!O624&gt;7,"Yes","No")</f>
        <v>No</v>
      </c>
    </row>
    <row r="625" spans="5:16">
      <c r="E625" s="13" t="str">
        <v>852</v>
      </c>
      <c r="F625" s="13" t="str">
        <v>7105</v>
      </c>
      <c r="G625" s="13" t="str">
        <v>62</v>
      </c>
      <c r="H625" s="13" t="str">
        <f>_xlfn.CONCAT(Sheet1!A625," --&gt; ",Sheet1!J625)</f>
        <v>852-62-7105 --&gt; 874.125</v>
      </c>
      <c r="I625" s="13" t="str">
        <f>_xlfn.CONCAT(Sheet1!C625,"_",TEXT(Sheet1!K625, "m/d/yyyy"))</f>
        <v>Mandalay_1/12/2019</v>
      </c>
      <c r="J625" s="13" t="str">
        <f>IF(Sheet1!I625=Sheet1!N625*0.05,"Valid","Error")</f>
        <v>Valid</v>
      </c>
      <c r="K625" s="13" t="str">
        <f>IF(Sheet1!N625=Sheet1!G625*Sheet1!H625,"True","False")</f>
        <v>True</v>
      </c>
      <c r="L625" s="13" t="b">
        <v>1</v>
      </c>
      <c r="M625" s="9" t="b">
        <f>ISNUMBER(Sheet1!J625)</f>
        <v>1</v>
      </c>
      <c r="N625" s="13" t="str">
        <f>IF(Sheet1!B625="A","Branch A",IF(Sheet1!B625="B","Branch B","Other Branch"))</f>
        <v>Branch B</v>
      </c>
      <c r="O625" s="13" t="str">
        <f>IF(Sheet1!M625="Credit card","Credit Payment","Other")</f>
        <v>Credit Payment</v>
      </c>
      <c r="P625" s="13" t="str">
        <f>IF(Sheet1!O625&gt;7,"Yes","No")</f>
        <v>No</v>
      </c>
    </row>
    <row r="626" spans="5:16">
      <c r="E626" s="13" t="str">
        <v>598</v>
      </c>
      <c r="F626" s="13" t="str">
        <v>7312</v>
      </c>
      <c r="G626" s="13" t="str">
        <v>06</v>
      </c>
      <c r="H626" s="13" t="str">
        <f>_xlfn.CONCAT(Sheet1!A626," --&gt; ",Sheet1!J626)</f>
        <v>598-06-7312 --&gt; 95.9175</v>
      </c>
      <c r="I626" s="13" t="str">
        <f>_xlfn.CONCAT(Sheet1!C626,"_",TEXT(Sheet1!K626, "m/d/yyyy"))</f>
        <v>Mandalay_2/16/2019</v>
      </c>
      <c r="J626" s="13" t="str">
        <f>IF(Sheet1!I626=Sheet1!N626*0.05,"Valid","Error")</f>
        <v>Valid</v>
      </c>
      <c r="K626" s="13" t="str">
        <f>IF(Sheet1!N626=Sheet1!G626*Sheet1!H626,"True","False")</f>
        <v>True</v>
      </c>
      <c r="L626" s="13" t="b">
        <v>1</v>
      </c>
      <c r="M626" s="9" t="b">
        <f>ISNUMBER(Sheet1!J626)</f>
        <v>1</v>
      </c>
      <c r="N626" s="13" t="str">
        <f>IF(Sheet1!B626="A","Branch A",IF(Sheet1!B626="B","Branch B","Other Branch"))</f>
        <v>Branch B</v>
      </c>
      <c r="O626" s="13" t="str">
        <f>IF(Sheet1!M626="Credit card","Credit Payment","Other")</f>
        <v>Other</v>
      </c>
      <c r="P626" s="13" t="str">
        <f>IF(Sheet1!O626&gt;7,"Yes","No")</f>
        <v>No</v>
      </c>
    </row>
    <row r="627" spans="5:16">
      <c r="E627" s="13" t="str">
        <v>135</v>
      </c>
      <c r="F627" s="13" t="str">
        <v>8269</v>
      </c>
      <c r="G627" s="13" t="str">
        <v>13</v>
      </c>
      <c r="H627" s="13" t="str">
        <f>_xlfn.CONCAT(Sheet1!A627," --&gt; ",Sheet1!J627)</f>
        <v>135-13-8269 --&gt; 165.648</v>
      </c>
      <c r="I627" s="13" t="str">
        <f>_xlfn.CONCAT(Sheet1!C627,"_",TEXT(Sheet1!K627, "m/d/yyyy"))</f>
        <v>Mandalay_1/26/2019</v>
      </c>
      <c r="J627" s="13" t="str">
        <f>IF(Sheet1!I627=Sheet1!N627*0.05,"Valid","Error")</f>
        <v>Valid</v>
      </c>
      <c r="K627" s="13" t="str">
        <f>IF(Sheet1!N627=Sheet1!G627*Sheet1!H627,"True","False")</f>
        <v>True</v>
      </c>
      <c r="L627" s="13" t="b">
        <v>1</v>
      </c>
      <c r="M627" s="9" t="b">
        <f>ISNUMBER(Sheet1!J627)</f>
        <v>1</v>
      </c>
      <c r="N627" s="13" t="str">
        <f>IF(Sheet1!B627="A","Branch A",IF(Sheet1!B627="B","Branch B","Other Branch"))</f>
        <v>Branch B</v>
      </c>
      <c r="O627" s="13" t="str">
        <f>IF(Sheet1!M627="Credit card","Credit Payment","Other")</f>
        <v>Other</v>
      </c>
      <c r="P627" s="13" t="str">
        <f>IF(Sheet1!O627&gt;7,"Yes","No")</f>
        <v>Yes</v>
      </c>
    </row>
    <row r="628" spans="5:16">
      <c r="E628" s="13" t="str">
        <v>816</v>
      </c>
      <c r="F628" s="13" t="str">
        <v>2053</v>
      </c>
      <c r="G628" s="13" t="str">
        <v>57</v>
      </c>
      <c r="H628" s="13" t="str">
        <f>_xlfn.CONCAT(Sheet1!A628," --&gt; ",Sheet1!J628)</f>
        <v>816-57-2053 --&gt; 127.827</v>
      </c>
      <c r="I628" s="13" t="str">
        <f>_xlfn.CONCAT(Sheet1!C628,"_",TEXT(Sheet1!K628, "m/d/yyyy"))</f>
        <v>Yangon_3/9/2019</v>
      </c>
      <c r="J628" s="13" t="str">
        <f>IF(Sheet1!I628=Sheet1!N628*0.05,"Valid","Error")</f>
        <v>Valid</v>
      </c>
      <c r="K628" s="13" t="str">
        <f>IF(Sheet1!N628=Sheet1!G628*Sheet1!H628,"True","False")</f>
        <v>True</v>
      </c>
      <c r="L628" s="13" t="b">
        <v>1</v>
      </c>
      <c r="M628" s="9" t="b">
        <f>ISNUMBER(Sheet1!J628)</f>
        <v>1</v>
      </c>
      <c r="N628" s="13" t="str">
        <f>IF(Sheet1!B628="A","Branch A",IF(Sheet1!B628="B","Branch B","Other Branch"))</f>
        <v>Branch A</v>
      </c>
      <c r="O628" s="13" t="str">
        <f>IF(Sheet1!M628="Credit card","Credit Payment","Other")</f>
        <v>Other</v>
      </c>
      <c r="P628" s="13" t="str">
        <f>IF(Sheet1!O628&gt;7,"Yes","No")</f>
        <v>Yes</v>
      </c>
    </row>
    <row r="629" spans="5:16">
      <c r="E629" s="13" t="str">
        <v>628</v>
      </c>
      <c r="F629" s="13" t="str">
        <v>8624</v>
      </c>
      <c r="G629" s="13" t="str">
        <v>90</v>
      </c>
      <c r="H629" s="13" t="str">
        <f>_xlfn.CONCAT(Sheet1!A629," --&gt; ",Sheet1!J629)</f>
        <v>628-90-8624 --&gt; 867.09</v>
      </c>
      <c r="I629" s="13" t="str">
        <f>_xlfn.CONCAT(Sheet1!C629,"_",TEXT(Sheet1!K629, "m/d/yyyy"))</f>
        <v>Mandalay_3/14/2019</v>
      </c>
      <c r="J629" s="13" t="str">
        <f>IF(Sheet1!I629=Sheet1!N629*0.05,"Valid","Error")</f>
        <v>Valid</v>
      </c>
      <c r="K629" s="13" t="str">
        <f>IF(Sheet1!N629=Sheet1!G629*Sheet1!H629,"True","False")</f>
        <v>True</v>
      </c>
      <c r="L629" s="13" t="b">
        <v>1</v>
      </c>
      <c r="M629" s="9" t="b">
        <f>ISNUMBER(Sheet1!J629)</f>
        <v>1</v>
      </c>
      <c r="N629" s="13" t="str">
        <f>IF(Sheet1!B629="A","Branch A",IF(Sheet1!B629="B","Branch B","Other Branch"))</f>
        <v>Branch B</v>
      </c>
      <c r="O629" s="13" t="str">
        <f>IF(Sheet1!M629="Credit card","Credit Payment","Other")</f>
        <v>Other</v>
      </c>
      <c r="P629" s="13" t="str">
        <f>IF(Sheet1!O629&gt;7,"Yes","No")</f>
        <v>No</v>
      </c>
    </row>
    <row r="630" spans="5:16">
      <c r="E630" s="13" t="str">
        <v>856</v>
      </c>
      <c r="F630" s="13" t="str">
        <v>2701</v>
      </c>
      <c r="G630" s="13" t="str">
        <v>66</v>
      </c>
      <c r="H630" s="13" t="str">
        <f>_xlfn.CONCAT(Sheet1!A630," --&gt; ",Sheet1!J630)</f>
        <v>856-66-2701 --&gt; 167.895</v>
      </c>
      <c r="I630" s="13" t="str">
        <f>_xlfn.CONCAT(Sheet1!C630,"_",TEXT(Sheet1!K630, "m/d/yyyy"))</f>
        <v>Yangon_1/25/2019</v>
      </c>
      <c r="J630" s="13" t="str">
        <f>IF(Sheet1!I630=Sheet1!N630*0.05,"Valid","Error")</f>
        <v>Valid</v>
      </c>
      <c r="K630" s="13" t="str">
        <f>IF(Sheet1!N630=Sheet1!G630*Sheet1!H630,"True","False")</f>
        <v>True</v>
      </c>
      <c r="L630" s="13" t="b">
        <v>1</v>
      </c>
      <c r="M630" s="9" t="b">
        <f>ISNUMBER(Sheet1!J630)</f>
        <v>1</v>
      </c>
      <c r="N630" s="13" t="str">
        <f>IF(Sheet1!B630="A","Branch A",IF(Sheet1!B630="B","Branch B","Other Branch"))</f>
        <v>Branch A</v>
      </c>
      <c r="O630" s="13" t="str">
        <f>IF(Sheet1!M630="Credit card","Credit Payment","Other")</f>
        <v>Other</v>
      </c>
      <c r="P630" s="13" t="str">
        <f>IF(Sheet1!O630&gt;7,"Yes","No")</f>
        <v>Yes</v>
      </c>
    </row>
    <row r="631" spans="5:16">
      <c r="E631" s="13" t="str">
        <v>308</v>
      </c>
      <c r="F631" s="13" t="str">
        <v>1707</v>
      </c>
      <c r="G631" s="13" t="str">
        <v>39</v>
      </c>
      <c r="H631" s="13" t="str">
        <f>_xlfn.CONCAT(Sheet1!A631," --&gt; ",Sheet1!J631)</f>
        <v>308-39-1707 --&gt; 12.6945</v>
      </c>
      <c r="I631" s="13" t="str">
        <f>_xlfn.CONCAT(Sheet1!C631,"_",TEXT(Sheet1!K631, "m/d/yyyy"))</f>
        <v>Yangon_1/26/2019</v>
      </c>
      <c r="J631" s="13" t="str">
        <f>IF(Sheet1!I631=Sheet1!N631*0.05,"Valid","Error")</f>
        <v>Valid</v>
      </c>
      <c r="K631" s="13" t="str">
        <f>IF(Sheet1!N631=Sheet1!G631*Sheet1!H631,"True","False")</f>
        <v>True</v>
      </c>
      <c r="L631" s="13" t="b">
        <v>1</v>
      </c>
      <c r="M631" s="9" t="b">
        <f>ISNUMBER(Sheet1!J631)</f>
        <v>1</v>
      </c>
      <c r="N631" s="13" t="str">
        <f>IF(Sheet1!B631="A","Branch A",IF(Sheet1!B631="B","Branch B","Other Branch"))</f>
        <v>Branch A</v>
      </c>
      <c r="O631" s="13" t="str">
        <f>IF(Sheet1!M631="Credit card","Credit Payment","Other")</f>
        <v>Credit Payment</v>
      </c>
      <c r="P631" s="13" t="str">
        <f>IF(Sheet1!O631&gt;7,"Yes","No")</f>
        <v>Yes</v>
      </c>
    </row>
    <row r="632" spans="5:16">
      <c r="E632" s="13" t="str">
        <v>149</v>
      </c>
      <c r="F632" s="13" t="str">
        <v>1929</v>
      </c>
      <c r="G632" s="13" t="str">
        <v>61</v>
      </c>
      <c r="H632" s="13" t="str">
        <f>_xlfn.CONCAT(Sheet1!A632," --&gt; ",Sheet1!J632)</f>
        <v>149-61-1929 --&gt; 673.995</v>
      </c>
      <c r="I632" s="13" t="str">
        <f>_xlfn.CONCAT(Sheet1!C632,"_",TEXT(Sheet1!K632, "m/d/yyyy"))</f>
        <v>Yangon_1/19/2019</v>
      </c>
      <c r="J632" s="13" t="str">
        <f>IF(Sheet1!I632=Sheet1!N632*0.05,"Valid","Error")</f>
        <v>Valid</v>
      </c>
      <c r="K632" s="13" t="str">
        <f>IF(Sheet1!N632=Sheet1!G632*Sheet1!H632,"True","False")</f>
        <v>True</v>
      </c>
      <c r="L632" s="13" t="b">
        <v>1</v>
      </c>
      <c r="M632" s="9" t="b">
        <f>ISNUMBER(Sheet1!J632)</f>
        <v>1</v>
      </c>
      <c r="N632" s="13" t="str">
        <f>IF(Sheet1!B632="A","Branch A",IF(Sheet1!B632="B","Branch B","Other Branch"))</f>
        <v>Branch A</v>
      </c>
      <c r="O632" s="13" t="str">
        <f>IF(Sheet1!M632="Credit card","Credit Payment","Other")</f>
        <v>Credit Payment</v>
      </c>
      <c r="P632" s="13" t="str">
        <f>IF(Sheet1!O632&gt;7,"Yes","No")</f>
        <v>No</v>
      </c>
    </row>
    <row r="633" spans="5:16">
      <c r="E633" s="13" t="str">
        <v>655</v>
      </c>
      <c r="F633" s="13" t="str">
        <v>2265</v>
      </c>
      <c r="G633" s="13" t="str">
        <v>07</v>
      </c>
      <c r="H633" s="13" t="str">
        <f>_xlfn.CONCAT(Sheet1!A633," --&gt; ",Sheet1!J633)</f>
        <v>655-07-2265 --&gt; 246.6765</v>
      </c>
      <c r="I633" s="13" t="str">
        <f>_xlfn.CONCAT(Sheet1!C633,"_",TEXT(Sheet1!K633, "m/d/yyyy"))</f>
        <v>Yangon_3/5/2019</v>
      </c>
      <c r="J633" s="13" t="str">
        <f>IF(Sheet1!I633=Sheet1!N633*0.05,"Valid","Error")</f>
        <v>Valid</v>
      </c>
      <c r="K633" s="13" t="str">
        <f>IF(Sheet1!N633=Sheet1!G633*Sheet1!H633,"True","False")</f>
        <v>True</v>
      </c>
      <c r="L633" s="13" t="b">
        <v>1</v>
      </c>
      <c r="M633" s="9" t="b">
        <f>ISNUMBER(Sheet1!J633)</f>
        <v>1</v>
      </c>
      <c r="N633" s="13" t="str">
        <f>IF(Sheet1!B633="A","Branch A",IF(Sheet1!B633="B","Branch B","Other Branch"))</f>
        <v>Branch A</v>
      </c>
      <c r="O633" s="13" t="str">
        <f>IF(Sheet1!M633="Credit card","Credit Payment","Other")</f>
        <v>Other</v>
      </c>
      <c r="P633" s="13" t="str">
        <f>IF(Sheet1!O633&gt;7,"Yes","No")</f>
        <v>No</v>
      </c>
    </row>
    <row r="634" spans="5:16">
      <c r="E634" s="13" t="str">
        <v>589</v>
      </c>
      <c r="F634" s="13" t="str">
        <v>8023</v>
      </c>
      <c r="G634" s="13" t="str">
        <v>02</v>
      </c>
      <c r="H634" s="13" t="str">
        <f>_xlfn.CONCAT(Sheet1!A634," --&gt; ",Sheet1!J634)</f>
        <v>589-02-8023 --&gt; 175.917</v>
      </c>
      <c r="I634" s="13" t="str">
        <f>_xlfn.CONCAT(Sheet1!C634,"_",TEXT(Sheet1!K634, "m/d/yyyy"))</f>
        <v>Yangon_1/15/2019</v>
      </c>
      <c r="J634" s="13" t="str">
        <f>IF(Sheet1!I634=Sheet1!N634*0.05,"Valid","Error")</f>
        <v>Valid</v>
      </c>
      <c r="K634" s="13" t="str">
        <f>IF(Sheet1!N634=Sheet1!G634*Sheet1!H634,"True","False")</f>
        <v>True</v>
      </c>
      <c r="L634" s="13" t="b">
        <v>1</v>
      </c>
      <c r="M634" s="9" t="b">
        <f>ISNUMBER(Sheet1!J634)</f>
        <v>1</v>
      </c>
      <c r="N634" s="13" t="str">
        <f>IF(Sheet1!B634="A","Branch A",IF(Sheet1!B634="B","Branch B","Other Branch"))</f>
        <v>Branch A</v>
      </c>
      <c r="O634" s="13" t="str">
        <f>IF(Sheet1!M634="Credit card","Credit Payment","Other")</f>
        <v>Credit Payment</v>
      </c>
      <c r="P634" s="13" t="str">
        <f>IF(Sheet1!O634&gt;7,"Yes","No")</f>
        <v>No</v>
      </c>
    </row>
    <row r="635" spans="5:16">
      <c r="E635" s="13" t="str">
        <v>420</v>
      </c>
      <c r="F635" s="13" t="str">
        <v>7590</v>
      </c>
      <c r="G635" s="13" t="str">
        <v>04</v>
      </c>
      <c r="H635" s="13" t="str">
        <f>_xlfn.CONCAT(Sheet1!A635," --&gt; ",Sheet1!J635)</f>
        <v>420-04-7590 --&gt; 314.055</v>
      </c>
      <c r="I635" s="13" t="str">
        <f>_xlfn.CONCAT(Sheet1!C635,"_",TEXT(Sheet1!K635, "m/d/yyyy"))</f>
        <v>Mandalay_3/18/2019</v>
      </c>
      <c r="J635" s="13" t="str">
        <f>IF(Sheet1!I635=Sheet1!N635*0.05,"Valid","Error")</f>
        <v>Valid</v>
      </c>
      <c r="K635" s="13" t="str">
        <f>IF(Sheet1!N635=Sheet1!G635*Sheet1!H635,"True","False")</f>
        <v>True</v>
      </c>
      <c r="L635" s="13" t="b">
        <v>1</v>
      </c>
      <c r="M635" s="9" t="b">
        <f>ISNUMBER(Sheet1!J635)</f>
        <v>1</v>
      </c>
      <c r="N635" s="13" t="str">
        <f>IF(Sheet1!B635="A","Branch A",IF(Sheet1!B635="B","Branch B","Other Branch"))</f>
        <v>Branch B</v>
      </c>
      <c r="O635" s="13" t="str">
        <f>IF(Sheet1!M635="Credit card","Credit Payment","Other")</f>
        <v>Other</v>
      </c>
      <c r="P635" s="13" t="str">
        <f>IF(Sheet1!O635&gt;7,"Yes","No")</f>
        <v>No</v>
      </c>
    </row>
    <row r="636" spans="5:16">
      <c r="E636" s="13" t="str">
        <v>182</v>
      </c>
      <c r="F636" s="13" t="str">
        <v>2763</v>
      </c>
      <c r="G636" s="13" t="str">
        <v>88</v>
      </c>
      <c r="H636" s="13" t="str">
        <f>_xlfn.CONCAT(Sheet1!A636," --&gt; ",Sheet1!J636)</f>
        <v>182-88-2763 --&gt; 251.7165</v>
      </c>
      <c r="I636" s="13" t="str">
        <f>_xlfn.CONCAT(Sheet1!C636,"_",TEXT(Sheet1!K636, "m/d/yyyy"))</f>
        <v>Mandalay_3/20/2019</v>
      </c>
      <c r="J636" s="13" t="str">
        <f>IF(Sheet1!I636=Sheet1!N636*0.05,"Valid","Error")</f>
        <v>Valid</v>
      </c>
      <c r="K636" s="13" t="str">
        <f>IF(Sheet1!N636=Sheet1!G636*Sheet1!H636,"True","False")</f>
        <v>True</v>
      </c>
      <c r="L636" s="13" t="b">
        <v>1</v>
      </c>
      <c r="M636" s="9" t="b">
        <f>ISNUMBER(Sheet1!J636)</f>
        <v>1</v>
      </c>
      <c r="N636" s="13" t="str">
        <f>IF(Sheet1!B636="A","Branch A",IF(Sheet1!B636="B","Branch B","Other Branch"))</f>
        <v>Branch B</v>
      </c>
      <c r="O636" s="13" t="str">
        <f>IF(Sheet1!M636="Credit card","Credit Payment","Other")</f>
        <v>Credit Payment</v>
      </c>
      <c r="P636" s="13" t="str">
        <f>IF(Sheet1!O636&gt;7,"Yes","No")</f>
        <v>No</v>
      </c>
    </row>
    <row r="637" spans="5:16">
      <c r="E637" s="13" t="str">
        <v>188</v>
      </c>
      <c r="F637" s="13" t="str">
        <v>0967</v>
      </c>
      <c r="G637" s="13" t="str">
        <v>55</v>
      </c>
      <c r="H637" s="13" t="str">
        <f>_xlfn.CONCAT(Sheet1!A637," --&gt; ",Sheet1!J637)</f>
        <v>188-55-0967 --&gt; 697.935</v>
      </c>
      <c r="I637" s="13" t="str">
        <f>_xlfn.CONCAT(Sheet1!C637,"_",TEXT(Sheet1!K637, "m/d/yyyy"))</f>
        <v>Mandalay_1/15/2019</v>
      </c>
      <c r="J637" s="13" t="str">
        <f>IF(Sheet1!I637=Sheet1!N637*0.05,"Valid","Error")</f>
        <v>Valid</v>
      </c>
      <c r="K637" s="13" t="str">
        <f>IF(Sheet1!N637=Sheet1!G637*Sheet1!H637,"True","False")</f>
        <v>True</v>
      </c>
      <c r="L637" s="13" t="b">
        <v>1</v>
      </c>
      <c r="M637" s="9" t="b">
        <f>ISNUMBER(Sheet1!J637)</f>
        <v>1</v>
      </c>
      <c r="N637" s="13" t="str">
        <f>IF(Sheet1!B637="A","Branch A",IF(Sheet1!B637="B","Branch B","Other Branch"))</f>
        <v>Branch B</v>
      </c>
      <c r="O637" s="13" t="str">
        <f>IF(Sheet1!M637="Credit card","Credit Payment","Other")</f>
        <v>Credit Payment</v>
      </c>
      <c r="P637" s="13" t="str">
        <f>IF(Sheet1!O637&gt;7,"Yes","No")</f>
        <v>No</v>
      </c>
    </row>
    <row r="638" spans="5:16">
      <c r="E638" s="13" t="str">
        <v>610</v>
      </c>
      <c r="F638" s="13" t="str">
        <v>4100</v>
      </c>
      <c r="G638" s="13" t="str">
        <v>46</v>
      </c>
      <c r="H638" s="13" t="str">
        <f>_xlfn.CONCAT(Sheet1!A638," --&gt; ",Sheet1!J638)</f>
        <v>610-46-4100 --&gt; 212.7825</v>
      </c>
      <c r="I638" s="13" t="str">
        <f>_xlfn.CONCAT(Sheet1!C638,"_",TEXT(Sheet1!K638, "m/d/yyyy"))</f>
        <v>Yangon_3/3/2019</v>
      </c>
      <c r="J638" s="13" t="str">
        <f>IF(Sheet1!I638=Sheet1!N638*0.05,"Valid","Error")</f>
        <v>Valid</v>
      </c>
      <c r="K638" s="13" t="str">
        <f>IF(Sheet1!N638=Sheet1!G638*Sheet1!H638,"True","False")</f>
        <v>True</v>
      </c>
      <c r="L638" s="13" t="b">
        <v>1</v>
      </c>
      <c r="M638" s="9" t="b">
        <f>ISNUMBER(Sheet1!J638)</f>
        <v>1</v>
      </c>
      <c r="N638" s="13" t="str">
        <f>IF(Sheet1!B638="A","Branch A",IF(Sheet1!B638="B","Branch B","Other Branch"))</f>
        <v>Branch A</v>
      </c>
      <c r="O638" s="13" t="str">
        <f>IF(Sheet1!M638="Credit card","Credit Payment","Other")</f>
        <v>Credit Payment</v>
      </c>
      <c r="P638" s="13" t="str">
        <f>IF(Sheet1!O638&gt;7,"Yes","No")</f>
        <v>No</v>
      </c>
    </row>
    <row r="639" spans="5:16">
      <c r="E639" s="13" t="str">
        <v>318</v>
      </c>
      <c r="F639" s="13" t="str">
        <v>2368</v>
      </c>
      <c r="G639" s="13" t="str">
        <v>81</v>
      </c>
      <c r="H639" s="13" t="str">
        <f>_xlfn.CONCAT(Sheet1!A639," --&gt; ",Sheet1!J639)</f>
        <v>318-81-2368 --&gt; 48.51</v>
      </c>
      <c r="I639" s="13" t="str">
        <f>_xlfn.CONCAT(Sheet1!C639,"_",TEXT(Sheet1!K639, "m/d/yyyy"))</f>
        <v>Naypyitaw_3/19/2019</v>
      </c>
      <c r="J639" s="13" t="str">
        <f>IF(Sheet1!I639=Sheet1!N639*0.05,"Valid","Error")</f>
        <v>Valid</v>
      </c>
      <c r="K639" s="13" t="str">
        <f>IF(Sheet1!N639=Sheet1!G639*Sheet1!H639,"True","False")</f>
        <v>True</v>
      </c>
      <c r="L639" s="13" t="b">
        <v>1</v>
      </c>
      <c r="M639" s="9" t="b">
        <f>ISNUMBER(Sheet1!J639)</f>
        <v>1</v>
      </c>
      <c r="N639" s="13" t="str">
        <f>IF(Sheet1!B639="A","Branch A",IF(Sheet1!B639="B","Branch B","Other Branch"))</f>
        <v>Other Branch</v>
      </c>
      <c r="O639" s="13" t="str">
        <f>IF(Sheet1!M639="Credit card","Credit Payment","Other")</f>
        <v>Other</v>
      </c>
      <c r="P639" s="13" t="str">
        <f>IF(Sheet1!O639&gt;7,"Yes","No")</f>
        <v>No</v>
      </c>
    </row>
    <row r="640" spans="5:16">
      <c r="E640" s="13" t="str">
        <v>364</v>
      </c>
      <c r="F640" s="13" t="str">
        <v>8584</v>
      </c>
      <c r="G640" s="13" t="str">
        <v>33</v>
      </c>
      <c r="H640" s="13" t="str">
        <f>_xlfn.CONCAT(Sheet1!A640," --&gt; ",Sheet1!J640)</f>
        <v>364-33-8584 --&gt; 92.5575</v>
      </c>
      <c r="I640" s="13" t="str">
        <f>_xlfn.CONCAT(Sheet1!C640,"_",TEXT(Sheet1!K640, "m/d/yyyy"))</f>
        <v>Mandalay_3/8/2019</v>
      </c>
      <c r="J640" s="13" t="str">
        <f>IF(Sheet1!I640=Sheet1!N640*0.05,"Valid","Error")</f>
        <v>Valid</v>
      </c>
      <c r="K640" s="13" t="str">
        <f>IF(Sheet1!N640=Sheet1!G640*Sheet1!H640,"True","False")</f>
        <v>True</v>
      </c>
      <c r="L640" s="13" t="b">
        <v>1</v>
      </c>
      <c r="M640" s="9" t="b">
        <f>ISNUMBER(Sheet1!J640)</f>
        <v>1</v>
      </c>
      <c r="N640" s="13" t="str">
        <f>IF(Sheet1!B640="A","Branch A",IF(Sheet1!B640="B","Branch B","Other Branch"))</f>
        <v>Branch B</v>
      </c>
      <c r="O640" s="13" t="str">
        <f>IF(Sheet1!M640="Credit card","Credit Payment","Other")</f>
        <v>Other</v>
      </c>
      <c r="P640" s="13" t="str">
        <f>IF(Sheet1!O640&gt;7,"Yes","No")</f>
        <v>Yes</v>
      </c>
    </row>
    <row r="641" spans="5:16">
      <c r="E641" s="13" t="str">
        <v>665</v>
      </c>
      <c r="F641" s="13" t="str">
        <v>9737</v>
      </c>
      <c r="G641" s="13" t="str">
        <v>63</v>
      </c>
      <c r="H641" s="13" t="str">
        <f>_xlfn.CONCAT(Sheet1!A641," --&gt; ",Sheet1!J641)</f>
        <v>665-63-9737 --&gt; 165.123</v>
      </c>
      <c r="I641" s="13" t="str">
        <f>_xlfn.CONCAT(Sheet1!C641,"_",TEXT(Sheet1!K641, "m/d/yyyy"))</f>
        <v>Mandalay_2/27/2019</v>
      </c>
      <c r="J641" s="13" t="str">
        <f>IF(Sheet1!I641=Sheet1!N641*0.05,"Valid","Error")</f>
        <v>Valid</v>
      </c>
      <c r="K641" s="13" t="str">
        <f>IF(Sheet1!N641=Sheet1!G641*Sheet1!H641,"True","False")</f>
        <v>True</v>
      </c>
      <c r="L641" s="13" t="b">
        <v>1</v>
      </c>
      <c r="M641" s="9" t="b">
        <f>ISNUMBER(Sheet1!J641)</f>
        <v>1</v>
      </c>
      <c r="N641" s="13" t="str">
        <f>IF(Sheet1!B641="A","Branch A",IF(Sheet1!B641="B","Branch B","Other Branch"))</f>
        <v>Branch B</v>
      </c>
      <c r="O641" s="13" t="str">
        <f>IF(Sheet1!M641="Credit card","Credit Payment","Other")</f>
        <v>Other</v>
      </c>
      <c r="P641" s="13" t="str">
        <f>IF(Sheet1!O641&gt;7,"Yes","No")</f>
        <v>Yes</v>
      </c>
    </row>
    <row r="642" spans="5:16">
      <c r="E642" s="13" t="str">
        <v>695</v>
      </c>
      <c r="F642" s="13" t="str">
        <v>5146</v>
      </c>
      <c r="G642" s="13" t="str">
        <v>09</v>
      </c>
      <c r="H642" s="13" t="str">
        <f>_xlfn.CONCAT(Sheet1!A642," --&gt; ",Sheet1!J642)</f>
        <v>695-09-5146 --&gt; 311.1885</v>
      </c>
      <c r="I642" s="13" t="str">
        <f>_xlfn.CONCAT(Sheet1!C642,"_",TEXT(Sheet1!K642, "m/d/yyyy"))</f>
        <v>Mandalay_2/23/2019</v>
      </c>
      <c r="J642" s="13" t="str">
        <f>IF(Sheet1!I642=Sheet1!N642*0.05,"Valid","Error")</f>
        <v>Valid</v>
      </c>
      <c r="K642" s="13" t="str">
        <f>IF(Sheet1!N642=Sheet1!G642*Sheet1!H642,"True","False")</f>
        <v>True</v>
      </c>
      <c r="L642" s="13" t="b">
        <v>1</v>
      </c>
      <c r="M642" s="9" t="b">
        <f>ISNUMBER(Sheet1!J642)</f>
        <v>1</v>
      </c>
      <c r="N642" s="13" t="str">
        <f>IF(Sheet1!B642="A","Branch A",IF(Sheet1!B642="B","Branch B","Other Branch"))</f>
        <v>Branch B</v>
      </c>
      <c r="O642" s="13" t="str">
        <f>IF(Sheet1!M642="Credit card","Credit Payment","Other")</f>
        <v>Other</v>
      </c>
      <c r="P642" s="13" t="str">
        <f>IF(Sheet1!O642&gt;7,"Yes","No")</f>
        <v>No</v>
      </c>
    </row>
    <row r="643" spans="5:16">
      <c r="E643" s="13" t="str">
        <v>155</v>
      </c>
      <c r="F643" s="13" t="str">
        <v>3814</v>
      </c>
      <c r="G643" s="13" t="str">
        <v>45</v>
      </c>
      <c r="H643" s="13" t="str">
        <f>_xlfn.CONCAT(Sheet1!A643," --&gt; ",Sheet1!J643)</f>
        <v>155-45-3814 --&gt; 743.82</v>
      </c>
      <c r="I643" s="13" t="str">
        <f>_xlfn.CONCAT(Sheet1!C643,"_",TEXT(Sheet1!K643, "m/d/yyyy"))</f>
        <v>Naypyitaw_3/19/2019</v>
      </c>
      <c r="J643" s="13" t="str">
        <f>IF(Sheet1!I643=Sheet1!N643*0.05,"Valid","Error")</f>
        <v>Valid</v>
      </c>
      <c r="K643" s="13" t="str">
        <f>IF(Sheet1!N643=Sheet1!G643*Sheet1!H643,"True","False")</f>
        <v>True</v>
      </c>
      <c r="L643" s="13" t="b">
        <v>1</v>
      </c>
      <c r="M643" s="9" t="b">
        <f>ISNUMBER(Sheet1!J643)</f>
        <v>1</v>
      </c>
      <c r="N643" s="13" t="str">
        <f>IF(Sheet1!B643="A","Branch A",IF(Sheet1!B643="B","Branch B","Other Branch"))</f>
        <v>Other Branch</v>
      </c>
      <c r="O643" s="13" t="str">
        <f>IF(Sheet1!M643="Credit card","Credit Payment","Other")</f>
        <v>Other</v>
      </c>
      <c r="P643" s="13" t="str">
        <f>IF(Sheet1!O643&gt;7,"Yes","No")</f>
        <v>No</v>
      </c>
    </row>
    <row r="644" spans="5:16">
      <c r="E644" s="13" t="str">
        <v>794</v>
      </c>
      <c r="F644" s="13" t="str">
        <v>2436</v>
      </c>
      <c r="G644" s="13" t="str">
        <v>32</v>
      </c>
      <c r="H644" s="13" t="str">
        <f>_xlfn.CONCAT(Sheet1!A644," --&gt; ",Sheet1!J644)</f>
        <v>794-32-2436 --&gt; 116.907</v>
      </c>
      <c r="I644" s="13" t="str">
        <f>_xlfn.CONCAT(Sheet1!C644,"_",TEXT(Sheet1!K644, "m/d/yyyy"))</f>
        <v>Mandalay_3/27/2019</v>
      </c>
      <c r="J644" s="13" t="str">
        <f>IF(Sheet1!I644=Sheet1!N644*0.05,"Valid","Error")</f>
        <v>Valid</v>
      </c>
      <c r="K644" s="13" t="str">
        <f>IF(Sheet1!N644=Sheet1!G644*Sheet1!H644,"True","False")</f>
        <v>True</v>
      </c>
      <c r="L644" s="13" t="b">
        <v>1</v>
      </c>
      <c r="M644" s="9" t="b">
        <f>ISNUMBER(Sheet1!J644)</f>
        <v>1</v>
      </c>
      <c r="N644" s="13" t="str">
        <f>IF(Sheet1!B644="A","Branch A",IF(Sheet1!B644="B","Branch B","Other Branch"))</f>
        <v>Branch B</v>
      </c>
      <c r="O644" s="13" t="str">
        <f>IF(Sheet1!M644="Credit card","Credit Payment","Other")</f>
        <v>Other</v>
      </c>
      <c r="P644" s="13" t="str">
        <f>IF(Sheet1!O644&gt;7,"Yes","No")</f>
        <v>No</v>
      </c>
    </row>
    <row r="645" spans="5:16">
      <c r="E645" s="13" t="str">
        <v>131</v>
      </c>
      <c r="F645" s="13" t="str">
        <v>8856</v>
      </c>
      <c r="G645" s="13" t="str">
        <v>15</v>
      </c>
      <c r="H645" s="13" t="str">
        <f>_xlfn.CONCAT(Sheet1!A645," --&gt; ",Sheet1!J645)</f>
        <v>131-15-8856 --&gt; 609.168</v>
      </c>
      <c r="I645" s="13" t="str">
        <f>_xlfn.CONCAT(Sheet1!C645,"_",TEXT(Sheet1!K645, "m/d/yyyy"))</f>
        <v>Naypyitaw_3/30/2019</v>
      </c>
      <c r="J645" s="13" t="str">
        <f>IF(Sheet1!I645=Sheet1!N645*0.05,"Valid","Error")</f>
        <v>Valid</v>
      </c>
      <c r="K645" s="13" t="str">
        <f>IF(Sheet1!N645=Sheet1!G645*Sheet1!H645,"True","False")</f>
        <v>True</v>
      </c>
      <c r="L645" s="13" t="b">
        <v>1</v>
      </c>
      <c r="M645" s="9" t="b">
        <f>ISNUMBER(Sheet1!J645)</f>
        <v>1</v>
      </c>
      <c r="N645" s="13" t="str">
        <f>IF(Sheet1!B645="A","Branch A",IF(Sheet1!B645="B","Branch B","Other Branch"))</f>
        <v>Other Branch</v>
      </c>
      <c r="O645" s="13" t="str">
        <f>IF(Sheet1!M645="Credit card","Credit Payment","Other")</f>
        <v>Credit Payment</v>
      </c>
      <c r="P645" s="13" t="str">
        <f>IF(Sheet1!O645&gt;7,"Yes","No")</f>
        <v>No</v>
      </c>
    </row>
    <row r="646" spans="5:16">
      <c r="E646" s="13" t="str">
        <v>273</v>
      </c>
      <c r="F646" s="13" t="str">
        <v>2164</v>
      </c>
      <c r="G646" s="13" t="str">
        <v>84</v>
      </c>
      <c r="H646" s="13" t="str">
        <f>_xlfn.CONCAT(Sheet1!A646," --&gt; ",Sheet1!J646)</f>
        <v>273-84-2164 --&gt; 63.2625</v>
      </c>
      <c r="I646" s="13" t="str">
        <f>_xlfn.CONCAT(Sheet1!C646,"_",TEXT(Sheet1!K646, "m/d/yyyy"))</f>
        <v>Naypyitaw_2/16/2019</v>
      </c>
      <c r="J646" s="13" t="str">
        <f>IF(Sheet1!I646=Sheet1!N646*0.05,"Valid","Error")</f>
        <v>Valid</v>
      </c>
      <c r="K646" s="13" t="str">
        <f>IF(Sheet1!N646=Sheet1!G646*Sheet1!H646,"True","False")</f>
        <v>True</v>
      </c>
      <c r="L646" s="13" t="b">
        <v>1</v>
      </c>
      <c r="M646" s="9" t="b">
        <f>ISNUMBER(Sheet1!J646)</f>
        <v>1</v>
      </c>
      <c r="N646" s="13" t="str">
        <f>IF(Sheet1!B646="A","Branch A",IF(Sheet1!B646="B","Branch B","Other Branch"))</f>
        <v>Other Branch</v>
      </c>
      <c r="O646" s="13" t="str">
        <f>IF(Sheet1!M646="Credit card","Credit Payment","Other")</f>
        <v>Other</v>
      </c>
      <c r="P646" s="13" t="str">
        <f>IF(Sheet1!O646&gt;7,"Yes","No")</f>
        <v>No</v>
      </c>
    </row>
    <row r="647" spans="5:16">
      <c r="E647" s="13" t="str">
        <v>706</v>
      </c>
      <c r="F647" s="13" t="str">
        <v>6154</v>
      </c>
      <c r="G647" s="13" t="str">
        <v>36</v>
      </c>
      <c r="H647" s="13" t="str">
        <f>_xlfn.CONCAT(Sheet1!A647," --&gt; ",Sheet1!J647)</f>
        <v>706-36-6154 --&gt; 182.952</v>
      </c>
      <c r="I647" s="13" t="str">
        <f>_xlfn.CONCAT(Sheet1!C647,"_",TEXT(Sheet1!K647, "m/d/yyyy"))</f>
        <v>Yangon_1/18/2019</v>
      </c>
      <c r="J647" s="13" t="str">
        <f>IF(Sheet1!I647=Sheet1!N647*0.05,"Valid","Error")</f>
        <v>Valid</v>
      </c>
      <c r="K647" s="13" t="str">
        <f>IF(Sheet1!N647=Sheet1!G647*Sheet1!H647,"True","False")</f>
        <v>True</v>
      </c>
      <c r="L647" s="13" t="b">
        <v>1</v>
      </c>
      <c r="M647" s="9" t="b">
        <f>ISNUMBER(Sheet1!J647)</f>
        <v>1</v>
      </c>
      <c r="N647" s="13" t="str">
        <f>IF(Sheet1!B647="A","Branch A",IF(Sheet1!B647="B","Branch B","Other Branch"))</f>
        <v>Branch A</v>
      </c>
      <c r="O647" s="13" t="str">
        <f>IF(Sheet1!M647="Credit card","Credit Payment","Other")</f>
        <v>Other</v>
      </c>
      <c r="P647" s="13" t="str">
        <f>IF(Sheet1!O647&gt;7,"Yes","No")</f>
        <v>Yes</v>
      </c>
    </row>
    <row r="648" spans="5:16">
      <c r="E648" s="13" t="str">
        <v>778</v>
      </c>
      <c r="F648" s="13" t="str">
        <v>7974</v>
      </c>
      <c r="G648" s="13" t="str">
        <v>89</v>
      </c>
      <c r="H648" s="13" t="str">
        <f>_xlfn.CONCAT(Sheet1!A648," --&gt; ",Sheet1!J648)</f>
        <v>778-89-7974 --&gt; 442.323</v>
      </c>
      <c r="I648" s="13" t="str">
        <f>_xlfn.CONCAT(Sheet1!C648,"_",TEXT(Sheet1!K648, "m/d/yyyy"))</f>
        <v>Naypyitaw_3/30/2019</v>
      </c>
      <c r="J648" s="13" t="str">
        <f>IF(Sheet1!I648=Sheet1!N648*0.05,"Valid","Error")</f>
        <v>Valid</v>
      </c>
      <c r="K648" s="13" t="str">
        <f>IF(Sheet1!N648=Sheet1!G648*Sheet1!H648,"True","False")</f>
        <v>True</v>
      </c>
      <c r="L648" s="13" t="b">
        <v>1</v>
      </c>
      <c r="M648" s="9" t="b">
        <f>ISNUMBER(Sheet1!J648)</f>
        <v>1</v>
      </c>
      <c r="N648" s="13" t="str">
        <f>IF(Sheet1!B648="A","Branch A",IF(Sheet1!B648="B","Branch B","Other Branch"))</f>
        <v>Other Branch</v>
      </c>
      <c r="O648" s="13" t="str">
        <f>IF(Sheet1!M648="Credit card","Credit Payment","Other")</f>
        <v>Other</v>
      </c>
      <c r="P648" s="13" t="str">
        <f>IF(Sheet1!O648&gt;7,"Yes","No")</f>
        <v>Yes</v>
      </c>
    </row>
    <row r="649" spans="5:16">
      <c r="E649" s="13" t="str">
        <v>574</v>
      </c>
      <c r="F649" s="13" t="str">
        <v>8277</v>
      </c>
      <c r="G649" s="13" t="str">
        <v>31</v>
      </c>
      <c r="H649" s="13" t="str">
        <f>_xlfn.CONCAT(Sheet1!A649," --&gt; ",Sheet1!J649)</f>
        <v>574-31-8277 --&gt; 35.3115</v>
      </c>
      <c r="I649" s="13" t="str">
        <f>_xlfn.CONCAT(Sheet1!C649,"_",TEXT(Sheet1!K649, "m/d/yyyy"))</f>
        <v>Mandalay_3/20/2019</v>
      </c>
      <c r="J649" s="13" t="str">
        <f>IF(Sheet1!I649=Sheet1!N649*0.05,"Valid","Error")</f>
        <v>Valid</v>
      </c>
      <c r="K649" s="13" t="str">
        <f>IF(Sheet1!N649=Sheet1!G649*Sheet1!H649,"True","False")</f>
        <v>True</v>
      </c>
      <c r="L649" s="13" t="b">
        <v>1</v>
      </c>
      <c r="M649" s="9" t="b">
        <f>ISNUMBER(Sheet1!J649)</f>
        <v>1</v>
      </c>
      <c r="N649" s="13" t="str">
        <f>IF(Sheet1!B649="A","Branch A",IF(Sheet1!B649="B","Branch B","Other Branch"))</f>
        <v>Branch B</v>
      </c>
      <c r="O649" s="13" t="str">
        <f>IF(Sheet1!M649="Credit card","Credit Payment","Other")</f>
        <v>Other</v>
      </c>
      <c r="P649" s="13" t="str">
        <f>IF(Sheet1!O649&gt;7,"Yes","No")</f>
        <v>No</v>
      </c>
    </row>
    <row r="650" spans="5:16">
      <c r="E650" s="13" t="str">
        <v>859</v>
      </c>
      <c r="F650" s="13" t="str">
        <v>0933</v>
      </c>
      <c r="G650" s="13" t="str">
        <v>71</v>
      </c>
      <c r="H650" s="13" t="str">
        <f>_xlfn.CONCAT(Sheet1!A650," --&gt; ",Sheet1!J650)</f>
        <v>859-71-0933 --&gt; 32.529</v>
      </c>
      <c r="I650" s="13" t="str">
        <f>_xlfn.CONCAT(Sheet1!C650,"_",TEXT(Sheet1!K650, "m/d/yyyy"))</f>
        <v>Naypyitaw_1/16/2019</v>
      </c>
      <c r="J650" s="13" t="str">
        <f>IF(Sheet1!I650=Sheet1!N650*0.05,"Valid","Error")</f>
        <v>Valid</v>
      </c>
      <c r="K650" s="13" t="str">
        <f>IF(Sheet1!N650=Sheet1!G650*Sheet1!H650,"True","False")</f>
        <v>True</v>
      </c>
      <c r="L650" s="13" t="b">
        <v>1</v>
      </c>
      <c r="M650" s="9" t="b">
        <f>ISNUMBER(Sheet1!J650)</f>
        <v>1</v>
      </c>
      <c r="N650" s="13" t="str">
        <f>IF(Sheet1!B650="A","Branch A",IF(Sheet1!B650="B","Branch B","Other Branch"))</f>
        <v>Other Branch</v>
      </c>
      <c r="O650" s="13" t="str">
        <f>IF(Sheet1!M650="Credit card","Credit Payment","Other")</f>
        <v>Other</v>
      </c>
      <c r="P650" s="13" t="str">
        <f>IF(Sheet1!O650&gt;7,"Yes","No")</f>
        <v>No</v>
      </c>
    </row>
    <row r="651" spans="5:16">
      <c r="E651" s="13" t="str">
        <v>740</v>
      </c>
      <c r="F651" s="13" t="str">
        <v>5257</v>
      </c>
      <c r="G651" s="13" t="str">
        <v>11</v>
      </c>
      <c r="H651" s="13" t="str">
        <f>_xlfn.CONCAT(Sheet1!A651," --&gt; ",Sheet1!J651)</f>
        <v>740-11-5257 --&gt; 259.77</v>
      </c>
      <c r="I651" s="13" t="str">
        <f>_xlfn.CONCAT(Sheet1!C651,"_",TEXT(Sheet1!K651, "m/d/yyyy"))</f>
        <v>Naypyitaw_2/24/2019</v>
      </c>
      <c r="J651" s="13" t="str">
        <f>IF(Sheet1!I651=Sheet1!N651*0.05,"Valid","Error")</f>
        <v>Valid</v>
      </c>
      <c r="K651" s="13" t="str">
        <f>IF(Sheet1!N651=Sheet1!G651*Sheet1!H651,"True","False")</f>
        <v>True</v>
      </c>
      <c r="L651" s="13" t="b">
        <v>1</v>
      </c>
      <c r="M651" s="9" t="b">
        <f>ISNUMBER(Sheet1!J651)</f>
        <v>1</v>
      </c>
      <c r="N651" s="13" t="str">
        <f>IF(Sheet1!B651="A","Branch A",IF(Sheet1!B651="B","Branch B","Other Branch"))</f>
        <v>Other Branch</v>
      </c>
      <c r="O651" s="13" t="str">
        <f>IF(Sheet1!M651="Credit card","Credit Payment","Other")</f>
        <v>Other</v>
      </c>
      <c r="P651" s="13" t="str">
        <f>IF(Sheet1!O651&gt;7,"Yes","No")</f>
        <v>Yes</v>
      </c>
    </row>
    <row r="652" spans="5:16">
      <c r="E652" s="13" t="str">
        <v>369</v>
      </c>
      <c r="F652" s="13" t="str">
        <v>2676</v>
      </c>
      <c r="G652" s="13" t="str">
        <v>82</v>
      </c>
      <c r="H652" s="13" t="str">
        <f>_xlfn.CONCAT(Sheet1!A652," --&gt; ",Sheet1!J652)</f>
        <v>369-82-2676 --&gt; 397.215</v>
      </c>
      <c r="I652" s="13" t="str">
        <f>_xlfn.CONCAT(Sheet1!C652,"_",TEXT(Sheet1!K652, "m/d/yyyy"))</f>
        <v>Mandalay_1/15/2019</v>
      </c>
      <c r="J652" s="13" t="str">
        <f>IF(Sheet1!I652=Sheet1!N652*0.05,"Valid","Error")</f>
        <v>Valid</v>
      </c>
      <c r="K652" s="13" t="str">
        <f>IF(Sheet1!N652=Sheet1!G652*Sheet1!H652,"True","False")</f>
        <v>True</v>
      </c>
      <c r="L652" s="13" t="b">
        <v>1</v>
      </c>
      <c r="M652" s="9" t="b">
        <f>ISNUMBER(Sheet1!J652)</f>
        <v>1</v>
      </c>
      <c r="N652" s="13" t="str">
        <f>IF(Sheet1!B652="A","Branch A",IF(Sheet1!B652="B","Branch B","Other Branch"))</f>
        <v>Branch B</v>
      </c>
      <c r="O652" s="13" t="str">
        <f>IF(Sheet1!M652="Credit card","Credit Payment","Other")</f>
        <v>Other</v>
      </c>
      <c r="P652" s="13" t="str">
        <f>IF(Sheet1!O652&gt;7,"Yes","No")</f>
        <v>Yes</v>
      </c>
    </row>
    <row r="653" spans="5:16">
      <c r="E653" s="13" t="str">
        <v>563</v>
      </c>
      <c r="F653" s="13" t="str">
        <v>4072</v>
      </c>
      <c r="G653" s="13" t="str">
        <v>47</v>
      </c>
      <c r="H653" s="13" t="str">
        <f>_xlfn.CONCAT(Sheet1!A653," --&gt; ",Sheet1!J653)</f>
        <v>563-47-4072 --&gt; 351.603</v>
      </c>
      <c r="I653" s="13" t="str">
        <f>_xlfn.CONCAT(Sheet1!C653,"_",TEXT(Sheet1!K653, "m/d/yyyy"))</f>
        <v>Mandalay_1/22/2019</v>
      </c>
      <c r="J653" s="13" t="str">
        <f>IF(Sheet1!I653=Sheet1!N653*0.05,"Valid","Error")</f>
        <v>Valid</v>
      </c>
      <c r="K653" s="13" t="str">
        <f>IF(Sheet1!N653=Sheet1!G653*Sheet1!H653,"True","False")</f>
        <v>True</v>
      </c>
      <c r="L653" s="13" t="b">
        <v>1</v>
      </c>
      <c r="M653" s="9" t="b">
        <f>ISNUMBER(Sheet1!J653)</f>
        <v>1</v>
      </c>
      <c r="N653" s="13" t="str">
        <f>IF(Sheet1!B653="A","Branch A",IF(Sheet1!B653="B","Branch B","Other Branch"))</f>
        <v>Branch B</v>
      </c>
      <c r="O653" s="13" t="str">
        <f>IF(Sheet1!M653="Credit card","Credit Payment","Other")</f>
        <v>Other</v>
      </c>
      <c r="P653" s="13" t="str">
        <f>IF(Sheet1!O653&gt;7,"Yes","No")</f>
        <v>Yes</v>
      </c>
    </row>
    <row r="654" spans="5:16">
      <c r="E654" s="13" t="str">
        <v>742</v>
      </c>
      <c r="F654" s="13" t="str">
        <v>5161</v>
      </c>
      <c r="G654" s="13" t="str">
        <v>04</v>
      </c>
      <c r="H654" s="13" t="str">
        <f>_xlfn.CONCAT(Sheet1!A654," --&gt; ",Sheet1!J654)</f>
        <v>742-04-5161 --&gt; 764.19</v>
      </c>
      <c r="I654" s="13" t="str">
        <f>_xlfn.CONCAT(Sheet1!C654,"_",TEXT(Sheet1!K654, "m/d/yyyy"))</f>
        <v>Yangon_2/3/2019</v>
      </c>
      <c r="J654" s="13" t="str">
        <f>IF(Sheet1!I654=Sheet1!N654*0.05,"Valid","Error")</f>
        <v>Valid</v>
      </c>
      <c r="K654" s="13" t="str">
        <f>IF(Sheet1!N654=Sheet1!G654*Sheet1!H654,"True","False")</f>
        <v>True</v>
      </c>
      <c r="L654" s="13" t="b">
        <v>1</v>
      </c>
      <c r="M654" s="9" t="b">
        <f>ISNUMBER(Sheet1!J654)</f>
        <v>1</v>
      </c>
      <c r="N654" s="13" t="str">
        <f>IF(Sheet1!B654="A","Branch A",IF(Sheet1!B654="B","Branch B","Other Branch"))</f>
        <v>Branch A</v>
      </c>
      <c r="O654" s="13" t="str">
        <f>IF(Sheet1!M654="Credit card","Credit Payment","Other")</f>
        <v>Other</v>
      </c>
      <c r="P654" s="13" t="str">
        <f>IF(Sheet1!O654&gt;7,"Yes","No")</f>
        <v>Yes</v>
      </c>
    </row>
    <row r="655" spans="5:16">
      <c r="E655" s="13" t="str">
        <v>149</v>
      </c>
      <c r="F655" s="13" t="str">
        <v>7606</v>
      </c>
      <c r="G655" s="13" t="str">
        <v>15</v>
      </c>
      <c r="H655" s="13" t="str">
        <f>_xlfn.CONCAT(Sheet1!A655," --&gt; ",Sheet1!J655)</f>
        <v>149-15-7606 --&gt; 352.674</v>
      </c>
      <c r="I655" s="13" t="str">
        <f>_xlfn.CONCAT(Sheet1!C655,"_",TEXT(Sheet1!K655, "m/d/yyyy"))</f>
        <v>Mandalay_3/6/2019</v>
      </c>
      <c r="J655" s="13" t="str">
        <f>IF(Sheet1!I655=Sheet1!N655*0.05,"Valid","Error")</f>
        <v>Valid</v>
      </c>
      <c r="K655" s="13" t="str">
        <f>IF(Sheet1!N655=Sheet1!G655*Sheet1!H655,"True","False")</f>
        <v>True</v>
      </c>
      <c r="L655" s="13" t="b">
        <v>1</v>
      </c>
      <c r="M655" s="9" t="b">
        <f>ISNUMBER(Sheet1!J655)</f>
        <v>1</v>
      </c>
      <c r="N655" s="13" t="str">
        <f>IF(Sheet1!B655="A","Branch A",IF(Sheet1!B655="B","Branch B","Other Branch"))</f>
        <v>Branch B</v>
      </c>
      <c r="O655" s="13" t="str">
        <f>IF(Sheet1!M655="Credit card","Credit Payment","Other")</f>
        <v>Other</v>
      </c>
      <c r="P655" s="13" t="str">
        <f>IF(Sheet1!O655&gt;7,"Yes","No")</f>
        <v>No</v>
      </c>
    </row>
    <row r="656" spans="5:16">
      <c r="E656" s="13" t="str">
        <v>133</v>
      </c>
      <c r="F656" s="13" t="str">
        <v>3154</v>
      </c>
      <c r="G656" s="13" t="str">
        <v>77</v>
      </c>
      <c r="H656" s="13" t="str">
        <f>_xlfn.CONCAT(Sheet1!A656," --&gt; ",Sheet1!J656)</f>
        <v>133-77-3154 --&gt; 252.756</v>
      </c>
      <c r="I656" s="13" t="str">
        <f>_xlfn.CONCAT(Sheet1!C656,"_",TEXT(Sheet1!K656, "m/d/yyyy"))</f>
        <v>Mandalay_2/16/2019</v>
      </c>
      <c r="J656" s="13" t="str">
        <f>IF(Sheet1!I656=Sheet1!N656*0.05,"Valid","Error")</f>
        <v>Valid</v>
      </c>
      <c r="K656" s="13" t="str">
        <f>IF(Sheet1!N656=Sheet1!G656*Sheet1!H656,"True","False")</f>
        <v>True</v>
      </c>
      <c r="L656" s="13" t="b">
        <v>1</v>
      </c>
      <c r="M656" s="9" t="b">
        <f>ISNUMBER(Sheet1!J656)</f>
        <v>1</v>
      </c>
      <c r="N656" s="13" t="str">
        <f>IF(Sheet1!B656="A","Branch A",IF(Sheet1!B656="B","Branch B","Other Branch"))</f>
        <v>Branch B</v>
      </c>
      <c r="O656" s="13" t="str">
        <f>IF(Sheet1!M656="Credit card","Credit Payment","Other")</f>
        <v>Credit Payment</v>
      </c>
      <c r="P656" s="13" t="str">
        <f>IF(Sheet1!O656&gt;7,"Yes","No")</f>
        <v>Yes</v>
      </c>
    </row>
    <row r="657" spans="5:16">
      <c r="E657" s="13" t="str">
        <v>169</v>
      </c>
      <c r="F657" s="13" t="str">
        <v>4504</v>
      </c>
      <c r="G657" s="13" t="str">
        <v>52</v>
      </c>
      <c r="H657" s="13" t="str">
        <f>_xlfn.CONCAT(Sheet1!A657," --&gt; ",Sheet1!J657)</f>
        <v>169-52-4504 --&gt; 49.4235</v>
      </c>
      <c r="I657" s="13" t="str">
        <f>_xlfn.CONCAT(Sheet1!C657,"_",TEXT(Sheet1!K657, "m/d/yyyy"))</f>
        <v>Yangon_3/14/2019</v>
      </c>
      <c r="J657" s="13" t="str">
        <f>IF(Sheet1!I657=Sheet1!N657*0.05,"Valid","Error")</f>
        <v>Valid</v>
      </c>
      <c r="K657" s="13" t="str">
        <f>IF(Sheet1!N657=Sheet1!G657*Sheet1!H657,"True","False")</f>
        <v>True</v>
      </c>
      <c r="L657" s="13" t="b">
        <v>1</v>
      </c>
      <c r="M657" s="9" t="b">
        <f>ISNUMBER(Sheet1!J657)</f>
        <v>1</v>
      </c>
      <c r="N657" s="13" t="str">
        <f>IF(Sheet1!B657="A","Branch A",IF(Sheet1!B657="B","Branch B","Other Branch"))</f>
        <v>Branch A</v>
      </c>
      <c r="O657" s="13" t="str">
        <f>IF(Sheet1!M657="Credit card","Credit Payment","Other")</f>
        <v>Credit Payment</v>
      </c>
      <c r="P657" s="13" t="str">
        <f>IF(Sheet1!O657&gt;7,"Yes","No")</f>
        <v>No</v>
      </c>
    </row>
    <row r="658" spans="5:16">
      <c r="E658" s="13" t="str">
        <v>250</v>
      </c>
      <c r="F658" s="13" t="str">
        <v>7186</v>
      </c>
      <c r="G658" s="13" t="str">
        <v>81</v>
      </c>
      <c r="H658" s="13" t="str">
        <f>_xlfn.CONCAT(Sheet1!A658," --&gt; ",Sheet1!J658)</f>
        <v>250-81-7186 --&gt; 104.6745</v>
      </c>
      <c r="I658" s="13" t="str">
        <f>_xlfn.CONCAT(Sheet1!C658,"_",TEXT(Sheet1!K658, "m/d/yyyy"))</f>
        <v>Naypyitaw_2/27/2019</v>
      </c>
      <c r="J658" s="13" t="str">
        <f>IF(Sheet1!I658=Sheet1!N658*0.05,"Valid","Error")</f>
        <v>Valid</v>
      </c>
      <c r="K658" s="13" t="str">
        <f>IF(Sheet1!N658=Sheet1!G658*Sheet1!H658,"True","False")</f>
        <v>True</v>
      </c>
      <c r="L658" s="13" t="b">
        <v>1</v>
      </c>
      <c r="M658" s="9" t="b">
        <f>ISNUMBER(Sheet1!J658)</f>
        <v>1</v>
      </c>
      <c r="N658" s="13" t="str">
        <f>IF(Sheet1!B658="A","Branch A",IF(Sheet1!B658="B","Branch B","Other Branch"))</f>
        <v>Other Branch</v>
      </c>
      <c r="O658" s="13" t="str">
        <f>IF(Sheet1!M658="Credit card","Credit Payment","Other")</f>
        <v>Credit Payment</v>
      </c>
      <c r="P658" s="13" t="str">
        <f>IF(Sheet1!O658&gt;7,"Yes","No")</f>
        <v>Yes</v>
      </c>
    </row>
    <row r="659" spans="5:16">
      <c r="E659" s="13" t="str">
        <v>562</v>
      </c>
      <c r="F659" s="13" t="str">
        <v>5430</v>
      </c>
      <c r="G659" s="13" t="str">
        <v>12</v>
      </c>
      <c r="H659" s="13" t="str">
        <f>_xlfn.CONCAT(Sheet1!A659," --&gt; ",Sheet1!J659)</f>
        <v>562-12-5430 --&gt; 277.6725</v>
      </c>
      <c r="I659" s="13" t="str">
        <f>_xlfn.CONCAT(Sheet1!C659,"_",TEXT(Sheet1!K659, "m/d/yyyy"))</f>
        <v>Yangon_1/18/2019</v>
      </c>
      <c r="J659" s="13" t="str">
        <f>IF(Sheet1!I659=Sheet1!N659*0.05,"Valid","Error")</f>
        <v>Valid</v>
      </c>
      <c r="K659" s="13" t="str">
        <f>IF(Sheet1!N659=Sheet1!G659*Sheet1!H659,"True","False")</f>
        <v>True</v>
      </c>
      <c r="L659" s="13" t="b">
        <v>1</v>
      </c>
      <c r="M659" s="9" t="b">
        <f>ISNUMBER(Sheet1!J659)</f>
        <v>1</v>
      </c>
      <c r="N659" s="13" t="str">
        <f>IF(Sheet1!B659="A","Branch A",IF(Sheet1!B659="B","Branch B","Other Branch"))</f>
        <v>Branch A</v>
      </c>
      <c r="O659" s="13" t="str">
        <f>IF(Sheet1!M659="Credit card","Credit Payment","Other")</f>
        <v>Other</v>
      </c>
      <c r="P659" s="13" t="str">
        <f>IF(Sheet1!O659&gt;7,"Yes","No")</f>
        <v>Yes</v>
      </c>
    </row>
    <row r="660" spans="5:16">
      <c r="E660" s="13" t="str">
        <v>816</v>
      </c>
      <c r="F660" s="13" t="str">
        <v>8853</v>
      </c>
      <c r="G660" s="13" t="str">
        <v>72</v>
      </c>
      <c r="H660" s="13" t="str">
        <f>_xlfn.CONCAT(Sheet1!A660," --&gt; ",Sheet1!J660)</f>
        <v>816-72-8853 --&gt; 146.6325</v>
      </c>
      <c r="I660" s="13" t="str">
        <f>_xlfn.CONCAT(Sheet1!C660,"_",TEXT(Sheet1!K660, "m/d/yyyy"))</f>
        <v>Yangon_1/29/2019</v>
      </c>
      <c r="J660" s="13" t="str">
        <f>IF(Sheet1!I660=Sheet1!N660*0.05,"Valid","Error")</f>
        <v>Valid</v>
      </c>
      <c r="K660" s="13" t="str">
        <f>IF(Sheet1!N660=Sheet1!G660*Sheet1!H660,"True","False")</f>
        <v>True</v>
      </c>
      <c r="L660" s="13" t="b">
        <v>1</v>
      </c>
      <c r="M660" s="9" t="b">
        <f>ISNUMBER(Sheet1!J660)</f>
        <v>1</v>
      </c>
      <c r="N660" s="13" t="str">
        <f>IF(Sheet1!B660="A","Branch A",IF(Sheet1!B660="B","Branch B","Other Branch"))</f>
        <v>Branch A</v>
      </c>
      <c r="O660" s="13" t="str">
        <f>IF(Sheet1!M660="Credit card","Credit Payment","Other")</f>
        <v>Other</v>
      </c>
      <c r="P660" s="13" t="str">
        <f>IF(Sheet1!O660&gt;7,"Yes","No")</f>
        <v>No</v>
      </c>
    </row>
    <row r="661" spans="5:16">
      <c r="E661" s="13" t="str">
        <v>491</v>
      </c>
      <c r="F661" s="13" t="str">
        <v>3499</v>
      </c>
      <c r="G661" s="13" t="str">
        <v>38</v>
      </c>
      <c r="H661" s="13" t="str">
        <f>_xlfn.CONCAT(Sheet1!A661," --&gt; ",Sheet1!J661)</f>
        <v>491-38-3499 --&gt; 58.2225</v>
      </c>
      <c r="I661" s="13" t="str">
        <f>_xlfn.CONCAT(Sheet1!C661,"_",TEXT(Sheet1!K661, "m/d/yyyy"))</f>
        <v>Yangon_2/26/2019</v>
      </c>
      <c r="J661" s="13" t="str">
        <f>IF(Sheet1!I661=Sheet1!N661*0.05,"Valid","Error")</f>
        <v>Valid</v>
      </c>
      <c r="K661" s="13" t="str">
        <f>IF(Sheet1!N661=Sheet1!G661*Sheet1!H661,"True","False")</f>
        <v>True</v>
      </c>
      <c r="L661" s="13" t="b">
        <v>1</v>
      </c>
      <c r="M661" s="9" t="b">
        <f>ISNUMBER(Sheet1!J661)</f>
        <v>1</v>
      </c>
      <c r="N661" s="13" t="str">
        <f>IF(Sheet1!B661="A","Branch A",IF(Sheet1!B661="B","Branch B","Other Branch"))</f>
        <v>Branch A</v>
      </c>
      <c r="O661" s="13" t="str">
        <f>IF(Sheet1!M661="Credit card","Credit Payment","Other")</f>
        <v>Credit Payment</v>
      </c>
      <c r="P661" s="13" t="str">
        <f>IF(Sheet1!O661&gt;7,"Yes","No")</f>
        <v>No</v>
      </c>
    </row>
    <row r="662" spans="5:16">
      <c r="E662" s="13" t="str">
        <v>322</v>
      </c>
      <c r="F662" s="13" t="str">
        <v>2271</v>
      </c>
      <c r="G662" s="13" t="str">
        <v>02</v>
      </c>
      <c r="H662" s="13" t="str">
        <f>_xlfn.CONCAT(Sheet1!A662," --&gt; ",Sheet1!J662)</f>
        <v>322-02-2271 --&gt; 135.3555</v>
      </c>
      <c r="I662" s="13" t="str">
        <f>_xlfn.CONCAT(Sheet1!C662,"_",TEXT(Sheet1!K662, "m/d/yyyy"))</f>
        <v>Mandalay_2/3/2019</v>
      </c>
      <c r="J662" s="13" t="str">
        <f>IF(Sheet1!I662=Sheet1!N662*0.05,"Valid","Error")</f>
        <v>Valid</v>
      </c>
      <c r="K662" s="13" t="str">
        <f>IF(Sheet1!N662=Sheet1!G662*Sheet1!H662,"True","False")</f>
        <v>True</v>
      </c>
      <c r="L662" s="13" t="b">
        <v>1</v>
      </c>
      <c r="M662" s="9" t="b">
        <f>ISNUMBER(Sheet1!J662)</f>
        <v>1</v>
      </c>
      <c r="N662" s="13" t="str">
        <f>IF(Sheet1!B662="A","Branch A",IF(Sheet1!B662="B","Branch B","Other Branch"))</f>
        <v>Branch B</v>
      </c>
      <c r="O662" s="13" t="str">
        <f>IF(Sheet1!M662="Credit card","Credit Payment","Other")</f>
        <v>Other</v>
      </c>
      <c r="P662" s="13" t="str">
        <f>IF(Sheet1!O662&gt;7,"Yes","No")</f>
        <v>Yes</v>
      </c>
    </row>
    <row r="663" spans="5:16">
      <c r="E663" s="13" t="str">
        <v>842</v>
      </c>
      <c r="F663" s="13" t="str">
        <v>4695</v>
      </c>
      <c r="G663" s="13" t="str">
        <v>29</v>
      </c>
      <c r="H663" s="13" t="str">
        <f>_xlfn.CONCAT(Sheet1!A663," --&gt; ",Sheet1!J663)</f>
        <v>842-29-4695 --&gt; 125.979</v>
      </c>
      <c r="I663" s="13" t="str">
        <f>_xlfn.CONCAT(Sheet1!C663,"_",TEXT(Sheet1!K663, "m/d/yyyy"))</f>
        <v>Naypyitaw_1/16/2019</v>
      </c>
      <c r="J663" s="13" t="str">
        <f>IF(Sheet1!I663=Sheet1!N663*0.05,"Valid","Error")</f>
        <v>Valid</v>
      </c>
      <c r="K663" s="13" t="str">
        <f>IF(Sheet1!N663=Sheet1!G663*Sheet1!H663,"True","False")</f>
        <v>True</v>
      </c>
      <c r="L663" s="13" t="b">
        <v>1</v>
      </c>
      <c r="M663" s="9" t="b">
        <f>ISNUMBER(Sheet1!J663)</f>
        <v>1</v>
      </c>
      <c r="N663" s="13" t="str">
        <f>IF(Sheet1!B663="A","Branch A",IF(Sheet1!B663="B","Branch B","Other Branch"))</f>
        <v>Other Branch</v>
      </c>
      <c r="O663" s="13" t="str">
        <f>IF(Sheet1!M663="Credit card","Credit Payment","Other")</f>
        <v>Credit Payment</v>
      </c>
      <c r="P663" s="13" t="str">
        <f>IF(Sheet1!O663&gt;7,"Yes","No")</f>
        <v>Yes</v>
      </c>
    </row>
    <row r="664" spans="5:16">
      <c r="E664" s="13" t="str">
        <v>725</v>
      </c>
      <c r="F664" s="13" t="str">
        <v>2480</v>
      </c>
      <c r="G664" s="13" t="str">
        <v>67</v>
      </c>
      <c r="H664" s="13" t="str">
        <f>_xlfn.CONCAT(Sheet1!A664," --&gt; ",Sheet1!J664)</f>
        <v>725-67-2480 --&gt; 370.125</v>
      </c>
      <c r="I664" s="13" t="str">
        <f>_xlfn.CONCAT(Sheet1!C664,"_",TEXT(Sheet1!K664, "m/d/yyyy"))</f>
        <v>Mandalay_3/24/2019</v>
      </c>
      <c r="J664" s="13" t="str">
        <f>IF(Sheet1!I664=Sheet1!N664*0.05,"Valid","Error")</f>
        <v>Valid</v>
      </c>
      <c r="K664" s="13" t="str">
        <f>IF(Sheet1!N664=Sheet1!G664*Sheet1!H664,"True","False")</f>
        <v>True</v>
      </c>
      <c r="L664" s="13" t="b">
        <v>1</v>
      </c>
      <c r="M664" s="9" t="b">
        <f>ISNUMBER(Sheet1!J664)</f>
        <v>1</v>
      </c>
      <c r="N664" s="13" t="str">
        <f>IF(Sheet1!B664="A","Branch A",IF(Sheet1!B664="B","Branch B","Other Branch"))</f>
        <v>Branch B</v>
      </c>
      <c r="O664" s="13" t="str">
        <f>IF(Sheet1!M664="Credit card","Credit Payment","Other")</f>
        <v>Credit Payment</v>
      </c>
      <c r="P664" s="13" t="str">
        <f>IF(Sheet1!O664&gt;7,"Yes","No")</f>
        <v>No</v>
      </c>
    </row>
    <row r="665" spans="5:16">
      <c r="E665" s="13" t="str">
        <v>641</v>
      </c>
      <c r="F665" s="13" t="str">
        <v>2661</v>
      </c>
      <c r="G665" s="13" t="str">
        <v>51</v>
      </c>
      <c r="H665" s="13" t="str">
        <f>_xlfn.CONCAT(Sheet1!A665," --&gt; ",Sheet1!J665)</f>
        <v>641-51-2661 --&gt; 914.55</v>
      </c>
      <c r="I665" s="13" t="str">
        <f>_xlfn.CONCAT(Sheet1!C665,"_",TEXT(Sheet1!K665, "m/d/yyyy"))</f>
        <v>Naypyitaw_2/12/2019</v>
      </c>
      <c r="J665" s="13" t="str">
        <f>IF(Sheet1!I665=Sheet1!N665*0.05,"Valid","Error")</f>
        <v>Valid</v>
      </c>
      <c r="K665" s="13" t="str">
        <f>IF(Sheet1!N665=Sheet1!G665*Sheet1!H665,"True","False")</f>
        <v>True</v>
      </c>
      <c r="L665" s="13" t="b">
        <v>1</v>
      </c>
      <c r="M665" s="9" t="b">
        <f>ISNUMBER(Sheet1!J665)</f>
        <v>1</v>
      </c>
      <c r="N665" s="13" t="str">
        <f>IF(Sheet1!B665="A","Branch A",IF(Sheet1!B665="B","Branch B","Other Branch"))</f>
        <v>Other Branch</v>
      </c>
      <c r="O665" s="13" t="str">
        <f>IF(Sheet1!M665="Credit card","Credit Payment","Other")</f>
        <v>Credit Payment</v>
      </c>
      <c r="P665" s="13" t="str">
        <f>IF(Sheet1!O665&gt;7,"Yes","No")</f>
        <v>Yes</v>
      </c>
    </row>
    <row r="666" spans="5:16">
      <c r="E666" s="13" t="str">
        <v>714</v>
      </c>
      <c r="F666" s="13" t="str">
        <v>3114</v>
      </c>
      <c r="G666" s="13" t="str">
        <v>02</v>
      </c>
      <c r="H666" s="13" t="str">
        <f>_xlfn.CONCAT(Sheet1!A666," --&gt; ",Sheet1!J666)</f>
        <v>714-02-3114 --&gt; 207.48</v>
      </c>
      <c r="I666" s="13" t="str">
        <f>_xlfn.CONCAT(Sheet1!C666,"_",TEXT(Sheet1!K666, "m/d/yyyy"))</f>
        <v>Naypyitaw_2/21/2019</v>
      </c>
      <c r="J666" s="13" t="str">
        <f>IF(Sheet1!I666=Sheet1!N666*0.05,"Valid","Error")</f>
        <v>Valid</v>
      </c>
      <c r="K666" s="13" t="str">
        <f>IF(Sheet1!N666=Sheet1!G666*Sheet1!H666,"True","False")</f>
        <v>True</v>
      </c>
      <c r="L666" s="13" t="b">
        <v>1</v>
      </c>
      <c r="M666" s="9" t="b">
        <f>ISNUMBER(Sheet1!J666)</f>
        <v>1</v>
      </c>
      <c r="N666" s="13" t="str">
        <f>IF(Sheet1!B666="A","Branch A",IF(Sheet1!B666="B","Branch B","Other Branch"))</f>
        <v>Other Branch</v>
      </c>
      <c r="O666" s="13" t="str">
        <f>IF(Sheet1!M666="Credit card","Credit Payment","Other")</f>
        <v>Other</v>
      </c>
      <c r="P666" s="13" t="str">
        <f>IF(Sheet1!O666&gt;7,"Yes","No")</f>
        <v>Yes</v>
      </c>
    </row>
    <row r="667" spans="5:16">
      <c r="E667" s="13" t="str">
        <v>518</v>
      </c>
      <c r="F667" s="13" t="str">
        <v>2983</v>
      </c>
      <c r="G667" s="13" t="str">
        <v>17</v>
      </c>
      <c r="H667" s="13" t="str">
        <f>_xlfn.CONCAT(Sheet1!A667," --&gt; ",Sheet1!J667)</f>
        <v>518-17-2983 --&gt; 204.246</v>
      </c>
      <c r="I667" s="13" t="str">
        <f>_xlfn.CONCAT(Sheet1!C667,"_",TEXT(Sheet1!K667, "m/d/yyyy"))</f>
        <v>Yangon_2/4/2019</v>
      </c>
      <c r="J667" s="13" t="str">
        <f>IF(Sheet1!I667=Sheet1!N667*0.05,"Valid","Error")</f>
        <v>Valid</v>
      </c>
      <c r="K667" s="13" t="str">
        <f>IF(Sheet1!N667=Sheet1!G667*Sheet1!H667,"True","False")</f>
        <v>True</v>
      </c>
      <c r="L667" s="13" t="b">
        <v>1</v>
      </c>
      <c r="M667" s="9" t="b">
        <f>ISNUMBER(Sheet1!J667)</f>
        <v>1</v>
      </c>
      <c r="N667" s="13" t="str">
        <f>IF(Sheet1!B667="A","Branch A",IF(Sheet1!B667="B","Branch B","Other Branch"))</f>
        <v>Branch A</v>
      </c>
      <c r="O667" s="13" t="str">
        <f>IF(Sheet1!M667="Credit card","Credit Payment","Other")</f>
        <v>Other</v>
      </c>
      <c r="P667" s="13" t="str">
        <f>IF(Sheet1!O667&gt;7,"Yes","No")</f>
        <v>Yes</v>
      </c>
    </row>
    <row r="668" spans="5:16">
      <c r="E668" s="13" t="str">
        <v>779</v>
      </c>
      <c r="F668" s="13" t="str">
        <v>2410</v>
      </c>
      <c r="G668" s="13" t="str">
        <v>42</v>
      </c>
      <c r="H668" s="13" t="str">
        <f>_xlfn.CONCAT(Sheet1!A668," --&gt; ",Sheet1!J668)</f>
        <v>779-42-2410 --&gt; 181.881</v>
      </c>
      <c r="I668" s="13" t="str">
        <f>_xlfn.CONCAT(Sheet1!C668,"_",TEXT(Sheet1!K668, "m/d/yyyy"))</f>
        <v>Mandalay_2/20/2019</v>
      </c>
      <c r="J668" s="13" t="str">
        <f>IF(Sheet1!I668=Sheet1!N668*0.05,"Valid","Error")</f>
        <v>Valid</v>
      </c>
      <c r="K668" s="13" t="str">
        <f>IF(Sheet1!N668=Sheet1!G668*Sheet1!H668,"True","False")</f>
        <v>True</v>
      </c>
      <c r="L668" s="13" t="b">
        <v>1</v>
      </c>
      <c r="M668" s="9" t="b">
        <f>ISNUMBER(Sheet1!J668)</f>
        <v>1</v>
      </c>
      <c r="N668" s="13" t="str">
        <f>IF(Sheet1!B668="A","Branch A",IF(Sheet1!B668="B","Branch B","Other Branch"))</f>
        <v>Branch B</v>
      </c>
      <c r="O668" s="13" t="str">
        <f>IF(Sheet1!M668="Credit card","Credit Payment","Other")</f>
        <v>Other</v>
      </c>
      <c r="P668" s="13" t="str">
        <f>IF(Sheet1!O668&gt;7,"Yes","No")</f>
        <v>Yes</v>
      </c>
    </row>
    <row r="669" spans="5:16">
      <c r="E669" s="13" t="str">
        <v>190</v>
      </c>
      <c r="F669" s="13" t="str">
        <v>3147</v>
      </c>
      <c r="G669" s="13" t="str">
        <v>14</v>
      </c>
      <c r="H669" s="13" t="str">
        <f>_xlfn.CONCAT(Sheet1!A669," --&gt; ",Sheet1!J669)</f>
        <v>190-14-3147 --&gt; 75.474</v>
      </c>
      <c r="I669" s="13" t="str">
        <f>_xlfn.CONCAT(Sheet1!C669,"_",TEXT(Sheet1!K669, "m/d/yyyy"))</f>
        <v>Mandalay_2/23/2019</v>
      </c>
      <c r="J669" s="13" t="str">
        <f>IF(Sheet1!I669=Sheet1!N669*0.05,"Valid","Error")</f>
        <v>Valid</v>
      </c>
      <c r="K669" s="13" t="str">
        <f>IF(Sheet1!N669=Sheet1!G669*Sheet1!H669,"True","False")</f>
        <v>True</v>
      </c>
      <c r="L669" s="13" t="b">
        <v>1</v>
      </c>
      <c r="M669" s="9" t="b">
        <f>ISNUMBER(Sheet1!J669)</f>
        <v>1</v>
      </c>
      <c r="N669" s="13" t="str">
        <f>IF(Sheet1!B669="A","Branch A",IF(Sheet1!B669="B","Branch B","Other Branch"))</f>
        <v>Branch B</v>
      </c>
      <c r="O669" s="13" t="str">
        <f>IF(Sheet1!M669="Credit card","Credit Payment","Other")</f>
        <v>Other</v>
      </c>
      <c r="P669" s="13" t="str">
        <f>IF(Sheet1!O669&gt;7,"Yes","No")</f>
        <v>No</v>
      </c>
    </row>
    <row r="670" spans="5:16">
      <c r="E670" s="13" t="str">
        <v>408</v>
      </c>
      <c r="F670" s="13" t="str">
        <v>6712</v>
      </c>
      <c r="G670" s="13" t="str">
        <v>66</v>
      </c>
      <c r="H670" s="13" t="str">
        <f>_xlfn.CONCAT(Sheet1!A670," --&gt; ",Sheet1!J670)</f>
        <v>408-66-6712 --&gt; 300.573</v>
      </c>
      <c r="I670" s="13" t="str">
        <f>_xlfn.CONCAT(Sheet1!C670,"_",TEXT(Sheet1!K670, "m/d/yyyy"))</f>
        <v>Naypyitaw_2/16/2019</v>
      </c>
      <c r="J670" s="13" t="str">
        <f>IF(Sheet1!I670=Sheet1!N670*0.05,"Valid","Error")</f>
        <v>Valid</v>
      </c>
      <c r="K670" s="13" t="str">
        <f>IF(Sheet1!N670=Sheet1!G670*Sheet1!H670,"True","False")</f>
        <v>True</v>
      </c>
      <c r="L670" s="13" t="b">
        <v>1</v>
      </c>
      <c r="M670" s="9" t="b">
        <f>ISNUMBER(Sheet1!J670)</f>
        <v>1</v>
      </c>
      <c r="N670" s="13" t="str">
        <f>IF(Sheet1!B670="A","Branch A",IF(Sheet1!B670="B","Branch B","Other Branch"))</f>
        <v>Other Branch</v>
      </c>
      <c r="O670" s="13" t="str">
        <f>IF(Sheet1!M670="Credit card","Credit Payment","Other")</f>
        <v>Other</v>
      </c>
      <c r="P670" s="13" t="str">
        <f>IF(Sheet1!O670&gt;7,"Yes","No")</f>
        <v>No</v>
      </c>
    </row>
    <row r="671" spans="5:16">
      <c r="E671" s="13" t="str">
        <v>679</v>
      </c>
      <c r="F671" s="13" t="str">
        <v>6530</v>
      </c>
      <c r="G671" s="13" t="str">
        <v>22</v>
      </c>
      <c r="H671" s="13" t="str">
        <f>_xlfn.CONCAT(Sheet1!A671," --&gt; ",Sheet1!J671)</f>
        <v>679-22-6530 --&gt; 85.302</v>
      </c>
      <c r="I671" s="13" t="str">
        <f>_xlfn.CONCAT(Sheet1!C671,"_",TEXT(Sheet1!K671, "m/d/yyyy"))</f>
        <v>Mandalay_1/17/2019</v>
      </c>
      <c r="J671" s="13" t="str">
        <f>IF(Sheet1!I671=Sheet1!N671*0.05,"Valid","Error")</f>
        <v>Valid</v>
      </c>
      <c r="K671" s="13" t="str">
        <f>IF(Sheet1!N671=Sheet1!G671*Sheet1!H671,"True","False")</f>
        <v>True</v>
      </c>
      <c r="L671" s="13" t="b">
        <v>1</v>
      </c>
      <c r="M671" s="9" t="b">
        <f>ISNUMBER(Sheet1!J671)</f>
        <v>1</v>
      </c>
      <c r="N671" s="13" t="str">
        <f>IF(Sheet1!B671="A","Branch A",IF(Sheet1!B671="B","Branch B","Other Branch"))</f>
        <v>Branch B</v>
      </c>
      <c r="O671" s="13" t="str">
        <f>IF(Sheet1!M671="Credit card","Credit Payment","Other")</f>
        <v>Credit Payment</v>
      </c>
      <c r="P671" s="13" t="str">
        <f>IF(Sheet1!O671&gt;7,"Yes","No")</f>
        <v>No</v>
      </c>
    </row>
    <row r="672" spans="5:16">
      <c r="E672" s="13" t="str">
        <v>588</v>
      </c>
      <c r="F672" s="13" t="str">
        <v>8641</v>
      </c>
      <c r="G672" s="13" t="str">
        <v>47</v>
      </c>
      <c r="H672" s="13" t="str">
        <f>_xlfn.CONCAT(Sheet1!A672," --&gt; ",Sheet1!J672)</f>
        <v>588-47-8641 --&gt; 588.42</v>
      </c>
      <c r="I672" s="13" t="str">
        <f>_xlfn.CONCAT(Sheet1!C672,"_",TEXT(Sheet1!K672, "m/d/yyyy"))</f>
        <v>Yangon_1/14/2019</v>
      </c>
      <c r="J672" s="13" t="str">
        <f>IF(Sheet1!I672=Sheet1!N672*0.05,"Valid","Error")</f>
        <v>Valid</v>
      </c>
      <c r="K672" s="13" t="str">
        <f>IF(Sheet1!N672=Sheet1!G672*Sheet1!H672,"True","False")</f>
        <v>True</v>
      </c>
      <c r="L672" s="13" t="b">
        <v>1</v>
      </c>
      <c r="M672" s="9" t="b">
        <f>ISNUMBER(Sheet1!J672)</f>
        <v>1</v>
      </c>
      <c r="N672" s="13" t="str">
        <f>IF(Sheet1!B672="A","Branch A",IF(Sheet1!B672="B","Branch B","Other Branch"))</f>
        <v>Branch A</v>
      </c>
      <c r="O672" s="13" t="str">
        <f>IF(Sheet1!M672="Credit card","Credit Payment","Other")</f>
        <v>Other</v>
      </c>
      <c r="P672" s="13" t="str">
        <f>IF(Sheet1!O672&gt;7,"Yes","No")</f>
        <v>No</v>
      </c>
    </row>
    <row r="673" spans="5:16">
      <c r="E673" s="13" t="str">
        <v>642</v>
      </c>
      <c r="F673" s="13" t="str">
        <v>4706</v>
      </c>
      <c r="G673" s="13" t="str">
        <v>61</v>
      </c>
      <c r="H673" s="13" t="str">
        <f>_xlfn.CONCAT(Sheet1!A673," --&gt; ",Sheet1!J673)</f>
        <v>642-61-4706 --&gt; 196.14</v>
      </c>
      <c r="I673" s="13" t="str">
        <f>_xlfn.CONCAT(Sheet1!C673,"_",TEXT(Sheet1!K673, "m/d/yyyy"))</f>
        <v>Mandalay_3/30/2019</v>
      </c>
      <c r="J673" s="13" t="str">
        <f>IF(Sheet1!I673=Sheet1!N673*0.05,"Valid","Error")</f>
        <v>Valid</v>
      </c>
      <c r="K673" s="13" t="str">
        <f>IF(Sheet1!N673=Sheet1!G673*Sheet1!H673,"True","False")</f>
        <v>True</v>
      </c>
      <c r="L673" s="13" t="b">
        <v>1</v>
      </c>
      <c r="M673" s="9" t="b">
        <f>ISNUMBER(Sheet1!J673)</f>
        <v>1</v>
      </c>
      <c r="N673" s="13" t="str">
        <f>IF(Sheet1!B673="A","Branch A",IF(Sheet1!B673="B","Branch B","Other Branch"))</f>
        <v>Branch B</v>
      </c>
      <c r="O673" s="13" t="str">
        <f>IF(Sheet1!M673="Credit card","Credit Payment","Other")</f>
        <v>Other</v>
      </c>
      <c r="P673" s="13" t="str">
        <f>IF(Sheet1!O673&gt;7,"Yes","No")</f>
        <v>No</v>
      </c>
    </row>
    <row r="674" spans="5:16">
      <c r="E674" s="13" t="str">
        <v>576</v>
      </c>
      <c r="F674" s="13" t="str">
        <v>4774</v>
      </c>
      <c r="G674" s="13" t="str">
        <v>31</v>
      </c>
      <c r="H674" s="13" t="str">
        <f>_xlfn.CONCAT(Sheet1!A674," --&gt; ",Sheet1!J674)</f>
        <v>576-31-4774 --&gt; 231.2415</v>
      </c>
      <c r="I674" s="13" t="str">
        <f>_xlfn.CONCAT(Sheet1!C674,"_",TEXT(Sheet1!K674, "m/d/yyyy"))</f>
        <v>Mandalay_3/2/2019</v>
      </c>
      <c r="J674" s="13" t="str">
        <f>IF(Sheet1!I674=Sheet1!N674*0.05,"Valid","Error")</f>
        <v>Valid</v>
      </c>
      <c r="K674" s="13" t="str">
        <f>IF(Sheet1!N674=Sheet1!G674*Sheet1!H674,"True","False")</f>
        <v>True</v>
      </c>
      <c r="L674" s="13" t="b">
        <v>1</v>
      </c>
      <c r="M674" s="9" t="b">
        <f>ISNUMBER(Sheet1!J674)</f>
        <v>1</v>
      </c>
      <c r="N674" s="13" t="str">
        <f>IF(Sheet1!B674="A","Branch A",IF(Sheet1!B674="B","Branch B","Other Branch"))</f>
        <v>Branch B</v>
      </c>
      <c r="O674" s="13" t="str">
        <f>IF(Sheet1!M674="Credit card","Credit Payment","Other")</f>
        <v>Other</v>
      </c>
      <c r="P674" s="13" t="str">
        <f>IF(Sheet1!O674&gt;7,"Yes","No")</f>
        <v>No</v>
      </c>
    </row>
    <row r="675" spans="5:16">
      <c r="E675" s="13" t="str">
        <v>556</v>
      </c>
      <c r="F675" s="13" t="str">
        <v>6224</v>
      </c>
      <c r="G675" s="13" t="str">
        <v>41</v>
      </c>
      <c r="H675" s="13" t="str">
        <f>_xlfn.CONCAT(Sheet1!A675," --&gt; ",Sheet1!J675)</f>
        <v>556-41-6224 --&gt; 282.576</v>
      </c>
      <c r="I675" s="13" t="str">
        <f>_xlfn.CONCAT(Sheet1!C675,"_",TEXT(Sheet1!K675, "m/d/yyyy"))</f>
        <v>Naypyitaw_2/15/2019</v>
      </c>
      <c r="J675" s="13" t="str">
        <f>IF(Sheet1!I675=Sheet1!N675*0.05,"Valid","Error")</f>
        <v>Valid</v>
      </c>
      <c r="K675" s="13" t="str">
        <f>IF(Sheet1!N675=Sheet1!G675*Sheet1!H675,"True","False")</f>
        <v>True</v>
      </c>
      <c r="L675" s="13" t="b">
        <v>1</v>
      </c>
      <c r="M675" s="9" t="b">
        <f>ISNUMBER(Sheet1!J675)</f>
        <v>1</v>
      </c>
      <c r="N675" s="13" t="str">
        <f>IF(Sheet1!B675="A","Branch A",IF(Sheet1!B675="B","Branch B","Other Branch"))</f>
        <v>Other Branch</v>
      </c>
      <c r="O675" s="13" t="str">
        <f>IF(Sheet1!M675="Credit card","Credit Payment","Other")</f>
        <v>Credit Payment</v>
      </c>
      <c r="P675" s="13" t="str">
        <f>IF(Sheet1!O675&gt;7,"Yes","No")</f>
        <v>Yes</v>
      </c>
    </row>
    <row r="676" spans="5:16">
      <c r="E676" s="13" t="str">
        <v>811</v>
      </c>
      <c r="F676" s="13" t="str">
        <v>8790</v>
      </c>
      <c r="G676" s="13" t="str">
        <v>03</v>
      </c>
      <c r="H676" s="13" t="str">
        <f>_xlfn.CONCAT(Sheet1!A676," --&gt; ",Sheet1!J676)</f>
        <v>811-03-8790 --&gt; 477.54</v>
      </c>
      <c r="I676" s="13" t="str">
        <f>_xlfn.CONCAT(Sheet1!C676,"_",TEXT(Sheet1!K676, "m/d/yyyy"))</f>
        <v>Yangon_3/1/2019</v>
      </c>
      <c r="J676" s="13" t="str">
        <f>IF(Sheet1!I676=Sheet1!N676*0.05,"Valid","Error")</f>
        <v>Valid</v>
      </c>
      <c r="K676" s="13" t="str">
        <f>IF(Sheet1!N676=Sheet1!G676*Sheet1!H676,"True","False")</f>
        <v>True</v>
      </c>
      <c r="L676" s="13" t="b">
        <v>1</v>
      </c>
      <c r="M676" s="9" t="b">
        <f>ISNUMBER(Sheet1!J676)</f>
        <v>1</v>
      </c>
      <c r="N676" s="13" t="str">
        <f>IF(Sheet1!B676="A","Branch A",IF(Sheet1!B676="B","Branch B","Other Branch"))</f>
        <v>Branch A</v>
      </c>
      <c r="O676" s="13" t="str">
        <f>IF(Sheet1!M676="Credit card","Credit Payment","Other")</f>
        <v>Credit Payment</v>
      </c>
      <c r="P676" s="13" t="str">
        <f>IF(Sheet1!O676&gt;7,"Yes","No")</f>
        <v>No</v>
      </c>
    </row>
    <row r="677" spans="5:16">
      <c r="E677" s="13" t="str">
        <v>242</v>
      </c>
      <c r="F677" s="13" t="str">
        <v>3142</v>
      </c>
      <c r="G677" s="13" t="str">
        <v>11</v>
      </c>
      <c r="H677" s="13" t="str">
        <f>_xlfn.CONCAT(Sheet1!A677," --&gt; ",Sheet1!J677)</f>
        <v>242-11-3142 --&gt; 175.917</v>
      </c>
      <c r="I677" s="13" t="str">
        <f>_xlfn.CONCAT(Sheet1!C677,"_",TEXT(Sheet1!K677, "m/d/yyyy"))</f>
        <v>Mandalay_2/24/2019</v>
      </c>
      <c r="J677" s="13" t="str">
        <f>IF(Sheet1!I677=Sheet1!N677*0.05,"Valid","Error")</f>
        <v>Valid</v>
      </c>
      <c r="K677" s="13" t="str">
        <f>IF(Sheet1!N677=Sheet1!G677*Sheet1!H677,"True","False")</f>
        <v>True</v>
      </c>
      <c r="L677" s="13" t="b">
        <v>1</v>
      </c>
      <c r="M677" s="9" t="b">
        <f>ISNUMBER(Sheet1!J677)</f>
        <v>1</v>
      </c>
      <c r="N677" s="13" t="str">
        <f>IF(Sheet1!B677="A","Branch A",IF(Sheet1!B677="B","Branch B","Other Branch"))</f>
        <v>Branch B</v>
      </c>
      <c r="O677" s="13" t="str">
        <f>IF(Sheet1!M677="Credit card","Credit Payment","Other")</f>
        <v>Other</v>
      </c>
      <c r="P677" s="13" t="str">
        <f>IF(Sheet1!O677&gt;7,"Yes","No")</f>
        <v>No</v>
      </c>
    </row>
    <row r="678" spans="5:16">
      <c r="E678" s="13" t="str">
        <v>752</v>
      </c>
      <c r="F678" s="13" t="str">
        <v>3760</v>
      </c>
      <c r="G678" s="13" t="str">
        <v>23</v>
      </c>
      <c r="H678" s="13" t="str">
        <f>_xlfn.CONCAT(Sheet1!A678," --&gt; ",Sheet1!J678)</f>
        <v>752-23-3760 --&gt; 470.988</v>
      </c>
      <c r="I678" s="13" t="str">
        <f>_xlfn.CONCAT(Sheet1!C678,"_",TEXT(Sheet1!K678, "m/d/yyyy"))</f>
        <v>Mandalay_2/19/2019</v>
      </c>
      <c r="J678" s="13" t="str">
        <f>IF(Sheet1!I678=Sheet1!N678*0.05,"Valid","Error")</f>
        <v>Valid</v>
      </c>
      <c r="K678" s="13" t="str">
        <f>IF(Sheet1!N678=Sheet1!G678*Sheet1!H678,"True","False")</f>
        <v>True</v>
      </c>
      <c r="L678" s="13" t="b">
        <v>1</v>
      </c>
      <c r="M678" s="9" t="b">
        <f>ISNUMBER(Sheet1!J678)</f>
        <v>1</v>
      </c>
      <c r="N678" s="13" t="str">
        <f>IF(Sheet1!B678="A","Branch A",IF(Sheet1!B678="B","Branch B","Other Branch"))</f>
        <v>Branch B</v>
      </c>
      <c r="O678" s="13" t="str">
        <f>IF(Sheet1!M678="Credit card","Credit Payment","Other")</f>
        <v>Credit Payment</v>
      </c>
      <c r="P678" s="13" t="str">
        <f>IF(Sheet1!O678&gt;7,"Yes","No")</f>
        <v>Yes</v>
      </c>
    </row>
    <row r="679" spans="5:16">
      <c r="E679" s="13" t="str">
        <v>274</v>
      </c>
      <c r="F679" s="13" t="str">
        <v>5470</v>
      </c>
      <c r="G679" s="13" t="str">
        <v>05</v>
      </c>
      <c r="H679" s="13" t="str">
        <f>_xlfn.CONCAT(Sheet1!A679," --&gt; ",Sheet1!J679)</f>
        <v>274-05-5470 --&gt; 308.574</v>
      </c>
      <c r="I679" s="13" t="str">
        <f>_xlfn.CONCAT(Sheet1!C679,"_",TEXT(Sheet1!K679, "m/d/yyyy"))</f>
        <v>Yangon_2/23/2019</v>
      </c>
      <c r="J679" s="13" t="str">
        <f>IF(Sheet1!I679=Sheet1!N679*0.05,"Valid","Error")</f>
        <v>Valid</v>
      </c>
      <c r="K679" s="13" t="str">
        <f>IF(Sheet1!N679=Sheet1!G679*Sheet1!H679,"True","False")</f>
        <v>True</v>
      </c>
      <c r="L679" s="13" t="b">
        <v>1</v>
      </c>
      <c r="M679" s="9" t="b">
        <f>ISNUMBER(Sheet1!J679)</f>
        <v>1</v>
      </c>
      <c r="N679" s="13" t="str">
        <f>IF(Sheet1!B679="A","Branch A",IF(Sheet1!B679="B","Branch B","Other Branch"))</f>
        <v>Branch A</v>
      </c>
      <c r="O679" s="13" t="str">
        <f>IF(Sheet1!M679="Credit card","Credit Payment","Other")</f>
        <v>Other</v>
      </c>
      <c r="P679" s="13" t="str">
        <f>IF(Sheet1!O679&gt;7,"Yes","No")</f>
        <v>No</v>
      </c>
    </row>
    <row r="680" spans="5:16">
      <c r="E680" s="13" t="str">
        <v>648</v>
      </c>
      <c r="F680" s="13" t="str">
        <v>3045</v>
      </c>
      <c r="G680" s="13" t="str">
        <v>94</v>
      </c>
      <c r="H680" s="13" t="str">
        <f>_xlfn.CONCAT(Sheet1!A680," --&gt; ",Sheet1!J680)</f>
        <v>648-94-3045 --&gt; 618.975</v>
      </c>
      <c r="I680" s="13" t="str">
        <f>_xlfn.CONCAT(Sheet1!C680,"_",TEXT(Sheet1!K680, "m/d/yyyy"))</f>
        <v>Naypyitaw_2/7/2019</v>
      </c>
      <c r="J680" s="13" t="str">
        <f>IF(Sheet1!I680=Sheet1!N680*0.05,"Valid","Error")</f>
        <v>Valid</v>
      </c>
      <c r="K680" s="13" t="str">
        <f>IF(Sheet1!N680=Sheet1!G680*Sheet1!H680,"True","False")</f>
        <v>True</v>
      </c>
      <c r="L680" s="13" t="b">
        <v>1</v>
      </c>
      <c r="M680" s="9" t="b">
        <f>ISNUMBER(Sheet1!J680)</f>
        <v>1</v>
      </c>
      <c r="N680" s="13" t="str">
        <f>IF(Sheet1!B680="A","Branch A",IF(Sheet1!B680="B","Branch B","Other Branch"))</f>
        <v>Other Branch</v>
      </c>
      <c r="O680" s="13" t="str">
        <f>IF(Sheet1!M680="Credit card","Credit Payment","Other")</f>
        <v>Other</v>
      </c>
      <c r="P680" s="13" t="str">
        <f>IF(Sheet1!O680&gt;7,"Yes","No")</f>
        <v>Yes</v>
      </c>
    </row>
    <row r="681" spans="5:16">
      <c r="E681" s="13" t="str">
        <v>130</v>
      </c>
      <c r="F681" s="13" t="str">
        <v>4723</v>
      </c>
      <c r="G681" s="13" t="str">
        <v>67</v>
      </c>
      <c r="H681" s="13" t="str">
        <f>_xlfn.CONCAT(Sheet1!A681," --&gt; ",Sheet1!J681)</f>
        <v>130-67-4723 --&gt; 305.55</v>
      </c>
      <c r="I681" s="13" t="str">
        <f>_xlfn.CONCAT(Sheet1!C681,"_",TEXT(Sheet1!K681, "m/d/yyyy"))</f>
        <v>Yangon_1/11/2019</v>
      </c>
      <c r="J681" s="13" t="str">
        <f>IF(Sheet1!I681=Sheet1!N681*0.05,"Valid","Error")</f>
        <v>Valid</v>
      </c>
      <c r="K681" s="13" t="str">
        <f>IF(Sheet1!N681=Sheet1!G681*Sheet1!H681,"True","False")</f>
        <v>True</v>
      </c>
      <c r="L681" s="13" t="b">
        <v>1</v>
      </c>
      <c r="M681" s="9" t="b">
        <f>ISNUMBER(Sheet1!J681)</f>
        <v>1</v>
      </c>
      <c r="N681" s="13" t="str">
        <f>IF(Sheet1!B681="A","Branch A",IF(Sheet1!B681="B","Branch B","Other Branch"))</f>
        <v>Branch A</v>
      </c>
      <c r="O681" s="13" t="str">
        <f>IF(Sheet1!M681="Credit card","Credit Payment","Other")</f>
        <v>Other</v>
      </c>
      <c r="P681" s="13" t="str">
        <f>IF(Sheet1!O681&gt;7,"Yes","No")</f>
        <v>Yes</v>
      </c>
    </row>
    <row r="682" spans="5:16">
      <c r="E682" s="13" t="str">
        <v>528</v>
      </c>
      <c r="F682" s="13" t="str">
        <v>5606</v>
      </c>
      <c r="G682" s="13" t="str">
        <v>87</v>
      </c>
      <c r="H682" s="13" t="str">
        <f>_xlfn.CONCAT(Sheet1!A682," --&gt; ",Sheet1!J682)</f>
        <v>528-87-5606 --&gt; 41.454</v>
      </c>
      <c r="I682" s="13" t="str">
        <f>_xlfn.CONCAT(Sheet1!C682,"_",TEXT(Sheet1!K682, "m/d/yyyy"))</f>
        <v>Mandalay_2/12/2019</v>
      </c>
      <c r="J682" s="13" t="str">
        <f>IF(Sheet1!I682=Sheet1!N682*0.05,"Valid","Error")</f>
        <v>Valid</v>
      </c>
      <c r="K682" s="13" t="str">
        <f>IF(Sheet1!N682=Sheet1!G682*Sheet1!H682,"True","False")</f>
        <v>True</v>
      </c>
      <c r="L682" s="13" t="b">
        <v>1</v>
      </c>
      <c r="M682" s="9" t="b">
        <f>ISNUMBER(Sheet1!J682)</f>
        <v>1</v>
      </c>
      <c r="N682" s="13" t="str">
        <f>IF(Sheet1!B682="A","Branch A",IF(Sheet1!B682="B","Branch B","Other Branch"))</f>
        <v>Branch B</v>
      </c>
      <c r="O682" s="13" t="str">
        <f>IF(Sheet1!M682="Credit card","Credit Payment","Other")</f>
        <v>Other</v>
      </c>
      <c r="P682" s="13" t="str">
        <f>IF(Sheet1!O682&gt;7,"Yes","No")</f>
        <v>No</v>
      </c>
    </row>
    <row r="683" spans="5:16">
      <c r="E683" s="13" t="str">
        <v>320</v>
      </c>
      <c r="F683" s="13" t="str">
        <v>2052</v>
      </c>
      <c r="G683" s="13" t="str">
        <v>85</v>
      </c>
      <c r="H683" s="13" t="str">
        <f>_xlfn.CONCAT(Sheet1!A683," --&gt; ",Sheet1!J683)</f>
        <v>320-85-2052 --&gt; 36.5505</v>
      </c>
      <c r="I683" s="13" t="str">
        <f>_xlfn.CONCAT(Sheet1!C683,"_",TEXT(Sheet1!K683, "m/d/yyyy"))</f>
        <v>Mandalay_1/14/2019</v>
      </c>
      <c r="J683" s="13" t="str">
        <f>IF(Sheet1!I683=Sheet1!N683*0.05,"Valid","Error")</f>
        <v>Valid</v>
      </c>
      <c r="K683" s="13" t="str">
        <f>IF(Sheet1!N683=Sheet1!G683*Sheet1!H683,"True","False")</f>
        <v>True</v>
      </c>
      <c r="L683" s="13" t="b">
        <v>1</v>
      </c>
      <c r="M683" s="9" t="b">
        <f>ISNUMBER(Sheet1!J683)</f>
        <v>1</v>
      </c>
      <c r="N683" s="13" t="str">
        <f>IF(Sheet1!B683="A","Branch A",IF(Sheet1!B683="B","Branch B","Other Branch"))</f>
        <v>Branch B</v>
      </c>
      <c r="O683" s="13" t="str">
        <f>IF(Sheet1!M683="Credit card","Credit Payment","Other")</f>
        <v>Credit Payment</v>
      </c>
      <c r="P683" s="13" t="str">
        <f>IF(Sheet1!O683&gt;7,"Yes","No")</f>
        <v>No</v>
      </c>
    </row>
    <row r="684" spans="5:16">
      <c r="E684" s="13" t="str">
        <v>370</v>
      </c>
      <c r="F684" s="13" t="str">
        <v>0655</v>
      </c>
      <c r="G684" s="13" t="str">
        <v>96</v>
      </c>
      <c r="H684" s="13" t="str">
        <f>_xlfn.CONCAT(Sheet1!A684," --&gt; ",Sheet1!J684)</f>
        <v>370-96-0655 --&gt; 310.716</v>
      </c>
      <c r="I684" s="13" t="str">
        <f>_xlfn.CONCAT(Sheet1!C684,"_",TEXT(Sheet1!K684, "m/d/yyyy"))</f>
        <v>Naypyitaw_1/9/2019</v>
      </c>
      <c r="J684" s="13" t="str">
        <f>IF(Sheet1!I684=Sheet1!N684*0.05,"Valid","Error")</f>
        <v>Valid</v>
      </c>
      <c r="K684" s="13" t="str">
        <f>IF(Sheet1!N684=Sheet1!G684*Sheet1!H684,"True","False")</f>
        <v>True</v>
      </c>
      <c r="L684" s="13" t="b">
        <v>1</v>
      </c>
      <c r="M684" s="9" t="b">
        <f>ISNUMBER(Sheet1!J684)</f>
        <v>1</v>
      </c>
      <c r="N684" s="13" t="str">
        <f>IF(Sheet1!B684="A","Branch A",IF(Sheet1!B684="B","Branch B","Other Branch"))</f>
        <v>Other Branch</v>
      </c>
      <c r="O684" s="13" t="str">
        <f>IF(Sheet1!M684="Credit card","Credit Payment","Other")</f>
        <v>Other</v>
      </c>
      <c r="P684" s="13" t="str">
        <f>IF(Sheet1!O684&gt;7,"Yes","No")</f>
        <v>Yes</v>
      </c>
    </row>
    <row r="685" spans="5:16">
      <c r="E685" s="13" t="str">
        <v>105</v>
      </c>
      <c r="F685" s="13" t="str">
        <v>6182</v>
      </c>
      <c r="G685" s="13" t="str">
        <v>10</v>
      </c>
      <c r="H685" s="13" t="str">
        <f>_xlfn.CONCAT(Sheet1!A685," --&gt; ",Sheet1!J685)</f>
        <v>105-10-6182 --&gt; 45.108</v>
      </c>
      <c r="I685" s="13" t="str">
        <f>_xlfn.CONCAT(Sheet1!C685,"_",TEXT(Sheet1!K685, "m/d/yyyy"))</f>
        <v>Yangon_2/27/2019</v>
      </c>
      <c r="J685" s="13" t="str">
        <f>IF(Sheet1!I685=Sheet1!N685*0.05,"Valid","Error")</f>
        <v>Valid</v>
      </c>
      <c r="K685" s="13" t="str">
        <f>IF(Sheet1!N685=Sheet1!G685*Sheet1!H685,"True","False")</f>
        <v>True</v>
      </c>
      <c r="L685" s="13" t="b">
        <v>1</v>
      </c>
      <c r="M685" s="9" t="b">
        <f>ISNUMBER(Sheet1!J685)</f>
        <v>1</v>
      </c>
      <c r="N685" s="13" t="str">
        <f>IF(Sheet1!B685="A","Branch A",IF(Sheet1!B685="B","Branch B","Other Branch"))</f>
        <v>Branch A</v>
      </c>
      <c r="O685" s="13" t="str">
        <f>IF(Sheet1!M685="Credit card","Credit Payment","Other")</f>
        <v>Other</v>
      </c>
      <c r="P685" s="13" t="str">
        <f>IF(Sheet1!O685&gt;7,"Yes","No")</f>
        <v>No</v>
      </c>
    </row>
    <row r="686" spans="5:16">
      <c r="E686" s="13" t="str">
        <v>510</v>
      </c>
      <c r="F686" s="13" t="str">
        <v>0415</v>
      </c>
      <c r="G686" s="13" t="str">
        <v>79</v>
      </c>
      <c r="H686" s="13" t="str">
        <f>_xlfn.CONCAT(Sheet1!A686," --&gt; ",Sheet1!J686)</f>
        <v>510-79-0415 --&gt; 145.404</v>
      </c>
      <c r="I686" s="13" t="str">
        <f>_xlfn.CONCAT(Sheet1!C686,"_",TEXT(Sheet1!K686, "m/d/yyyy"))</f>
        <v>Mandalay_1/24/2019</v>
      </c>
      <c r="J686" s="13" t="str">
        <f>IF(Sheet1!I686=Sheet1!N686*0.05,"Valid","Error")</f>
        <v>Valid</v>
      </c>
      <c r="K686" s="13" t="str">
        <f>IF(Sheet1!N686=Sheet1!G686*Sheet1!H686,"True","False")</f>
        <v>True</v>
      </c>
      <c r="L686" s="13" t="b">
        <v>1</v>
      </c>
      <c r="M686" s="9" t="b">
        <f>ISNUMBER(Sheet1!J686)</f>
        <v>1</v>
      </c>
      <c r="N686" s="13" t="str">
        <f>IF(Sheet1!B686="A","Branch A",IF(Sheet1!B686="B","Branch B","Other Branch"))</f>
        <v>Branch B</v>
      </c>
      <c r="O686" s="13" t="str">
        <f>IF(Sheet1!M686="Credit card","Credit Payment","Other")</f>
        <v>Other</v>
      </c>
      <c r="P686" s="13" t="str">
        <f>IF(Sheet1!O686&gt;7,"Yes","No")</f>
        <v>No</v>
      </c>
    </row>
    <row r="687" spans="5:16">
      <c r="E687" s="13" t="str">
        <v>241</v>
      </c>
      <c r="F687" s="13" t="str">
        <v>5076</v>
      </c>
      <c r="G687" s="13" t="str">
        <v>96</v>
      </c>
      <c r="H687" s="13" t="str">
        <f>_xlfn.CONCAT(Sheet1!A687," --&gt; ",Sheet1!J687)</f>
        <v>241-96-5076 --&gt; 103.11</v>
      </c>
      <c r="I687" s="13" t="str">
        <f>_xlfn.CONCAT(Sheet1!C687,"_",TEXT(Sheet1!K687, "m/d/yyyy"))</f>
        <v>Mandalay_1/8/2019</v>
      </c>
      <c r="J687" s="13" t="str">
        <f>IF(Sheet1!I687=Sheet1!N687*0.05,"Valid","Error")</f>
        <v>Valid</v>
      </c>
      <c r="K687" s="13" t="str">
        <f>IF(Sheet1!N687=Sheet1!G687*Sheet1!H687,"True","False")</f>
        <v>True</v>
      </c>
      <c r="L687" s="13" t="b">
        <v>1</v>
      </c>
      <c r="M687" s="9" t="b">
        <f>ISNUMBER(Sheet1!J687)</f>
        <v>1</v>
      </c>
      <c r="N687" s="13" t="str">
        <f>IF(Sheet1!B687="A","Branch A",IF(Sheet1!B687="B","Branch B","Other Branch"))</f>
        <v>Branch B</v>
      </c>
      <c r="O687" s="13" t="str">
        <f>IF(Sheet1!M687="Credit card","Credit Payment","Other")</f>
        <v>Credit Payment</v>
      </c>
      <c r="P687" s="13" t="str">
        <f>IF(Sheet1!O687&gt;7,"Yes","No")</f>
        <v>No</v>
      </c>
    </row>
    <row r="688" spans="5:16">
      <c r="E688" s="13" t="str">
        <v>767</v>
      </c>
      <c r="F688" s="13" t="str">
        <v>4650</v>
      </c>
      <c r="G688" s="13" t="str">
        <v>97</v>
      </c>
      <c r="H688" s="13" t="str">
        <f>_xlfn.CONCAT(Sheet1!A688," --&gt; ",Sheet1!J688)</f>
        <v>767-97-4650 --&gt; 136.143</v>
      </c>
      <c r="I688" s="13" t="str">
        <f>_xlfn.CONCAT(Sheet1!C688,"_",TEXT(Sheet1!K688, "m/d/yyyy"))</f>
        <v>Mandalay_1/8/2019</v>
      </c>
      <c r="J688" s="13" t="str">
        <f>IF(Sheet1!I688=Sheet1!N688*0.05,"Valid","Error")</f>
        <v>Valid</v>
      </c>
      <c r="K688" s="13" t="str">
        <f>IF(Sheet1!N688=Sheet1!G688*Sheet1!H688,"True","False")</f>
        <v>True</v>
      </c>
      <c r="L688" s="13" t="b">
        <v>1</v>
      </c>
      <c r="M688" s="9" t="b">
        <f>ISNUMBER(Sheet1!J688)</f>
        <v>1</v>
      </c>
      <c r="N688" s="13" t="str">
        <f>IF(Sheet1!B688="A","Branch A",IF(Sheet1!B688="B","Branch B","Other Branch"))</f>
        <v>Branch B</v>
      </c>
      <c r="O688" s="13" t="str">
        <f>IF(Sheet1!M688="Credit card","Credit Payment","Other")</f>
        <v>Credit Payment</v>
      </c>
      <c r="P688" s="13" t="str">
        <f>IF(Sheet1!O688&gt;7,"Yes","No")</f>
        <v>Yes</v>
      </c>
    </row>
    <row r="689" spans="5:16">
      <c r="E689" s="13" t="str">
        <v>648</v>
      </c>
      <c r="F689" s="13" t="str">
        <v>1321</v>
      </c>
      <c r="G689" s="13" t="str">
        <v>83</v>
      </c>
      <c r="H689" s="13" t="str">
        <f>_xlfn.CONCAT(Sheet1!A689," --&gt; ",Sheet1!J689)</f>
        <v>648-83-1321 --&gt; 667.38</v>
      </c>
      <c r="I689" s="13" t="str">
        <f>_xlfn.CONCAT(Sheet1!C689,"_",TEXT(Sheet1!K689, "m/d/yyyy"))</f>
        <v>Yangon_1/16/2019</v>
      </c>
      <c r="J689" s="13" t="str">
        <f>IF(Sheet1!I689=Sheet1!N689*0.05,"Valid","Error")</f>
        <v>Valid</v>
      </c>
      <c r="K689" s="13" t="str">
        <f>IF(Sheet1!N689=Sheet1!G689*Sheet1!H689,"True","False")</f>
        <v>True</v>
      </c>
      <c r="L689" s="13" t="b">
        <v>1</v>
      </c>
      <c r="M689" s="9" t="b">
        <f>ISNUMBER(Sheet1!J689)</f>
        <v>1</v>
      </c>
      <c r="N689" s="13" t="str">
        <f>IF(Sheet1!B689="A","Branch A",IF(Sheet1!B689="B","Branch B","Other Branch"))</f>
        <v>Branch A</v>
      </c>
      <c r="O689" s="13" t="str">
        <f>IF(Sheet1!M689="Credit card","Credit Payment","Other")</f>
        <v>Other</v>
      </c>
      <c r="P689" s="13" t="str">
        <f>IF(Sheet1!O689&gt;7,"Yes","No")</f>
        <v>No</v>
      </c>
    </row>
    <row r="690" spans="5:16">
      <c r="E690" s="13" t="str">
        <v>173</v>
      </c>
      <c r="F690" s="13" t="str">
        <v>2300</v>
      </c>
      <c r="G690" s="13" t="str">
        <v>57</v>
      </c>
      <c r="H690" s="13" t="str">
        <f>_xlfn.CONCAT(Sheet1!A690," --&gt; ",Sheet1!J690)</f>
        <v>173-57-2300 --&gt; 153.048</v>
      </c>
      <c r="I690" s="13" t="str">
        <f>_xlfn.CONCAT(Sheet1!C690,"_",TEXT(Sheet1!K690, "m/d/yyyy"))</f>
        <v>Naypyitaw_3/13/2019</v>
      </c>
      <c r="J690" s="13" t="str">
        <f>IF(Sheet1!I690=Sheet1!N690*0.05,"Valid","Error")</f>
        <v>Valid</v>
      </c>
      <c r="K690" s="13" t="str">
        <f>IF(Sheet1!N690=Sheet1!G690*Sheet1!H690,"True","False")</f>
        <v>True</v>
      </c>
      <c r="L690" s="13" t="b">
        <v>1</v>
      </c>
      <c r="M690" s="9" t="b">
        <f>ISNUMBER(Sheet1!J690)</f>
        <v>1</v>
      </c>
      <c r="N690" s="13" t="str">
        <f>IF(Sheet1!B690="A","Branch A",IF(Sheet1!B690="B","Branch B","Other Branch"))</f>
        <v>Other Branch</v>
      </c>
      <c r="O690" s="13" t="str">
        <f>IF(Sheet1!M690="Credit card","Credit Payment","Other")</f>
        <v>Other</v>
      </c>
      <c r="P690" s="13" t="str">
        <f>IF(Sheet1!O690&gt;7,"Yes","No")</f>
        <v>No</v>
      </c>
    </row>
    <row r="691" spans="5:16">
      <c r="E691" s="13" t="str">
        <v>305</v>
      </c>
      <c r="F691" s="13" t="str">
        <v>2383</v>
      </c>
      <c r="G691" s="13" t="str">
        <v>03</v>
      </c>
      <c r="H691" s="13" t="str">
        <f>_xlfn.CONCAT(Sheet1!A691," --&gt; ",Sheet1!J691)</f>
        <v>305-03-2383 --&gt; 211.365</v>
      </c>
      <c r="I691" s="13" t="str">
        <f>_xlfn.CONCAT(Sheet1!C691,"_",TEXT(Sheet1!K691, "m/d/yyyy"))</f>
        <v>Yangon_2/15/2019</v>
      </c>
      <c r="J691" s="13" t="str">
        <f>IF(Sheet1!I691=Sheet1!N691*0.05,"Valid","Error")</f>
        <v>Valid</v>
      </c>
      <c r="K691" s="13" t="str">
        <f>IF(Sheet1!N691=Sheet1!G691*Sheet1!H691,"True","False")</f>
        <v>True</v>
      </c>
      <c r="L691" s="13" t="b">
        <v>1</v>
      </c>
      <c r="M691" s="9" t="b">
        <f>ISNUMBER(Sheet1!J691)</f>
        <v>1</v>
      </c>
      <c r="N691" s="13" t="str">
        <f>IF(Sheet1!B691="A","Branch A",IF(Sheet1!B691="B","Branch B","Other Branch"))</f>
        <v>Branch A</v>
      </c>
      <c r="O691" s="13" t="str">
        <f>IF(Sheet1!M691="Credit card","Credit Payment","Other")</f>
        <v>Other</v>
      </c>
      <c r="P691" s="13" t="str">
        <f>IF(Sheet1!O691&gt;7,"Yes","No")</f>
        <v>Yes</v>
      </c>
    </row>
    <row r="692" spans="5:16">
      <c r="E692" s="13" t="str">
        <v>394</v>
      </c>
      <c r="F692" s="13" t="str">
        <v>6384</v>
      </c>
      <c r="G692" s="13" t="str">
        <v>55</v>
      </c>
      <c r="H692" s="13" t="str">
        <f>_xlfn.CONCAT(Sheet1!A692," --&gt; ",Sheet1!J692)</f>
        <v>394-55-6384 --&gt; 663.2955</v>
      </c>
      <c r="I692" s="13" t="str">
        <f>_xlfn.CONCAT(Sheet1!C692,"_",TEXT(Sheet1!K692, "m/d/yyyy"))</f>
        <v>Naypyitaw_1/25/2019</v>
      </c>
      <c r="J692" s="13" t="str">
        <f>IF(Sheet1!I692=Sheet1!N692*0.05,"Valid","Error")</f>
        <v>Valid</v>
      </c>
      <c r="K692" s="13" t="str">
        <f>IF(Sheet1!N692=Sheet1!G692*Sheet1!H692,"True","False")</f>
        <v>True</v>
      </c>
      <c r="L692" s="13" t="b">
        <v>1</v>
      </c>
      <c r="M692" s="9" t="b">
        <f>ISNUMBER(Sheet1!J692)</f>
        <v>1</v>
      </c>
      <c r="N692" s="13" t="str">
        <f>IF(Sheet1!B692="A","Branch A",IF(Sheet1!B692="B","Branch B","Other Branch"))</f>
        <v>Other Branch</v>
      </c>
      <c r="O692" s="13" t="str">
        <f>IF(Sheet1!M692="Credit card","Credit Payment","Other")</f>
        <v>Other</v>
      </c>
      <c r="P692" s="13" t="str">
        <f>IF(Sheet1!O692&gt;7,"Yes","No")</f>
        <v>No</v>
      </c>
    </row>
    <row r="693" spans="5:16">
      <c r="E693" s="13" t="str">
        <v>266</v>
      </c>
      <c r="F693" s="13" t="str">
        <v>6657</v>
      </c>
      <c r="G693" s="13" t="str">
        <v>20</v>
      </c>
      <c r="H693" s="13" t="str">
        <f>_xlfn.CONCAT(Sheet1!A693," --&gt; ",Sheet1!J693)</f>
        <v>266-20-6657 --&gt; 404.544</v>
      </c>
      <c r="I693" s="13" t="str">
        <f>_xlfn.CONCAT(Sheet1!C693,"_",TEXT(Sheet1!K693, "m/d/yyyy"))</f>
        <v>Naypyitaw_3/12/2019</v>
      </c>
      <c r="J693" s="13" t="str">
        <f>IF(Sheet1!I693=Sheet1!N693*0.05,"Valid","Error")</f>
        <v>Valid</v>
      </c>
      <c r="K693" s="13" t="str">
        <f>IF(Sheet1!N693=Sheet1!G693*Sheet1!H693,"True","False")</f>
        <v>True</v>
      </c>
      <c r="L693" s="13" t="b">
        <v>1</v>
      </c>
      <c r="M693" s="9" t="b">
        <f>ISNUMBER(Sheet1!J693)</f>
        <v>1</v>
      </c>
      <c r="N693" s="13" t="str">
        <f>IF(Sheet1!B693="A","Branch A",IF(Sheet1!B693="B","Branch B","Other Branch"))</f>
        <v>Other Branch</v>
      </c>
      <c r="O693" s="13" t="str">
        <f>IF(Sheet1!M693="Credit card","Credit Payment","Other")</f>
        <v>Other</v>
      </c>
      <c r="P693" s="13" t="str">
        <f>IF(Sheet1!O693&gt;7,"Yes","No")</f>
        <v>No</v>
      </c>
    </row>
    <row r="694" spans="5:16">
      <c r="E694" s="13" t="str">
        <v>689</v>
      </c>
      <c r="F694" s="13" t="str">
        <v>1884</v>
      </c>
      <c r="G694" s="13" t="str">
        <v>05</v>
      </c>
      <c r="H694" s="13" t="str">
        <f>_xlfn.CONCAT(Sheet1!A694," --&gt; ",Sheet1!J694)</f>
        <v>689-05-1884 --&gt; 510.615</v>
      </c>
      <c r="I694" s="13" t="str">
        <f>_xlfn.CONCAT(Sheet1!C694,"_",TEXT(Sheet1!K694, "m/d/yyyy"))</f>
        <v>Yangon_3/4/2019</v>
      </c>
      <c r="J694" s="13" t="str">
        <f>IF(Sheet1!I694=Sheet1!N694*0.05,"Valid","Error")</f>
        <v>Valid</v>
      </c>
      <c r="K694" s="13" t="str">
        <f>IF(Sheet1!N694=Sheet1!G694*Sheet1!H694,"True","False")</f>
        <v>True</v>
      </c>
      <c r="L694" s="13" t="b">
        <v>1</v>
      </c>
      <c r="M694" s="9" t="b">
        <f>ISNUMBER(Sheet1!J694)</f>
        <v>1</v>
      </c>
      <c r="N694" s="13" t="str">
        <f>IF(Sheet1!B694="A","Branch A",IF(Sheet1!B694="B","Branch B","Other Branch"))</f>
        <v>Branch A</v>
      </c>
      <c r="O694" s="13" t="str">
        <f>IF(Sheet1!M694="Credit card","Credit Payment","Other")</f>
        <v>Other</v>
      </c>
      <c r="P694" s="13" t="str">
        <f>IF(Sheet1!O694&gt;7,"Yes","No")</f>
        <v>Yes</v>
      </c>
    </row>
    <row r="695" spans="5:16">
      <c r="E695" s="13" t="str">
        <v>196</v>
      </c>
      <c r="F695" s="13" t="str">
        <v>2849</v>
      </c>
      <c r="G695" s="13" t="str">
        <v>01</v>
      </c>
      <c r="H695" s="13" t="str">
        <f>_xlfn.CONCAT(Sheet1!A695," --&gt; ",Sheet1!J695)</f>
        <v>196-01-2849 --&gt; 539.343</v>
      </c>
      <c r="I695" s="13" t="str">
        <f>_xlfn.CONCAT(Sheet1!C695,"_",TEXT(Sheet1!K695, "m/d/yyyy"))</f>
        <v>Naypyitaw_2/10/2019</v>
      </c>
      <c r="J695" s="13" t="str">
        <f>IF(Sheet1!I695=Sheet1!N695*0.05,"Valid","Error")</f>
        <v>Valid</v>
      </c>
      <c r="K695" s="13" t="str">
        <f>IF(Sheet1!N695=Sheet1!G695*Sheet1!H695,"True","False")</f>
        <v>True</v>
      </c>
      <c r="L695" s="13" t="b">
        <v>1</v>
      </c>
      <c r="M695" s="9" t="b">
        <f>ISNUMBER(Sheet1!J695)</f>
        <v>1</v>
      </c>
      <c r="N695" s="13" t="str">
        <f>IF(Sheet1!B695="A","Branch A",IF(Sheet1!B695="B","Branch B","Other Branch"))</f>
        <v>Other Branch</v>
      </c>
      <c r="O695" s="13" t="str">
        <f>IF(Sheet1!M695="Credit card","Credit Payment","Other")</f>
        <v>Other</v>
      </c>
      <c r="P695" s="13" t="str">
        <f>IF(Sheet1!O695&gt;7,"Yes","No")</f>
        <v>Yes</v>
      </c>
    </row>
    <row r="696" spans="5:16">
      <c r="E696" s="13" t="str">
        <v>372</v>
      </c>
      <c r="F696" s="13" t="str">
        <v>5264</v>
      </c>
      <c r="G696" s="13" t="str">
        <v>62</v>
      </c>
      <c r="H696" s="13" t="str">
        <f>_xlfn.CONCAT(Sheet1!A696," --&gt; ",Sheet1!J696)</f>
        <v>372-62-5264 --&gt; 497.07</v>
      </c>
      <c r="I696" s="13" t="str">
        <f>_xlfn.CONCAT(Sheet1!C696,"_",TEXT(Sheet1!K696, "m/d/yyyy"))</f>
        <v>Naypyitaw_1/16/2019</v>
      </c>
      <c r="J696" s="13" t="str">
        <f>IF(Sheet1!I696=Sheet1!N696*0.05,"Valid","Error")</f>
        <v>Valid</v>
      </c>
      <c r="K696" s="13" t="str">
        <f>IF(Sheet1!N696=Sheet1!G696*Sheet1!H696,"True","False")</f>
        <v>True</v>
      </c>
      <c r="L696" s="13" t="b">
        <v>1</v>
      </c>
      <c r="M696" s="9" t="b">
        <f>ISNUMBER(Sheet1!J696)</f>
        <v>1</v>
      </c>
      <c r="N696" s="13" t="str">
        <f>IF(Sheet1!B696="A","Branch A",IF(Sheet1!B696="B","Branch B","Other Branch"))</f>
        <v>Other Branch</v>
      </c>
      <c r="O696" s="13" t="str">
        <f>IF(Sheet1!M696="Credit card","Credit Payment","Other")</f>
        <v>Other</v>
      </c>
      <c r="P696" s="13" t="str">
        <f>IF(Sheet1!O696&gt;7,"Yes","No")</f>
        <v>Yes</v>
      </c>
    </row>
    <row r="697" spans="5:16">
      <c r="E697" s="13" t="str">
        <v>800</v>
      </c>
      <c r="F697" s="13" t="str">
        <v>8606</v>
      </c>
      <c r="G697" s="13" t="str">
        <v>09</v>
      </c>
      <c r="H697" s="13" t="str">
        <f>_xlfn.CONCAT(Sheet1!A697," --&gt; ",Sheet1!J697)</f>
        <v>800-09-8606 --&gt; 458.6925</v>
      </c>
      <c r="I697" s="13" t="str">
        <f>_xlfn.CONCAT(Sheet1!C697,"_",TEXT(Sheet1!K697, "m/d/yyyy"))</f>
        <v>Yangon_1/29/2019</v>
      </c>
      <c r="J697" s="13" t="str">
        <f>IF(Sheet1!I697=Sheet1!N697*0.05,"Valid","Error")</f>
        <v>Valid</v>
      </c>
      <c r="K697" s="13" t="str">
        <f>IF(Sheet1!N697=Sheet1!G697*Sheet1!H697,"True","False")</f>
        <v>True</v>
      </c>
      <c r="L697" s="13" t="b">
        <v>1</v>
      </c>
      <c r="M697" s="9" t="b">
        <f>ISNUMBER(Sheet1!J697)</f>
        <v>1</v>
      </c>
      <c r="N697" s="13" t="str">
        <f>IF(Sheet1!B697="A","Branch A",IF(Sheet1!B697="B","Branch B","Other Branch"))</f>
        <v>Branch A</v>
      </c>
      <c r="O697" s="13" t="str">
        <f>IF(Sheet1!M697="Credit card","Credit Payment","Other")</f>
        <v>Other</v>
      </c>
      <c r="P697" s="13" t="str">
        <f>IF(Sheet1!O697&gt;7,"Yes","No")</f>
        <v>No</v>
      </c>
    </row>
    <row r="698" spans="5:16">
      <c r="E698" s="13" t="str">
        <v>182</v>
      </c>
      <c r="F698" s="13" t="str">
        <v>7000</v>
      </c>
      <c r="G698" s="13" t="str">
        <v>52</v>
      </c>
      <c r="H698" s="13" t="str">
        <f>_xlfn.CONCAT(Sheet1!A698," --&gt; ",Sheet1!J698)</f>
        <v>182-52-7000 --&gt; 113.568</v>
      </c>
      <c r="I698" s="13" t="str">
        <f>_xlfn.CONCAT(Sheet1!C698,"_",TEXT(Sheet1!K698, "m/d/yyyy"))</f>
        <v>Yangon_1/1/2019</v>
      </c>
      <c r="J698" s="13" t="str">
        <f>IF(Sheet1!I698=Sheet1!N698*0.05,"Valid","Error")</f>
        <v>Valid</v>
      </c>
      <c r="K698" s="13" t="str">
        <f>IF(Sheet1!N698=Sheet1!G698*Sheet1!H698,"True","False")</f>
        <v>True</v>
      </c>
      <c r="L698" s="13" t="b">
        <v>1</v>
      </c>
      <c r="M698" s="9" t="b">
        <f>ISNUMBER(Sheet1!J698)</f>
        <v>1</v>
      </c>
      <c r="N698" s="13" t="str">
        <f>IF(Sheet1!B698="A","Branch A",IF(Sheet1!B698="B","Branch B","Other Branch"))</f>
        <v>Branch A</v>
      </c>
      <c r="O698" s="13" t="str">
        <f>IF(Sheet1!M698="Credit card","Credit Payment","Other")</f>
        <v>Other</v>
      </c>
      <c r="P698" s="13" t="str">
        <f>IF(Sheet1!O698&gt;7,"Yes","No")</f>
        <v>No</v>
      </c>
    </row>
    <row r="699" spans="5:16">
      <c r="E699" s="13" t="str">
        <v>826</v>
      </c>
      <c r="F699" s="13" t="str">
        <v>8051</v>
      </c>
      <c r="G699" s="13" t="str">
        <v>58</v>
      </c>
      <c r="H699" s="13" t="str">
        <f>_xlfn.CONCAT(Sheet1!A699," --&gt; ",Sheet1!J699)</f>
        <v>826-58-8051 --&gt; 261.198</v>
      </c>
      <c r="I699" s="13" t="str">
        <f>_xlfn.CONCAT(Sheet1!C699,"_",TEXT(Sheet1!K699, "m/d/yyyy"))</f>
        <v>Mandalay_1/6/2019</v>
      </c>
      <c r="J699" s="13" t="str">
        <f>IF(Sheet1!I699=Sheet1!N699*0.05,"Valid","Error")</f>
        <v>Valid</v>
      </c>
      <c r="K699" s="13" t="str">
        <f>IF(Sheet1!N699=Sheet1!G699*Sheet1!H699,"True","False")</f>
        <v>True</v>
      </c>
      <c r="L699" s="13" t="b">
        <v>1</v>
      </c>
      <c r="M699" s="9" t="b">
        <f>ISNUMBER(Sheet1!J699)</f>
        <v>1</v>
      </c>
      <c r="N699" s="13" t="str">
        <f>IF(Sheet1!B699="A","Branch A",IF(Sheet1!B699="B","Branch B","Other Branch"))</f>
        <v>Branch B</v>
      </c>
      <c r="O699" s="13" t="str">
        <f>IF(Sheet1!M699="Credit card","Credit Payment","Other")</f>
        <v>Other</v>
      </c>
      <c r="P699" s="13" t="str">
        <f>IF(Sheet1!O699&gt;7,"Yes","No")</f>
        <v>No</v>
      </c>
    </row>
    <row r="700" spans="5:16">
      <c r="E700" s="13" t="str">
        <v>868</v>
      </c>
      <c r="F700" s="13" t="str">
        <v>0466</v>
      </c>
      <c r="G700" s="13" t="str">
        <v>06</v>
      </c>
      <c r="H700" s="13" t="str">
        <f>_xlfn.CONCAT(Sheet1!A700," --&gt; ",Sheet1!J700)</f>
        <v>868-06-0466 --&gt; 657.531</v>
      </c>
      <c r="I700" s="13" t="str">
        <f>_xlfn.CONCAT(Sheet1!C700,"_",TEXT(Sheet1!K700, "m/d/yyyy"))</f>
        <v>Yangon_2/19/2019</v>
      </c>
      <c r="J700" s="13" t="str">
        <f>IF(Sheet1!I700=Sheet1!N700*0.05,"Valid","Error")</f>
        <v>Valid</v>
      </c>
      <c r="K700" s="13" t="str">
        <f>IF(Sheet1!N700=Sheet1!G700*Sheet1!H700,"True","False")</f>
        <v>True</v>
      </c>
      <c r="L700" s="13" t="b">
        <v>1</v>
      </c>
      <c r="M700" s="9" t="b">
        <f>ISNUMBER(Sheet1!J700)</f>
        <v>1</v>
      </c>
      <c r="N700" s="13" t="str">
        <f>IF(Sheet1!B700="A","Branch A",IF(Sheet1!B700="B","Branch B","Other Branch"))</f>
        <v>Branch A</v>
      </c>
      <c r="O700" s="13" t="str">
        <f>IF(Sheet1!M700="Credit card","Credit Payment","Other")</f>
        <v>Credit Payment</v>
      </c>
      <c r="P700" s="13" t="str">
        <f>IF(Sheet1!O700&gt;7,"Yes","No")</f>
        <v>Yes</v>
      </c>
    </row>
    <row r="701" spans="5:16">
      <c r="E701" s="13" t="str">
        <v>751</v>
      </c>
      <c r="F701" s="13" t="str">
        <v>9720</v>
      </c>
      <c r="G701" s="13" t="str">
        <v>41</v>
      </c>
      <c r="H701" s="13" t="str">
        <f>_xlfn.CONCAT(Sheet1!A701," --&gt; ",Sheet1!J701)</f>
        <v>751-41-9720 --&gt; 1023.75</v>
      </c>
      <c r="I701" s="13" t="str">
        <f>_xlfn.CONCAT(Sheet1!C701,"_",TEXT(Sheet1!K701, "m/d/yyyy"))</f>
        <v>Naypyitaw_1/12/2019</v>
      </c>
      <c r="J701" s="13" t="str">
        <f>IF(Sheet1!I701=Sheet1!N701*0.05,"Valid","Error")</f>
        <v>Valid</v>
      </c>
      <c r="K701" s="13" t="str">
        <f>IF(Sheet1!N701=Sheet1!G701*Sheet1!H701,"True","False")</f>
        <v>True</v>
      </c>
      <c r="L701" s="13" t="b">
        <v>1</v>
      </c>
      <c r="M701" s="9" t="b">
        <f>ISNUMBER(Sheet1!J701)</f>
        <v>1</v>
      </c>
      <c r="N701" s="13" t="str">
        <f>IF(Sheet1!B701="A","Branch A",IF(Sheet1!B701="B","Branch B","Other Branch"))</f>
        <v>Other Branch</v>
      </c>
      <c r="O701" s="13" t="str">
        <f>IF(Sheet1!M701="Credit card","Credit Payment","Other")</f>
        <v>Other</v>
      </c>
      <c r="P701" s="13" t="str">
        <f>IF(Sheet1!O701&gt;7,"Yes","No")</f>
        <v>Yes</v>
      </c>
    </row>
    <row r="702" spans="5:16">
      <c r="E702" s="13" t="str">
        <v>626</v>
      </c>
      <c r="F702" s="13" t="str">
        <v>7888</v>
      </c>
      <c r="G702" s="13" t="str">
        <v>43</v>
      </c>
      <c r="H702" s="13" t="str">
        <f>_xlfn.CONCAT(Sheet1!A702," --&gt; ",Sheet1!J702)</f>
        <v>626-43-7888 --&gt; 507.444</v>
      </c>
      <c r="I702" s="13" t="str">
        <f>_xlfn.CONCAT(Sheet1!C702,"_",TEXT(Sheet1!K702, "m/d/yyyy"))</f>
        <v>Naypyitaw_2/7/2019</v>
      </c>
      <c r="J702" s="13" t="str">
        <f>IF(Sheet1!I702=Sheet1!N702*0.05,"Valid","Error")</f>
        <v>Valid</v>
      </c>
      <c r="K702" s="13" t="str">
        <f>IF(Sheet1!N702=Sheet1!G702*Sheet1!H702,"True","False")</f>
        <v>True</v>
      </c>
      <c r="L702" s="13" t="b">
        <v>1</v>
      </c>
      <c r="M702" s="9" t="b">
        <f>ISNUMBER(Sheet1!J702)</f>
        <v>1</v>
      </c>
      <c r="N702" s="13" t="str">
        <f>IF(Sheet1!B702="A","Branch A",IF(Sheet1!B702="B","Branch B","Other Branch"))</f>
        <v>Other Branch</v>
      </c>
      <c r="O702" s="13" t="str">
        <f>IF(Sheet1!M702="Credit card","Credit Payment","Other")</f>
        <v>Other</v>
      </c>
      <c r="P702" s="13" t="str">
        <f>IF(Sheet1!O702&gt;7,"Yes","No")</f>
        <v>Yes</v>
      </c>
    </row>
    <row r="703" spans="5:16">
      <c r="E703" s="13" t="str">
        <v>176</v>
      </c>
      <c r="F703" s="13" t="str">
        <v>7711</v>
      </c>
      <c r="G703" s="13" t="str">
        <v>64</v>
      </c>
      <c r="H703" s="13" t="str">
        <f>_xlfn.CONCAT(Sheet1!A703," --&gt; ",Sheet1!J703)</f>
        <v>176-64-7711 --&gt; 101.808</v>
      </c>
      <c r="I703" s="13" t="str">
        <f>_xlfn.CONCAT(Sheet1!C703,"_",TEXT(Sheet1!K703, "m/d/yyyy"))</f>
        <v>Mandalay_3/27/2019</v>
      </c>
      <c r="J703" s="13" t="str">
        <f>IF(Sheet1!I703=Sheet1!N703*0.05,"Valid","Error")</f>
        <v>Valid</v>
      </c>
      <c r="K703" s="13" t="str">
        <f>IF(Sheet1!N703=Sheet1!G703*Sheet1!H703,"True","False")</f>
        <v>True</v>
      </c>
      <c r="L703" s="13" t="b">
        <v>1</v>
      </c>
      <c r="M703" s="9" t="b">
        <f>ISNUMBER(Sheet1!J703)</f>
        <v>1</v>
      </c>
      <c r="N703" s="13" t="str">
        <f>IF(Sheet1!B703="A","Branch A",IF(Sheet1!B703="B","Branch B","Other Branch"))</f>
        <v>Branch B</v>
      </c>
      <c r="O703" s="13" t="str">
        <f>IF(Sheet1!M703="Credit card","Credit Payment","Other")</f>
        <v>Credit Payment</v>
      </c>
      <c r="P703" s="13" t="str">
        <f>IF(Sheet1!O703&gt;7,"Yes","No")</f>
        <v>No</v>
      </c>
    </row>
    <row r="704" spans="5:16">
      <c r="E704" s="13" t="str">
        <v>191</v>
      </c>
      <c r="F704" s="13" t="str">
        <v>0321</v>
      </c>
      <c r="G704" s="13" t="str">
        <v>29</v>
      </c>
      <c r="H704" s="13" t="str">
        <f>_xlfn.CONCAT(Sheet1!A704," --&gt; ",Sheet1!J704)</f>
        <v>191-29-0321 --&gt; 207.585</v>
      </c>
      <c r="I704" s="13" t="str">
        <f>_xlfn.CONCAT(Sheet1!C704,"_",TEXT(Sheet1!K704, "m/d/yyyy"))</f>
        <v>Mandalay_2/27/2019</v>
      </c>
      <c r="J704" s="13" t="str">
        <f>IF(Sheet1!I704=Sheet1!N704*0.05,"Valid","Error")</f>
        <v>Valid</v>
      </c>
      <c r="K704" s="13" t="str">
        <f>IF(Sheet1!N704=Sheet1!G704*Sheet1!H704,"True","False")</f>
        <v>True</v>
      </c>
      <c r="L704" s="13" t="b">
        <v>1</v>
      </c>
      <c r="M704" s="9" t="b">
        <f>ISNUMBER(Sheet1!J704)</f>
        <v>1</v>
      </c>
      <c r="N704" s="13" t="str">
        <f>IF(Sheet1!B704="A","Branch A",IF(Sheet1!B704="B","Branch B","Other Branch"))</f>
        <v>Branch B</v>
      </c>
      <c r="O704" s="13" t="str">
        <f>IF(Sheet1!M704="Credit card","Credit Payment","Other")</f>
        <v>Credit Payment</v>
      </c>
      <c r="P704" s="13" t="str">
        <f>IF(Sheet1!O704&gt;7,"Yes","No")</f>
        <v>No</v>
      </c>
    </row>
    <row r="705" spans="5:16">
      <c r="E705" s="13" t="str">
        <v>729</v>
      </c>
      <c r="F705" s="13" t="str">
        <v>2010</v>
      </c>
      <c r="G705" s="13" t="str">
        <v>06</v>
      </c>
      <c r="H705" s="13" t="str">
        <f>_xlfn.CONCAT(Sheet1!A705," --&gt; ",Sheet1!J705)</f>
        <v>729-06-2010 --&gt; 760.4415</v>
      </c>
      <c r="I705" s="13" t="str">
        <f>_xlfn.CONCAT(Sheet1!C705,"_",TEXT(Sheet1!K705, "m/d/yyyy"))</f>
        <v>Mandalay_1/6/2019</v>
      </c>
      <c r="J705" s="13" t="str">
        <f>IF(Sheet1!I705=Sheet1!N705*0.05,"Valid","Error")</f>
        <v>Valid</v>
      </c>
      <c r="K705" s="13" t="str">
        <f>IF(Sheet1!N705=Sheet1!G705*Sheet1!H705,"True","False")</f>
        <v>True</v>
      </c>
      <c r="L705" s="13" t="b">
        <v>1</v>
      </c>
      <c r="M705" s="9" t="b">
        <f>ISNUMBER(Sheet1!J705)</f>
        <v>1</v>
      </c>
      <c r="N705" s="13" t="str">
        <f>IF(Sheet1!B705="A","Branch A",IF(Sheet1!B705="B","Branch B","Other Branch"))</f>
        <v>Branch B</v>
      </c>
      <c r="O705" s="13" t="str">
        <f>IF(Sheet1!M705="Credit card","Credit Payment","Other")</f>
        <v>Other</v>
      </c>
      <c r="P705" s="13" t="str">
        <f>IF(Sheet1!O705&gt;7,"Yes","No")</f>
        <v>Yes</v>
      </c>
    </row>
    <row r="706" spans="5:16">
      <c r="E706" s="13" t="str">
        <v>640</v>
      </c>
      <c r="F706" s="13" t="str">
        <v>5028</v>
      </c>
      <c r="G706" s="13" t="str">
        <v>48</v>
      </c>
      <c r="H706" s="13" t="str">
        <f>_xlfn.CONCAT(Sheet1!A706," --&gt; ",Sheet1!J706)</f>
        <v>640-48-5028 --&gt; 835.2855</v>
      </c>
      <c r="I706" s="13" t="str">
        <f>_xlfn.CONCAT(Sheet1!C706,"_",TEXT(Sheet1!K706, "m/d/yyyy"))</f>
        <v>Mandalay_3/2/2019</v>
      </c>
      <c r="J706" s="13" t="str">
        <f>IF(Sheet1!I706=Sheet1!N706*0.05,"Valid","Error")</f>
        <v>Valid</v>
      </c>
      <c r="K706" s="13" t="str">
        <f>IF(Sheet1!N706=Sheet1!G706*Sheet1!H706,"True","False")</f>
        <v>True</v>
      </c>
      <c r="L706" s="13" t="b">
        <v>1</v>
      </c>
      <c r="M706" s="9" t="b">
        <f>ISNUMBER(Sheet1!J706)</f>
        <v>1</v>
      </c>
      <c r="N706" s="13" t="str">
        <f>IF(Sheet1!B706="A","Branch A",IF(Sheet1!B706="B","Branch B","Other Branch"))</f>
        <v>Branch B</v>
      </c>
      <c r="O706" s="13" t="str">
        <f>IF(Sheet1!M706="Credit card","Credit Payment","Other")</f>
        <v>Other</v>
      </c>
      <c r="P706" s="13" t="str">
        <f>IF(Sheet1!O706&gt;7,"Yes","No")</f>
        <v>No</v>
      </c>
    </row>
    <row r="707" spans="5:16">
      <c r="E707" s="13" t="str">
        <v>186</v>
      </c>
      <c r="F707" s="13" t="str">
        <v>9562</v>
      </c>
      <c r="G707" s="13" t="str">
        <v>79</v>
      </c>
      <c r="H707" s="13" t="str">
        <f>_xlfn.CONCAT(Sheet1!A707," --&gt; ",Sheet1!J707)</f>
        <v>186-79-9562 --&gt; 527.5095</v>
      </c>
      <c r="I707" s="13" t="str">
        <f>_xlfn.CONCAT(Sheet1!C707,"_",TEXT(Sheet1!K707, "m/d/yyyy"))</f>
        <v>Mandalay_3/29/2019</v>
      </c>
      <c r="J707" s="13" t="str">
        <f>IF(Sheet1!I707=Sheet1!N707*0.05,"Valid","Error")</f>
        <v>Valid</v>
      </c>
      <c r="K707" s="13" t="str">
        <f>IF(Sheet1!N707=Sheet1!G707*Sheet1!H707,"True","False")</f>
        <v>True</v>
      </c>
      <c r="L707" s="13" t="b">
        <v>1</v>
      </c>
      <c r="M707" s="9" t="b">
        <f>ISNUMBER(Sheet1!J707)</f>
        <v>1</v>
      </c>
      <c r="N707" s="13" t="str">
        <f>IF(Sheet1!B707="A","Branch A",IF(Sheet1!B707="B","Branch B","Other Branch"))</f>
        <v>Branch B</v>
      </c>
      <c r="O707" s="13" t="str">
        <f>IF(Sheet1!M707="Credit card","Credit Payment","Other")</f>
        <v>Other</v>
      </c>
      <c r="P707" s="13" t="str">
        <f>IF(Sheet1!O707&gt;7,"Yes","No")</f>
        <v>Yes</v>
      </c>
    </row>
    <row r="708" spans="5:16">
      <c r="E708" s="13" t="str">
        <v>834</v>
      </c>
      <c r="F708" s="13" t="str">
        <v>5519</v>
      </c>
      <c r="G708" s="13" t="str">
        <v>45</v>
      </c>
      <c r="H708" s="13" t="str">
        <f>_xlfn.CONCAT(Sheet1!A708," --&gt; ",Sheet1!J708)</f>
        <v>834-45-5519 --&gt; 180.6</v>
      </c>
      <c r="I708" s="13" t="str">
        <f>_xlfn.CONCAT(Sheet1!C708,"_",TEXT(Sheet1!K708, "m/d/yyyy"))</f>
        <v>Mandalay_1/31/2019</v>
      </c>
      <c r="J708" s="13" t="str">
        <f>IF(Sheet1!I708=Sheet1!N708*0.05,"Valid","Error")</f>
        <v>Valid</v>
      </c>
      <c r="K708" s="13" t="str">
        <f>IF(Sheet1!N708=Sheet1!G708*Sheet1!H708,"True","False")</f>
        <v>True</v>
      </c>
      <c r="L708" s="13" t="b">
        <v>1</v>
      </c>
      <c r="M708" s="9" t="b">
        <f>ISNUMBER(Sheet1!J708)</f>
        <v>1</v>
      </c>
      <c r="N708" s="13" t="str">
        <f>IF(Sheet1!B708="A","Branch A",IF(Sheet1!B708="B","Branch B","Other Branch"))</f>
        <v>Branch B</v>
      </c>
      <c r="O708" s="13" t="str">
        <f>IF(Sheet1!M708="Credit card","Credit Payment","Other")</f>
        <v>Other</v>
      </c>
      <c r="P708" s="13" t="str">
        <f>IF(Sheet1!O708&gt;7,"Yes","No")</f>
        <v>Yes</v>
      </c>
    </row>
    <row r="709" spans="5:16">
      <c r="E709" s="13" t="str">
        <v>162</v>
      </c>
      <c r="F709" s="13" t="str">
        <v>8559</v>
      </c>
      <c r="G709" s="13" t="str">
        <v>65</v>
      </c>
      <c r="H709" s="13" t="str">
        <f>_xlfn.CONCAT(Sheet1!A709," --&gt; ",Sheet1!J709)</f>
        <v>162-65-8559 --&gt; 72.429</v>
      </c>
      <c r="I709" s="13" t="str">
        <f>_xlfn.CONCAT(Sheet1!C709,"_",TEXT(Sheet1!K709, "m/d/yyyy"))</f>
        <v>Naypyitaw_1/21/2019</v>
      </c>
      <c r="J709" s="13" t="str">
        <f>IF(Sheet1!I709=Sheet1!N709*0.05,"Valid","Error")</f>
        <v>Valid</v>
      </c>
      <c r="K709" s="13" t="str">
        <f>IF(Sheet1!N709=Sheet1!G709*Sheet1!H709,"True","False")</f>
        <v>True</v>
      </c>
      <c r="L709" s="13" t="b">
        <v>1</v>
      </c>
      <c r="M709" s="9" t="b">
        <f>ISNUMBER(Sheet1!J709)</f>
        <v>1</v>
      </c>
      <c r="N709" s="13" t="str">
        <f>IF(Sheet1!B709="A","Branch A",IF(Sheet1!B709="B","Branch B","Other Branch"))</f>
        <v>Other Branch</v>
      </c>
      <c r="O709" s="13" t="str">
        <f>IF(Sheet1!M709="Credit card","Credit Payment","Other")</f>
        <v>Other</v>
      </c>
      <c r="P709" s="13" t="str">
        <f>IF(Sheet1!O709&gt;7,"Yes","No")</f>
        <v>No</v>
      </c>
    </row>
    <row r="710" spans="5:16">
      <c r="E710" s="13" t="str">
        <v>760</v>
      </c>
      <c r="F710" s="13" t="str">
        <v>5490</v>
      </c>
      <c r="G710" s="13" t="str">
        <v>27</v>
      </c>
      <c r="H710" s="13" t="str">
        <f>_xlfn.CONCAT(Sheet1!A710," --&gt; ",Sheet1!J710)</f>
        <v>760-27-5490 --&gt; 131.208</v>
      </c>
      <c r="I710" s="13" t="str">
        <f>_xlfn.CONCAT(Sheet1!C710,"_",TEXT(Sheet1!K710, "m/d/yyyy"))</f>
        <v>Naypyitaw_1/20/2019</v>
      </c>
      <c r="J710" s="13" t="str">
        <f>IF(Sheet1!I710=Sheet1!N710*0.05,"Valid","Error")</f>
        <v>Valid</v>
      </c>
      <c r="K710" s="13" t="str">
        <f>IF(Sheet1!N710=Sheet1!G710*Sheet1!H710,"True","False")</f>
        <v>True</v>
      </c>
      <c r="L710" s="13" t="b">
        <v>1</v>
      </c>
      <c r="M710" s="9" t="b">
        <f>ISNUMBER(Sheet1!J710)</f>
        <v>1</v>
      </c>
      <c r="N710" s="13" t="str">
        <f>IF(Sheet1!B710="A","Branch A",IF(Sheet1!B710="B","Branch B","Other Branch"))</f>
        <v>Other Branch</v>
      </c>
      <c r="O710" s="13" t="str">
        <f>IF(Sheet1!M710="Credit card","Credit Payment","Other")</f>
        <v>Other</v>
      </c>
      <c r="P710" s="13" t="str">
        <f>IF(Sheet1!O710&gt;7,"Yes","No")</f>
        <v>Yes</v>
      </c>
    </row>
    <row r="711" spans="5:16">
      <c r="E711" s="13" t="str">
        <v>445</v>
      </c>
      <c r="F711" s="13" t="str">
        <v>9252</v>
      </c>
      <c r="G711" s="13" t="str">
        <v>30</v>
      </c>
      <c r="H711" s="13" t="str">
        <f>_xlfn.CONCAT(Sheet1!A711," --&gt; ",Sheet1!J711)</f>
        <v>445-30-9252 --&gt; 80.955</v>
      </c>
      <c r="I711" s="13" t="str">
        <f>_xlfn.CONCAT(Sheet1!C711,"_",TEXT(Sheet1!K711, "m/d/yyyy"))</f>
        <v>Yangon_1/17/2019</v>
      </c>
      <c r="J711" s="13" t="str">
        <f>IF(Sheet1!I711=Sheet1!N711*0.05,"Valid","Error")</f>
        <v>Valid</v>
      </c>
      <c r="K711" s="13" t="str">
        <f>IF(Sheet1!N711=Sheet1!G711*Sheet1!H711,"True","False")</f>
        <v>True</v>
      </c>
      <c r="L711" s="13" t="b">
        <v>1</v>
      </c>
      <c r="M711" s="9" t="b">
        <f>ISNUMBER(Sheet1!J711)</f>
        <v>1</v>
      </c>
      <c r="N711" s="13" t="str">
        <f>IF(Sheet1!B711="A","Branch A",IF(Sheet1!B711="B","Branch B","Other Branch"))</f>
        <v>Branch A</v>
      </c>
      <c r="O711" s="13" t="str">
        <f>IF(Sheet1!M711="Credit card","Credit Payment","Other")</f>
        <v>Other</v>
      </c>
      <c r="P711" s="13" t="str">
        <f>IF(Sheet1!O711&gt;7,"Yes","No")</f>
        <v>No</v>
      </c>
    </row>
    <row r="712" spans="5:16">
      <c r="E712" s="13" t="str">
        <v>786</v>
      </c>
      <c r="F712" s="13" t="str">
        <v>2700</v>
      </c>
      <c r="G712" s="13" t="str">
        <v>94</v>
      </c>
      <c r="H712" s="13" t="str">
        <f>_xlfn.CONCAT(Sheet1!A712," --&gt; ",Sheet1!J712)</f>
        <v>786-94-2700 --&gt; 507.906</v>
      </c>
      <c r="I712" s="13" t="str">
        <f>_xlfn.CONCAT(Sheet1!C712,"_",TEXT(Sheet1!K712, "m/d/yyyy"))</f>
        <v>Yangon_2/28/2019</v>
      </c>
      <c r="J712" s="13" t="str">
        <f>IF(Sheet1!I712=Sheet1!N712*0.05,"Valid","Error")</f>
        <v>Valid</v>
      </c>
      <c r="K712" s="13" t="str">
        <f>IF(Sheet1!N712=Sheet1!G712*Sheet1!H712,"True","False")</f>
        <v>True</v>
      </c>
      <c r="L712" s="13" t="b">
        <v>1</v>
      </c>
      <c r="M712" s="9" t="b">
        <f>ISNUMBER(Sheet1!J712)</f>
        <v>1</v>
      </c>
      <c r="N712" s="13" t="str">
        <f>IF(Sheet1!B712="A","Branch A",IF(Sheet1!B712="B","Branch B","Other Branch"))</f>
        <v>Branch A</v>
      </c>
      <c r="O712" s="13" t="str">
        <f>IF(Sheet1!M712="Credit card","Credit Payment","Other")</f>
        <v>Other</v>
      </c>
      <c r="P712" s="13" t="str">
        <f>IF(Sheet1!O712&gt;7,"Yes","No")</f>
        <v>Yes</v>
      </c>
    </row>
    <row r="713" spans="5:16">
      <c r="E713" s="13" t="str">
        <v>728</v>
      </c>
      <c r="F713" s="13" t="str">
        <v>7867</v>
      </c>
      <c r="G713" s="13" t="str">
        <v>88</v>
      </c>
      <c r="H713" s="13" t="str">
        <f>_xlfn.CONCAT(Sheet1!A713," --&gt; ",Sheet1!J713)</f>
        <v>728-88-7867 --&gt; 317.226</v>
      </c>
      <c r="I713" s="13" t="str">
        <f>_xlfn.CONCAT(Sheet1!C713,"_",TEXT(Sheet1!K713, "m/d/yyyy"))</f>
        <v>Naypyitaw_3/19/2019</v>
      </c>
      <c r="J713" s="13" t="str">
        <f>IF(Sheet1!I713=Sheet1!N713*0.05,"Valid","Error")</f>
        <v>Valid</v>
      </c>
      <c r="K713" s="13" t="str">
        <f>IF(Sheet1!N713=Sheet1!G713*Sheet1!H713,"True","False")</f>
        <v>True</v>
      </c>
      <c r="L713" s="13" t="b">
        <v>1</v>
      </c>
      <c r="M713" s="9" t="b">
        <f>ISNUMBER(Sheet1!J713)</f>
        <v>1</v>
      </c>
      <c r="N713" s="13" t="str">
        <f>IF(Sheet1!B713="A","Branch A",IF(Sheet1!B713="B","Branch B","Other Branch"))</f>
        <v>Other Branch</v>
      </c>
      <c r="O713" s="13" t="str">
        <f>IF(Sheet1!M713="Credit card","Credit Payment","Other")</f>
        <v>Other</v>
      </c>
      <c r="P713" s="13" t="str">
        <f>IF(Sheet1!O713&gt;7,"Yes","No")</f>
        <v>Yes</v>
      </c>
    </row>
    <row r="714" spans="5:16">
      <c r="E714" s="13" t="str">
        <v>183</v>
      </c>
      <c r="F714" s="13" t="str">
        <v>3799</v>
      </c>
      <c r="G714" s="13" t="str">
        <v>21</v>
      </c>
      <c r="H714" s="13" t="str">
        <f>_xlfn.CONCAT(Sheet1!A714," --&gt; ",Sheet1!J714)</f>
        <v>183-21-3799 --&gt; 733.6035</v>
      </c>
      <c r="I714" s="13" t="str">
        <f>_xlfn.CONCAT(Sheet1!C714,"_",TEXT(Sheet1!K714, "m/d/yyyy"))</f>
        <v>Naypyitaw_2/19/2019</v>
      </c>
      <c r="J714" s="13" t="str">
        <f>IF(Sheet1!I714=Sheet1!N714*0.05,"Valid","Error")</f>
        <v>Valid</v>
      </c>
      <c r="K714" s="13" t="str">
        <f>IF(Sheet1!N714=Sheet1!G714*Sheet1!H714,"True","False")</f>
        <v>True</v>
      </c>
      <c r="L714" s="13" t="b">
        <v>1</v>
      </c>
      <c r="M714" s="9" t="b">
        <f>ISNUMBER(Sheet1!J714)</f>
        <v>1</v>
      </c>
      <c r="N714" s="13" t="str">
        <f>IF(Sheet1!B714="A","Branch A",IF(Sheet1!B714="B","Branch B","Other Branch"))</f>
        <v>Other Branch</v>
      </c>
      <c r="O714" s="13" t="str">
        <f>IF(Sheet1!M714="Credit card","Credit Payment","Other")</f>
        <v>Other</v>
      </c>
      <c r="P714" s="13" t="str">
        <f>IF(Sheet1!O714&gt;7,"Yes","No")</f>
        <v>Yes</v>
      </c>
    </row>
    <row r="715" spans="5:16">
      <c r="E715" s="13" t="str">
        <v>268</v>
      </c>
      <c r="F715" s="13" t="str">
        <v>3585</v>
      </c>
      <c r="G715" s="13" t="str">
        <v>20</v>
      </c>
      <c r="H715" s="13" t="str">
        <f>_xlfn.CONCAT(Sheet1!A715," --&gt; ",Sheet1!J715)</f>
        <v>268-20-3585 --&gt; 130.8825</v>
      </c>
      <c r="I715" s="13" t="str">
        <f>_xlfn.CONCAT(Sheet1!C715,"_",TEXT(Sheet1!K715, "m/d/yyyy"))</f>
        <v>Naypyitaw_2/4/2019</v>
      </c>
      <c r="J715" s="13" t="str">
        <f>IF(Sheet1!I715=Sheet1!N715*0.05,"Valid","Error")</f>
        <v>Valid</v>
      </c>
      <c r="K715" s="13" t="str">
        <f>IF(Sheet1!N715=Sheet1!G715*Sheet1!H715,"True","False")</f>
        <v>True</v>
      </c>
      <c r="L715" s="13" t="b">
        <v>1</v>
      </c>
      <c r="M715" s="9" t="b">
        <f>ISNUMBER(Sheet1!J715)</f>
        <v>1</v>
      </c>
      <c r="N715" s="13" t="str">
        <f>IF(Sheet1!B715="A","Branch A",IF(Sheet1!B715="B","Branch B","Other Branch"))</f>
        <v>Other Branch</v>
      </c>
      <c r="O715" s="13" t="str">
        <f>IF(Sheet1!M715="Credit card","Credit Payment","Other")</f>
        <v>Other</v>
      </c>
      <c r="P715" s="13" t="str">
        <f>IF(Sheet1!O715&gt;7,"Yes","No")</f>
        <v>No</v>
      </c>
    </row>
    <row r="716" spans="5:16">
      <c r="E716" s="13" t="str">
        <v>735</v>
      </c>
      <c r="F716" s="13" t="str">
        <v>9839</v>
      </c>
      <c r="G716" s="13" t="str">
        <v>32</v>
      </c>
      <c r="H716" s="13" t="str">
        <f>_xlfn.CONCAT(Sheet1!A716," --&gt; ",Sheet1!J716)</f>
        <v>735-32-9839 --&gt; 829.08</v>
      </c>
      <c r="I716" s="13" t="str">
        <f>_xlfn.CONCAT(Sheet1!C716,"_",TEXT(Sheet1!K716, "m/d/yyyy"))</f>
        <v>Naypyitaw_1/31/2019</v>
      </c>
      <c r="J716" s="13" t="str">
        <f>IF(Sheet1!I716=Sheet1!N716*0.05,"Valid","Error")</f>
        <v>Valid</v>
      </c>
      <c r="K716" s="13" t="str">
        <f>IF(Sheet1!N716=Sheet1!G716*Sheet1!H716,"True","False")</f>
        <v>True</v>
      </c>
      <c r="L716" s="13" t="b">
        <v>1</v>
      </c>
      <c r="M716" s="9" t="b">
        <f>ISNUMBER(Sheet1!J716)</f>
        <v>1</v>
      </c>
      <c r="N716" s="13" t="str">
        <f>IF(Sheet1!B716="A","Branch A",IF(Sheet1!B716="B","Branch B","Other Branch"))</f>
        <v>Other Branch</v>
      </c>
      <c r="O716" s="13" t="str">
        <f>IF(Sheet1!M716="Credit card","Credit Payment","Other")</f>
        <v>Other</v>
      </c>
      <c r="P716" s="13" t="str">
        <f>IF(Sheet1!O716&gt;7,"Yes","No")</f>
        <v>Yes</v>
      </c>
    </row>
    <row r="717" spans="5:16">
      <c r="E717" s="13" t="str">
        <v>258</v>
      </c>
      <c r="F717" s="13" t="str">
        <v>7466</v>
      </c>
      <c r="G717" s="13" t="str">
        <v>92</v>
      </c>
      <c r="H717" s="13" t="str">
        <f>_xlfn.CONCAT(Sheet1!A717," --&gt; ",Sheet1!J717)</f>
        <v>258-92-7466 --&gt; 187.32</v>
      </c>
      <c r="I717" s="13" t="str">
        <f>_xlfn.CONCAT(Sheet1!C717,"_",TEXT(Sheet1!K717, "m/d/yyyy"))</f>
        <v>Yangon_2/6/2019</v>
      </c>
      <c r="J717" s="13" t="str">
        <f>IF(Sheet1!I717=Sheet1!N717*0.05,"Valid","Error")</f>
        <v>Valid</v>
      </c>
      <c r="K717" s="13" t="str">
        <f>IF(Sheet1!N717=Sheet1!G717*Sheet1!H717,"True","False")</f>
        <v>True</v>
      </c>
      <c r="L717" s="13" t="b">
        <v>1</v>
      </c>
      <c r="M717" s="9" t="b">
        <f>ISNUMBER(Sheet1!J717)</f>
        <v>1</v>
      </c>
      <c r="N717" s="13" t="str">
        <f>IF(Sheet1!B717="A","Branch A",IF(Sheet1!B717="B","Branch B","Other Branch"))</f>
        <v>Branch A</v>
      </c>
      <c r="O717" s="13" t="str">
        <f>IF(Sheet1!M717="Credit card","Credit Payment","Other")</f>
        <v>Credit Payment</v>
      </c>
      <c r="P717" s="13" t="str">
        <f>IF(Sheet1!O717&gt;7,"Yes","No")</f>
        <v>No</v>
      </c>
    </row>
    <row r="718" spans="5:16">
      <c r="E718" s="13" t="str">
        <v>857</v>
      </c>
      <c r="F718" s="13" t="str">
        <v>3520</v>
      </c>
      <c r="G718" s="13" t="str">
        <v>16</v>
      </c>
      <c r="H718" s="13" t="str">
        <f>_xlfn.CONCAT(Sheet1!A718," --&gt; ",Sheet1!J718)</f>
        <v>857-16-3520 --&gt; 525.231</v>
      </c>
      <c r="I718" s="13" t="str">
        <f>_xlfn.CONCAT(Sheet1!C718,"_",TEXT(Sheet1!K718, "m/d/yyyy"))</f>
        <v>Yangon_3/28/2019</v>
      </c>
      <c r="J718" s="13" t="str">
        <f>IF(Sheet1!I718=Sheet1!N718*0.05,"Valid","Error")</f>
        <v>Valid</v>
      </c>
      <c r="K718" s="13" t="str">
        <f>IF(Sheet1!N718=Sheet1!G718*Sheet1!H718,"True","False")</f>
        <v>True</v>
      </c>
      <c r="L718" s="13" t="b">
        <v>1</v>
      </c>
      <c r="M718" s="9" t="b">
        <f>ISNUMBER(Sheet1!J718)</f>
        <v>1</v>
      </c>
      <c r="N718" s="13" t="str">
        <f>IF(Sheet1!B718="A","Branch A",IF(Sheet1!B718="B","Branch B","Other Branch"))</f>
        <v>Branch A</v>
      </c>
      <c r="O718" s="13" t="str">
        <f>IF(Sheet1!M718="Credit card","Credit Payment","Other")</f>
        <v>Other</v>
      </c>
      <c r="P718" s="13" t="str">
        <f>IF(Sheet1!O718&gt;7,"Yes","No")</f>
        <v>No</v>
      </c>
    </row>
    <row r="719" spans="5:16">
      <c r="E719" s="13" t="str">
        <v>482</v>
      </c>
      <c r="F719" s="13" t="str">
        <v>1179</v>
      </c>
      <c r="G719" s="13" t="str">
        <v>17</v>
      </c>
      <c r="H719" s="13" t="str">
        <f>_xlfn.CONCAT(Sheet1!A719," --&gt; ",Sheet1!J719)</f>
        <v>482-17-1179 --&gt; 37.611</v>
      </c>
      <c r="I719" s="13" t="str">
        <f>_xlfn.CONCAT(Sheet1!C719,"_",TEXT(Sheet1!K719, "m/d/yyyy"))</f>
        <v>Yangon_1/19/2019</v>
      </c>
      <c r="J719" s="13" t="str">
        <f>IF(Sheet1!I719=Sheet1!N719*0.05,"Valid","Error")</f>
        <v>Valid</v>
      </c>
      <c r="K719" s="13" t="str">
        <f>IF(Sheet1!N719=Sheet1!G719*Sheet1!H719,"True","False")</f>
        <v>True</v>
      </c>
      <c r="L719" s="13" t="b">
        <v>1</v>
      </c>
      <c r="M719" s="9" t="b">
        <f>ISNUMBER(Sheet1!J719)</f>
        <v>1</v>
      </c>
      <c r="N719" s="13" t="str">
        <f>IF(Sheet1!B719="A","Branch A",IF(Sheet1!B719="B","Branch B","Other Branch"))</f>
        <v>Branch A</v>
      </c>
      <c r="O719" s="13" t="str">
        <f>IF(Sheet1!M719="Credit card","Credit Payment","Other")</f>
        <v>Credit Payment</v>
      </c>
      <c r="P719" s="13" t="str">
        <f>IF(Sheet1!O719&gt;7,"Yes","No")</f>
        <v>Yes</v>
      </c>
    </row>
    <row r="720" spans="5:16">
      <c r="E720" s="13" t="str">
        <v>788</v>
      </c>
      <c r="F720" s="13" t="str">
        <v>5741</v>
      </c>
      <c r="G720" s="13" t="str">
        <v>21</v>
      </c>
      <c r="H720" s="13" t="str">
        <f>_xlfn.CONCAT(Sheet1!A720," --&gt; ",Sheet1!J720)</f>
        <v>788-21-5741 --&gt; 142.947</v>
      </c>
      <c r="I720" s="13" t="str">
        <f>_xlfn.CONCAT(Sheet1!C720,"_",TEXT(Sheet1!K720, "m/d/yyyy"))</f>
        <v>Yangon_2/17/2019</v>
      </c>
      <c r="J720" s="13" t="str">
        <f>IF(Sheet1!I720=Sheet1!N720*0.05,"Valid","Error")</f>
        <v>Valid</v>
      </c>
      <c r="K720" s="13" t="str">
        <f>IF(Sheet1!N720=Sheet1!G720*Sheet1!H720,"True","False")</f>
        <v>True</v>
      </c>
      <c r="L720" s="13" t="b">
        <v>1</v>
      </c>
      <c r="M720" s="9" t="b">
        <f>ISNUMBER(Sheet1!J720)</f>
        <v>1</v>
      </c>
      <c r="N720" s="13" t="str">
        <f>IF(Sheet1!B720="A","Branch A",IF(Sheet1!B720="B","Branch B","Other Branch"))</f>
        <v>Branch A</v>
      </c>
      <c r="O720" s="13" t="str">
        <f>IF(Sheet1!M720="Credit card","Credit Payment","Other")</f>
        <v>Credit Payment</v>
      </c>
      <c r="P720" s="13" t="str">
        <f>IF(Sheet1!O720&gt;7,"Yes","No")</f>
        <v>Yes</v>
      </c>
    </row>
    <row r="721" spans="5:16">
      <c r="E721" s="13" t="str">
        <v>821</v>
      </c>
      <c r="F721" s="13" t="str">
        <v>9046</v>
      </c>
      <c r="G721" s="13" t="str">
        <v>14</v>
      </c>
      <c r="H721" s="13" t="str">
        <f>_xlfn.CONCAT(Sheet1!A721," --&gt; ",Sheet1!J721)</f>
        <v>821-14-9046 --&gt; 110.124</v>
      </c>
      <c r="I721" s="13" t="str">
        <f>_xlfn.CONCAT(Sheet1!C721,"_",TEXT(Sheet1!K721, "m/d/yyyy"))</f>
        <v>Mandalay_1/18/2019</v>
      </c>
      <c r="J721" s="13" t="str">
        <f>IF(Sheet1!I721=Sheet1!N721*0.05,"Valid","Error")</f>
        <v>Valid</v>
      </c>
      <c r="K721" s="13" t="str">
        <f>IF(Sheet1!N721=Sheet1!G721*Sheet1!H721,"True","False")</f>
        <v>True</v>
      </c>
      <c r="L721" s="13" t="b">
        <v>1</v>
      </c>
      <c r="M721" s="9" t="b">
        <f>ISNUMBER(Sheet1!J721)</f>
        <v>1</v>
      </c>
      <c r="N721" s="13" t="str">
        <f>IF(Sheet1!B721="A","Branch A",IF(Sheet1!B721="B","Branch B","Other Branch"))</f>
        <v>Branch B</v>
      </c>
      <c r="O721" s="13" t="str">
        <f>IF(Sheet1!M721="Credit card","Credit Payment","Other")</f>
        <v>Credit Payment</v>
      </c>
      <c r="P721" s="13" t="str">
        <f>IF(Sheet1!O721&gt;7,"Yes","No")</f>
        <v>No</v>
      </c>
    </row>
    <row r="722" spans="5:16">
      <c r="E722" s="13" t="str">
        <v>418</v>
      </c>
      <c r="F722" s="13" t="str">
        <v>0656</v>
      </c>
      <c r="G722" s="13" t="str">
        <v>05</v>
      </c>
      <c r="H722" s="13" t="str">
        <f>_xlfn.CONCAT(Sheet1!A722," --&gt; ",Sheet1!J722)</f>
        <v>418-05-0656 --&gt; 187.866</v>
      </c>
      <c r="I722" s="13" t="str">
        <f>_xlfn.CONCAT(Sheet1!C722,"_",TEXT(Sheet1!K722, "m/d/yyyy"))</f>
        <v>Mandalay_2/2/2019</v>
      </c>
      <c r="J722" s="13" t="str">
        <f>IF(Sheet1!I722=Sheet1!N722*0.05,"Valid","Error")</f>
        <v>Valid</v>
      </c>
      <c r="K722" s="13" t="str">
        <f>IF(Sheet1!N722=Sheet1!G722*Sheet1!H722,"True","False")</f>
        <v>True</v>
      </c>
      <c r="L722" s="13" t="b">
        <v>1</v>
      </c>
      <c r="M722" s="9" t="b">
        <f>ISNUMBER(Sheet1!J722)</f>
        <v>1</v>
      </c>
      <c r="N722" s="13" t="str">
        <f>IF(Sheet1!B722="A","Branch A",IF(Sheet1!B722="B","Branch B","Other Branch"))</f>
        <v>Branch B</v>
      </c>
      <c r="O722" s="13" t="str">
        <f>IF(Sheet1!M722="Credit card","Credit Payment","Other")</f>
        <v>Other</v>
      </c>
      <c r="P722" s="13" t="str">
        <f>IF(Sheet1!O722&gt;7,"Yes","No")</f>
        <v>Yes</v>
      </c>
    </row>
    <row r="723" spans="5:16">
      <c r="E723" s="13" t="str">
        <v>678</v>
      </c>
      <c r="F723" s="13" t="str">
        <v>0726</v>
      </c>
      <c r="G723" s="13" t="str">
        <v>79</v>
      </c>
      <c r="H723" s="13" t="str">
        <f>_xlfn.CONCAT(Sheet1!A723," --&gt; ",Sheet1!J723)</f>
        <v>678-79-0726 --&gt; 856.4535</v>
      </c>
      <c r="I723" s="13" t="str">
        <f>_xlfn.CONCAT(Sheet1!C723,"_",TEXT(Sheet1!K723, "m/d/yyyy"))</f>
        <v>Naypyitaw_1/18/2019</v>
      </c>
      <c r="J723" s="13" t="str">
        <f>IF(Sheet1!I723=Sheet1!N723*0.05,"Valid","Error")</f>
        <v>Valid</v>
      </c>
      <c r="K723" s="13" t="str">
        <f>IF(Sheet1!N723=Sheet1!G723*Sheet1!H723,"True","False")</f>
        <v>True</v>
      </c>
      <c r="L723" s="13" t="b">
        <v>1</v>
      </c>
      <c r="M723" s="9" t="b">
        <f>ISNUMBER(Sheet1!J723)</f>
        <v>1</v>
      </c>
      <c r="N723" s="13" t="str">
        <f>IF(Sheet1!B723="A","Branch A",IF(Sheet1!B723="B","Branch B","Other Branch"))</f>
        <v>Other Branch</v>
      </c>
      <c r="O723" s="13" t="str">
        <f>IF(Sheet1!M723="Credit card","Credit Payment","Other")</f>
        <v>Other</v>
      </c>
      <c r="P723" s="13" t="str">
        <f>IF(Sheet1!O723&gt;7,"Yes","No")</f>
        <v>No</v>
      </c>
    </row>
    <row r="724" spans="5:16">
      <c r="E724" s="13" t="str">
        <v>776</v>
      </c>
      <c r="F724" s="13" t="str">
        <v>1096</v>
      </c>
      <c r="G724" s="13" t="str">
        <v>68</v>
      </c>
      <c r="H724" s="13" t="str">
        <f>_xlfn.CONCAT(Sheet1!A724," --&gt; ",Sheet1!J724)</f>
        <v>776-68-1096 --&gt; 138.978</v>
      </c>
      <c r="I724" s="13" t="str">
        <f>_xlfn.CONCAT(Sheet1!C724,"_",TEXT(Sheet1!K724, "m/d/yyyy"))</f>
        <v>Mandalay_3/18/2019</v>
      </c>
      <c r="J724" s="13" t="str">
        <f>IF(Sheet1!I724=Sheet1!N724*0.05,"Valid","Error")</f>
        <v>Valid</v>
      </c>
      <c r="K724" s="13" t="str">
        <f>IF(Sheet1!N724=Sheet1!G724*Sheet1!H724,"True","False")</f>
        <v>True</v>
      </c>
      <c r="L724" s="13" t="b">
        <v>1</v>
      </c>
      <c r="M724" s="9" t="b">
        <f>ISNUMBER(Sheet1!J724)</f>
        <v>1</v>
      </c>
      <c r="N724" s="13" t="str">
        <f>IF(Sheet1!B724="A","Branch A",IF(Sheet1!B724="B","Branch B","Other Branch"))</f>
        <v>Branch B</v>
      </c>
      <c r="O724" s="13" t="str">
        <f>IF(Sheet1!M724="Credit card","Credit Payment","Other")</f>
        <v>Credit Payment</v>
      </c>
      <c r="P724" s="13" t="str">
        <f>IF(Sheet1!O724&gt;7,"Yes","No")</f>
        <v>Yes</v>
      </c>
    </row>
    <row r="725" spans="5:16">
      <c r="E725" s="13" t="str">
        <v>592</v>
      </c>
      <c r="F725" s="13" t="str">
        <v>1692</v>
      </c>
      <c r="G725" s="13" t="str">
        <v>46</v>
      </c>
      <c r="H725" s="13" t="str">
        <f>_xlfn.CONCAT(Sheet1!A725," --&gt; ",Sheet1!J725)</f>
        <v>592-46-1692 --&gt; 270.2595</v>
      </c>
      <c r="I725" s="13" t="str">
        <f>_xlfn.CONCAT(Sheet1!C725,"_",TEXT(Sheet1!K725, "m/d/yyyy"))</f>
        <v>Naypyitaw_1/11/2019</v>
      </c>
      <c r="J725" s="13" t="str">
        <f>IF(Sheet1!I725=Sheet1!N725*0.05,"Valid","Error")</f>
        <v>Valid</v>
      </c>
      <c r="K725" s="13" t="str">
        <f>IF(Sheet1!N725=Sheet1!G725*Sheet1!H725,"True","False")</f>
        <v>True</v>
      </c>
      <c r="L725" s="13" t="b">
        <v>1</v>
      </c>
      <c r="M725" s="9" t="b">
        <f>ISNUMBER(Sheet1!J725)</f>
        <v>1</v>
      </c>
      <c r="N725" s="13" t="str">
        <f>IF(Sheet1!B725="A","Branch A",IF(Sheet1!B725="B","Branch B","Other Branch"))</f>
        <v>Other Branch</v>
      </c>
      <c r="O725" s="13" t="str">
        <f>IF(Sheet1!M725="Credit card","Credit Payment","Other")</f>
        <v>Other</v>
      </c>
      <c r="P725" s="13" t="str">
        <f>IF(Sheet1!O725&gt;7,"Yes","No")</f>
        <v>Yes</v>
      </c>
    </row>
    <row r="726" spans="5:16">
      <c r="E726" s="13" t="str">
        <v>434</v>
      </c>
      <c r="F726" s="13" t="str">
        <v>9162</v>
      </c>
      <c r="G726" s="13" t="str">
        <v>35</v>
      </c>
      <c r="H726" s="13" t="str">
        <f>_xlfn.CONCAT(Sheet1!A726," --&gt; ",Sheet1!J726)</f>
        <v>434-35-9162 --&gt; 98.028</v>
      </c>
      <c r="I726" s="13" t="str">
        <f>_xlfn.CONCAT(Sheet1!C726,"_",TEXT(Sheet1!K726, "m/d/yyyy"))</f>
        <v>Mandalay_2/4/2019</v>
      </c>
      <c r="J726" s="13" t="str">
        <f>IF(Sheet1!I726=Sheet1!N726*0.05,"Valid","Error")</f>
        <v>Valid</v>
      </c>
      <c r="K726" s="13" t="str">
        <f>IF(Sheet1!N726=Sheet1!G726*Sheet1!H726,"True","False")</f>
        <v>True</v>
      </c>
      <c r="L726" s="13" t="b">
        <v>1</v>
      </c>
      <c r="M726" s="9" t="b">
        <f>ISNUMBER(Sheet1!J726)</f>
        <v>1</v>
      </c>
      <c r="N726" s="13" t="str">
        <f>IF(Sheet1!B726="A","Branch A",IF(Sheet1!B726="B","Branch B","Other Branch"))</f>
        <v>Branch B</v>
      </c>
      <c r="O726" s="13" t="str">
        <f>IF(Sheet1!M726="Credit card","Credit Payment","Other")</f>
        <v>Other</v>
      </c>
      <c r="P726" s="13" t="str">
        <f>IF(Sheet1!O726&gt;7,"Yes","No")</f>
        <v>Yes</v>
      </c>
    </row>
    <row r="727" spans="5:16">
      <c r="E727" s="13" t="str">
        <v>149</v>
      </c>
      <c r="F727" s="13" t="str">
        <v>0304</v>
      </c>
      <c r="G727" s="13" t="str">
        <v>14</v>
      </c>
      <c r="H727" s="13" t="str">
        <f>_xlfn.CONCAT(Sheet1!A727," --&gt; ",Sheet1!J727)</f>
        <v>149-14-0304 --&gt; 239.4</v>
      </c>
      <c r="I727" s="13" t="str">
        <f>_xlfn.CONCAT(Sheet1!C727,"_",TEXT(Sheet1!K727, "m/d/yyyy"))</f>
        <v>Naypyitaw_2/6/2019</v>
      </c>
      <c r="J727" s="13" t="str">
        <f>IF(Sheet1!I727=Sheet1!N727*0.05,"Valid","Error")</f>
        <v>Valid</v>
      </c>
      <c r="K727" s="13" t="str">
        <f>IF(Sheet1!N727=Sheet1!G727*Sheet1!H727,"True","False")</f>
        <v>True</v>
      </c>
      <c r="L727" s="13" t="b">
        <v>1</v>
      </c>
      <c r="M727" s="9" t="b">
        <f>ISNUMBER(Sheet1!J727)</f>
        <v>1</v>
      </c>
      <c r="N727" s="13" t="str">
        <f>IF(Sheet1!B727="A","Branch A",IF(Sheet1!B727="B","Branch B","Other Branch"))</f>
        <v>Other Branch</v>
      </c>
      <c r="O727" s="13" t="str">
        <f>IF(Sheet1!M727="Credit card","Credit Payment","Other")</f>
        <v>Other</v>
      </c>
      <c r="P727" s="13" t="str">
        <f>IF(Sheet1!O727&gt;7,"Yes","No")</f>
        <v>No</v>
      </c>
    </row>
    <row r="728" spans="5:16">
      <c r="E728" s="13" t="str">
        <v>442</v>
      </c>
      <c r="F728" s="13" t="str">
        <v>6497</v>
      </c>
      <c r="G728" s="13" t="str">
        <v>44</v>
      </c>
      <c r="H728" s="13" t="str">
        <f>_xlfn.CONCAT(Sheet1!A728," --&gt; ",Sheet1!J728)</f>
        <v>442-44-6497 --&gt; 175.0455</v>
      </c>
      <c r="I728" s="13" t="str">
        <f>_xlfn.CONCAT(Sheet1!C728,"_",TEXT(Sheet1!K728, "m/d/yyyy"))</f>
        <v>Naypyitaw_1/8/2019</v>
      </c>
      <c r="J728" s="13" t="str">
        <f>IF(Sheet1!I728=Sheet1!N728*0.05,"Valid","Error")</f>
        <v>Valid</v>
      </c>
      <c r="K728" s="13" t="str">
        <f>IF(Sheet1!N728=Sheet1!G728*Sheet1!H728,"True","False")</f>
        <v>True</v>
      </c>
      <c r="L728" s="13" t="b">
        <v>1</v>
      </c>
      <c r="M728" s="9" t="b">
        <f>ISNUMBER(Sheet1!J728)</f>
        <v>1</v>
      </c>
      <c r="N728" s="13" t="str">
        <f>IF(Sheet1!B728="A","Branch A",IF(Sheet1!B728="B","Branch B","Other Branch"))</f>
        <v>Other Branch</v>
      </c>
      <c r="O728" s="13" t="str">
        <f>IF(Sheet1!M728="Credit card","Credit Payment","Other")</f>
        <v>Credit Payment</v>
      </c>
      <c r="P728" s="13" t="str">
        <f>IF(Sheet1!O728&gt;7,"Yes","No")</f>
        <v>No</v>
      </c>
    </row>
    <row r="729" spans="5:16">
      <c r="E729" s="13" t="str">
        <v>174</v>
      </c>
      <c r="F729" s="13" t="str">
        <v>0215</v>
      </c>
      <c r="G729" s="13" t="str">
        <v>64</v>
      </c>
      <c r="H729" s="13" t="str">
        <f>_xlfn.CONCAT(Sheet1!A729," --&gt; ",Sheet1!J729)</f>
        <v>174-64-0215 --&gt; 732.27</v>
      </c>
      <c r="I729" s="13" t="str">
        <f>_xlfn.CONCAT(Sheet1!C729,"_",TEXT(Sheet1!K729, "m/d/yyyy"))</f>
        <v>Mandalay_3/5/2019</v>
      </c>
      <c r="J729" s="13" t="str">
        <f>IF(Sheet1!I729=Sheet1!N729*0.05,"Valid","Error")</f>
        <v>Valid</v>
      </c>
      <c r="K729" s="13" t="str">
        <f>IF(Sheet1!N729=Sheet1!G729*Sheet1!H729,"True","False")</f>
        <v>True</v>
      </c>
      <c r="L729" s="13" t="b">
        <v>1</v>
      </c>
      <c r="M729" s="9" t="b">
        <f>ISNUMBER(Sheet1!J729)</f>
        <v>1</v>
      </c>
      <c r="N729" s="13" t="str">
        <f>IF(Sheet1!B729="A","Branch A",IF(Sheet1!B729="B","Branch B","Other Branch"))</f>
        <v>Branch B</v>
      </c>
      <c r="O729" s="13" t="str">
        <f>IF(Sheet1!M729="Credit card","Credit Payment","Other")</f>
        <v>Credit Payment</v>
      </c>
      <c r="P729" s="13" t="str">
        <f>IF(Sheet1!O729&gt;7,"Yes","No")</f>
        <v>Yes</v>
      </c>
    </row>
    <row r="730" spans="5:16">
      <c r="E730" s="13" t="str">
        <v>210</v>
      </c>
      <c r="F730" s="13" t="str">
        <v>9613</v>
      </c>
      <c r="G730" s="13" t="str">
        <v>74</v>
      </c>
      <c r="H730" s="13" t="str">
        <f>_xlfn.CONCAT(Sheet1!A730," --&gt; ",Sheet1!J730)</f>
        <v>210-74-9613 --&gt; 408.492</v>
      </c>
      <c r="I730" s="13" t="str">
        <f>_xlfn.CONCAT(Sheet1!C730,"_",TEXT(Sheet1!K730, "m/d/yyyy"))</f>
        <v>Naypyitaw_3/16/2019</v>
      </c>
      <c r="J730" s="13" t="str">
        <f>IF(Sheet1!I730=Sheet1!N730*0.05,"Valid","Error")</f>
        <v>Valid</v>
      </c>
      <c r="K730" s="13" t="str">
        <f>IF(Sheet1!N730=Sheet1!G730*Sheet1!H730,"True","False")</f>
        <v>True</v>
      </c>
      <c r="L730" s="13" t="b">
        <v>1</v>
      </c>
      <c r="M730" s="9" t="b">
        <f>ISNUMBER(Sheet1!J730)</f>
        <v>1</v>
      </c>
      <c r="N730" s="13" t="str">
        <f>IF(Sheet1!B730="A","Branch A",IF(Sheet1!B730="B","Branch B","Other Branch"))</f>
        <v>Other Branch</v>
      </c>
      <c r="O730" s="13" t="str">
        <f>IF(Sheet1!M730="Credit card","Credit Payment","Other")</f>
        <v>Other</v>
      </c>
      <c r="P730" s="13" t="str">
        <f>IF(Sheet1!O730&gt;7,"Yes","No")</f>
        <v>No</v>
      </c>
    </row>
    <row r="731" spans="5:16">
      <c r="E731" s="13" t="str">
        <v>299</v>
      </c>
      <c r="F731" s="13" t="str">
        <v>0180</v>
      </c>
      <c r="G731" s="13" t="str">
        <v>29</v>
      </c>
      <c r="H731" s="13" t="str">
        <f>_xlfn.CONCAT(Sheet1!A731," --&gt; ",Sheet1!J731)</f>
        <v>299-29-0180 --&gt; 383.523</v>
      </c>
      <c r="I731" s="13" t="str">
        <f>_xlfn.CONCAT(Sheet1!C731,"_",TEXT(Sheet1!K731, "m/d/yyyy"))</f>
        <v>Mandalay_3/9/2019</v>
      </c>
      <c r="J731" s="13" t="str">
        <f>IF(Sheet1!I731=Sheet1!N731*0.05,"Valid","Error")</f>
        <v>Valid</v>
      </c>
      <c r="K731" s="13" t="str">
        <f>IF(Sheet1!N731=Sheet1!G731*Sheet1!H731,"True","False")</f>
        <v>True</v>
      </c>
      <c r="L731" s="13" t="b">
        <v>1</v>
      </c>
      <c r="M731" s="9" t="b">
        <f>ISNUMBER(Sheet1!J731)</f>
        <v>1</v>
      </c>
      <c r="N731" s="13" t="str">
        <f>IF(Sheet1!B731="A","Branch A",IF(Sheet1!B731="B","Branch B","Other Branch"))</f>
        <v>Branch B</v>
      </c>
      <c r="O731" s="13" t="str">
        <f>IF(Sheet1!M731="Credit card","Credit Payment","Other")</f>
        <v>Other</v>
      </c>
      <c r="P731" s="13" t="str">
        <f>IF(Sheet1!O731&gt;7,"Yes","No")</f>
        <v>Yes</v>
      </c>
    </row>
    <row r="732" spans="5:16">
      <c r="E732" s="13" t="str">
        <v>247</v>
      </c>
      <c r="F732" s="13" t="str">
        <v>2470</v>
      </c>
      <c r="G732" s="13" t="str">
        <v>11</v>
      </c>
      <c r="H732" s="13" t="str">
        <f>_xlfn.CONCAT(Sheet1!A732," --&gt; ",Sheet1!J732)</f>
        <v>247-11-2470 --&gt; 93.744</v>
      </c>
      <c r="I732" s="13" t="str">
        <f>_xlfn.CONCAT(Sheet1!C732,"_",TEXT(Sheet1!K732, "m/d/yyyy"))</f>
        <v>Yangon_3/1/2019</v>
      </c>
      <c r="J732" s="13" t="str">
        <f>IF(Sheet1!I732=Sheet1!N732*0.05,"Valid","Error")</f>
        <v>Valid</v>
      </c>
      <c r="K732" s="13" t="str">
        <f>IF(Sheet1!N732=Sheet1!G732*Sheet1!H732,"True","False")</f>
        <v>True</v>
      </c>
      <c r="L732" s="13" t="b">
        <v>1</v>
      </c>
      <c r="M732" s="9" t="b">
        <f>ISNUMBER(Sheet1!J732)</f>
        <v>1</v>
      </c>
      <c r="N732" s="13" t="str">
        <f>IF(Sheet1!B732="A","Branch A",IF(Sheet1!B732="B","Branch B","Other Branch"))</f>
        <v>Branch A</v>
      </c>
      <c r="O732" s="13" t="str">
        <f>IF(Sheet1!M732="Credit card","Credit Payment","Other")</f>
        <v>Credit Payment</v>
      </c>
      <c r="P732" s="13" t="str">
        <f>IF(Sheet1!O732&gt;7,"Yes","No")</f>
        <v>No</v>
      </c>
    </row>
    <row r="733" spans="5:16">
      <c r="E733" s="13" t="str">
        <v>635</v>
      </c>
      <c r="F733" s="13" t="str">
        <v>5728</v>
      </c>
      <c r="G733" s="13" t="str">
        <v>28</v>
      </c>
      <c r="H733" s="13" t="str">
        <f>_xlfn.CONCAT(Sheet1!A733," --&gt; ",Sheet1!J733)</f>
        <v>635-28-5728 --&gt; 176.4</v>
      </c>
      <c r="I733" s="13" t="str">
        <f>_xlfn.CONCAT(Sheet1!C733,"_",TEXT(Sheet1!K733, "m/d/yyyy"))</f>
        <v>Yangon_2/28/2019</v>
      </c>
      <c r="J733" s="13" t="str">
        <f>IF(Sheet1!I733=Sheet1!N733*0.05,"Valid","Error")</f>
        <v>Valid</v>
      </c>
      <c r="K733" s="13" t="str">
        <f>IF(Sheet1!N733=Sheet1!G733*Sheet1!H733,"True","False")</f>
        <v>True</v>
      </c>
      <c r="L733" s="13" t="b">
        <v>1</v>
      </c>
      <c r="M733" s="9" t="b">
        <f>ISNUMBER(Sheet1!J733)</f>
        <v>1</v>
      </c>
      <c r="N733" s="13" t="str">
        <f>IF(Sheet1!B733="A","Branch A",IF(Sheet1!B733="B","Branch B","Other Branch"))</f>
        <v>Branch A</v>
      </c>
      <c r="O733" s="13" t="str">
        <f>IF(Sheet1!M733="Credit card","Credit Payment","Other")</f>
        <v>Other</v>
      </c>
      <c r="P733" s="13" t="str">
        <f>IF(Sheet1!O733&gt;7,"Yes","No")</f>
        <v>No</v>
      </c>
    </row>
    <row r="734" spans="5:16">
      <c r="E734" s="13" t="str">
        <v>756</v>
      </c>
      <c r="F734" s="13" t="str">
        <v>0168</v>
      </c>
      <c r="G734" s="13" t="str">
        <v>49</v>
      </c>
      <c r="H734" s="13" t="str">
        <f>_xlfn.CONCAT(Sheet1!A734," --&gt; ",Sheet1!J734)</f>
        <v>756-49-0168 --&gt; 20.685</v>
      </c>
      <c r="I734" s="13" t="str">
        <f>_xlfn.CONCAT(Sheet1!C734,"_",TEXT(Sheet1!K734, "m/d/yyyy"))</f>
        <v>Yangon_2/8/2019</v>
      </c>
      <c r="J734" s="13" t="str">
        <f>IF(Sheet1!I734=Sheet1!N734*0.05,"Valid","Error")</f>
        <v>Valid</v>
      </c>
      <c r="K734" s="13" t="str">
        <f>IF(Sheet1!N734=Sheet1!G734*Sheet1!H734,"True","False")</f>
        <v>True</v>
      </c>
      <c r="L734" s="13" t="b">
        <v>1</v>
      </c>
      <c r="M734" s="9" t="b">
        <f>ISNUMBER(Sheet1!J734)</f>
        <v>1</v>
      </c>
      <c r="N734" s="13" t="str">
        <f>IF(Sheet1!B734="A","Branch A",IF(Sheet1!B734="B","Branch B","Other Branch"))</f>
        <v>Branch A</v>
      </c>
      <c r="O734" s="13" t="str">
        <f>IF(Sheet1!M734="Credit card","Credit Payment","Other")</f>
        <v>Other</v>
      </c>
      <c r="P734" s="13" t="str">
        <f>IF(Sheet1!O734&gt;7,"Yes","No")</f>
        <v>Yes</v>
      </c>
    </row>
    <row r="735" spans="5:16">
      <c r="E735" s="13" t="str">
        <v>438</v>
      </c>
      <c r="F735" s="13" t="str">
        <v>1242</v>
      </c>
      <c r="G735" s="13" t="str">
        <v>23</v>
      </c>
      <c r="H735" s="13" t="str">
        <f>_xlfn.CONCAT(Sheet1!A735," --&gt; ",Sheet1!J735)</f>
        <v>438-23-1242 --&gt; 557.718</v>
      </c>
      <c r="I735" s="13" t="str">
        <f>_xlfn.CONCAT(Sheet1!C735,"_",TEXT(Sheet1!K735, "m/d/yyyy"))</f>
        <v>Mandalay_1/24/2019</v>
      </c>
      <c r="J735" s="13" t="str">
        <f>IF(Sheet1!I735=Sheet1!N735*0.05,"Valid","Error")</f>
        <v>Valid</v>
      </c>
      <c r="K735" s="13" t="str">
        <f>IF(Sheet1!N735=Sheet1!G735*Sheet1!H735,"True","False")</f>
        <v>True</v>
      </c>
      <c r="L735" s="13" t="b">
        <v>1</v>
      </c>
      <c r="M735" s="9" t="b">
        <f>ISNUMBER(Sheet1!J735)</f>
        <v>1</v>
      </c>
      <c r="N735" s="13" t="str">
        <f>IF(Sheet1!B735="A","Branch A",IF(Sheet1!B735="B","Branch B","Other Branch"))</f>
        <v>Branch B</v>
      </c>
      <c r="O735" s="13" t="str">
        <f>IF(Sheet1!M735="Credit card","Credit Payment","Other")</f>
        <v>Other</v>
      </c>
      <c r="P735" s="13" t="str">
        <f>IF(Sheet1!O735&gt;7,"Yes","No")</f>
        <v>Yes</v>
      </c>
    </row>
    <row r="736" spans="5:16">
      <c r="E736" s="13" t="str">
        <v>238</v>
      </c>
      <c r="F736" s="13" t="str">
        <v>6950</v>
      </c>
      <c r="G736" s="13" t="str">
        <v>45</v>
      </c>
      <c r="H736" s="13" t="str">
        <f>_xlfn.CONCAT(Sheet1!A736," --&gt; ",Sheet1!J736)</f>
        <v>238-45-6950 --&gt; 56.406</v>
      </c>
      <c r="I736" s="13" t="str">
        <f>_xlfn.CONCAT(Sheet1!C736,"_",TEXT(Sheet1!K736, "m/d/yyyy"))</f>
        <v>Mandalay_3/1/2019</v>
      </c>
      <c r="J736" s="13" t="str">
        <f>IF(Sheet1!I736=Sheet1!N736*0.05,"Valid","Error")</f>
        <v>Valid</v>
      </c>
      <c r="K736" s="13" t="str">
        <f>IF(Sheet1!N736=Sheet1!G736*Sheet1!H736,"True","False")</f>
        <v>True</v>
      </c>
      <c r="L736" s="13" t="b">
        <v>1</v>
      </c>
      <c r="M736" s="9" t="b">
        <f>ISNUMBER(Sheet1!J736)</f>
        <v>1</v>
      </c>
      <c r="N736" s="13" t="str">
        <f>IF(Sheet1!B736="A","Branch A",IF(Sheet1!B736="B","Branch B","Other Branch"))</f>
        <v>Branch B</v>
      </c>
      <c r="O736" s="13" t="str">
        <f>IF(Sheet1!M736="Credit card","Credit Payment","Other")</f>
        <v>Other</v>
      </c>
      <c r="P736" s="13" t="str">
        <f>IF(Sheet1!O736&gt;7,"Yes","No")</f>
        <v>No</v>
      </c>
    </row>
    <row r="737" spans="5:16">
      <c r="E737" s="13" t="str">
        <v>607</v>
      </c>
      <c r="F737" s="13" t="str">
        <v>2441</v>
      </c>
      <c r="G737" s="13" t="str">
        <v>65</v>
      </c>
      <c r="H737" s="13" t="str">
        <f>_xlfn.CONCAT(Sheet1!A737," --&gt; ",Sheet1!J737)</f>
        <v>607-65-2441 --&gt; 860.475</v>
      </c>
      <c r="I737" s="13" t="str">
        <f>_xlfn.CONCAT(Sheet1!C737,"_",TEXT(Sheet1!K737, "m/d/yyyy"))</f>
        <v>Naypyitaw_3/10/2019</v>
      </c>
      <c r="J737" s="13" t="str">
        <f>IF(Sheet1!I737=Sheet1!N737*0.05,"Valid","Error")</f>
        <v>Valid</v>
      </c>
      <c r="K737" s="13" t="str">
        <f>IF(Sheet1!N737=Sheet1!G737*Sheet1!H737,"True","False")</f>
        <v>True</v>
      </c>
      <c r="L737" s="13" t="b">
        <v>1</v>
      </c>
      <c r="M737" s="9" t="b">
        <f>ISNUMBER(Sheet1!J737)</f>
        <v>1</v>
      </c>
      <c r="N737" s="13" t="str">
        <f>IF(Sheet1!B737="A","Branch A",IF(Sheet1!B737="B","Branch B","Other Branch"))</f>
        <v>Other Branch</v>
      </c>
      <c r="O737" s="13" t="str">
        <f>IF(Sheet1!M737="Credit card","Credit Payment","Other")</f>
        <v>Credit Payment</v>
      </c>
      <c r="P737" s="13" t="str">
        <f>IF(Sheet1!O737&gt;7,"Yes","No")</f>
        <v>No</v>
      </c>
    </row>
    <row r="738" spans="5:16">
      <c r="E738" s="13" t="str">
        <v>386</v>
      </c>
      <c r="F738" s="13" t="str">
        <v>7606</v>
      </c>
      <c r="G738" s="13" t="str">
        <v>27</v>
      </c>
      <c r="H738" s="13" t="str">
        <f>_xlfn.CONCAT(Sheet1!A738," --&gt; ",Sheet1!J738)</f>
        <v>386-27-7606 --&gt; 596.82</v>
      </c>
      <c r="I738" s="13" t="str">
        <f>_xlfn.CONCAT(Sheet1!C738,"_",TEXT(Sheet1!K738, "m/d/yyyy"))</f>
        <v>Naypyitaw_3/23/2019</v>
      </c>
      <c r="J738" s="13" t="str">
        <f>IF(Sheet1!I738=Sheet1!N738*0.05,"Valid","Error")</f>
        <v>Valid</v>
      </c>
      <c r="K738" s="13" t="str">
        <f>IF(Sheet1!N738=Sheet1!G738*Sheet1!H738,"True","False")</f>
        <v>True</v>
      </c>
      <c r="L738" s="13" t="b">
        <v>1</v>
      </c>
      <c r="M738" s="9" t="b">
        <f>ISNUMBER(Sheet1!J738)</f>
        <v>1</v>
      </c>
      <c r="N738" s="13" t="str">
        <f>IF(Sheet1!B738="A","Branch A",IF(Sheet1!B738="B","Branch B","Other Branch"))</f>
        <v>Other Branch</v>
      </c>
      <c r="O738" s="13" t="str">
        <f>IF(Sheet1!M738="Credit card","Credit Payment","Other")</f>
        <v>Credit Payment</v>
      </c>
      <c r="P738" s="13" t="str">
        <f>IF(Sheet1!O738&gt;7,"Yes","No")</f>
        <v>Yes</v>
      </c>
    </row>
    <row r="739" spans="5:16">
      <c r="E739" s="13" t="str">
        <v>137</v>
      </c>
      <c r="F739" s="13" t="str">
        <v>5492</v>
      </c>
      <c r="G739" s="13" t="str">
        <v>63</v>
      </c>
      <c r="H739" s="13" t="str">
        <f>_xlfn.CONCAT(Sheet1!A739," --&gt; ",Sheet1!J739)</f>
        <v>137-63-5492 --&gt; 616.98</v>
      </c>
      <c r="I739" s="13" t="str">
        <f>_xlfn.CONCAT(Sheet1!C739,"_",TEXT(Sheet1!K739, "m/d/yyyy"))</f>
        <v>Naypyitaw_1/29/2019</v>
      </c>
      <c r="J739" s="13" t="str">
        <f>IF(Sheet1!I739=Sheet1!N739*0.05,"Valid","Error")</f>
        <v>Valid</v>
      </c>
      <c r="K739" s="13" t="str">
        <f>IF(Sheet1!N739=Sheet1!G739*Sheet1!H739,"True","False")</f>
        <v>True</v>
      </c>
      <c r="L739" s="13" t="b">
        <v>1</v>
      </c>
      <c r="M739" s="9" t="b">
        <f>ISNUMBER(Sheet1!J739)</f>
        <v>1</v>
      </c>
      <c r="N739" s="13" t="str">
        <f>IF(Sheet1!B739="A","Branch A",IF(Sheet1!B739="B","Branch B","Other Branch"))</f>
        <v>Other Branch</v>
      </c>
      <c r="O739" s="13" t="str">
        <f>IF(Sheet1!M739="Credit card","Credit Payment","Other")</f>
        <v>Other</v>
      </c>
      <c r="P739" s="13" t="str">
        <f>IF(Sheet1!O739&gt;7,"Yes","No")</f>
        <v>Yes</v>
      </c>
    </row>
    <row r="740" spans="5:16">
      <c r="E740" s="13" t="str">
        <v>197</v>
      </c>
      <c r="F740" s="13" t="str">
        <v>7132</v>
      </c>
      <c r="G740" s="13" t="str">
        <v>77</v>
      </c>
      <c r="H740" s="13" t="str">
        <f>_xlfn.CONCAT(Sheet1!A740," --&gt; ",Sheet1!J740)</f>
        <v>197-77-7132 --&gt; 769.104</v>
      </c>
      <c r="I740" s="13" t="str">
        <f>_xlfn.CONCAT(Sheet1!C740,"_",TEXT(Sheet1!K740, "m/d/yyyy"))</f>
        <v>Mandalay_1/12/2019</v>
      </c>
      <c r="J740" s="13" t="str">
        <f>IF(Sheet1!I740=Sheet1!N740*0.05,"Valid","Error")</f>
        <v>Valid</v>
      </c>
      <c r="K740" s="13" t="str">
        <f>IF(Sheet1!N740=Sheet1!G740*Sheet1!H740,"True","False")</f>
        <v>True</v>
      </c>
      <c r="L740" s="13" t="b">
        <v>1</v>
      </c>
      <c r="M740" s="9" t="b">
        <f>ISNUMBER(Sheet1!J740)</f>
        <v>1</v>
      </c>
      <c r="N740" s="13" t="str">
        <f>IF(Sheet1!B740="A","Branch A",IF(Sheet1!B740="B","Branch B","Other Branch"))</f>
        <v>Branch B</v>
      </c>
      <c r="O740" s="13" t="str">
        <f>IF(Sheet1!M740="Credit card","Credit Payment","Other")</f>
        <v>Other</v>
      </c>
      <c r="P740" s="13" t="str">
        <f>IF(Sheet1!O740&gt;7,"Yes","No")</f>
        <v>No</v>
      </c>
    </row>
    <row r="741" spans="5:16">
      <c r="E741" s="13" t="str">
        <v>805</v>
      </c>
      <c r="F741" s="13" t="str">
        <v>0265</v>
      </c>
      <c r="G741" s="13" t="str">
        <v>86</v>
      </c>
      <c r="H741" s="13" t="str">
        <f>_xlfn.CONCAT(Sheet1!A741," --&gt; ",Sheet1!J741)</f>
        <v>805-86-0265 --&gt; 887.922</v>
      </c>
      <c r="I741" s="13" t="str">
        <f>_xlfn.CONCAT(Sheet1!C741,"_",TEXT(Sheet1!K741, "m/d/yyyy"))</f>
        <v>Yangon_3/20/2019</v>
      </c>
      <c r="J741" s="13" t="str">
        <f>IF(Sheet1!I741=Sheet1!N741*0.05,"Valid","Error")</f>
        <v>Valid</v>
      </c>
      <c r="K741" s="13" t="str">
        <f>IF(Sheet1!N741=Sheet1!G741*Sheet1!H741,"True","False")</f>
        <v>True</v>
      </c>
      <c r="L741" s="13" t="b">
        <v>1</v>
      </c>
      <c r="M741" s="9" t="b">
        <f>ISNUMBER(Sheet1!J741)</f>
        <v>1</v>
      </c>
      <c r="N741" s="13" t="str">
        <f>IF(Sheet1!B741="A","Branch A",IF(Sheet1!B741="B","Branch B","Other Branch"))</f>
        <v>Branch A</v>
      </c>
      <c r="O741" s="13" t="str">
        <f>IF(Sheet1!M741="Credit card","Credit Payment","Other")</f>
        <v>Other</v>
      </c>
      <c r="P741" s="13" t="str">
        <f>IF(Sheet1!O741&gt;7,"Yes","No")</f>
        <v>Yes</v>
      </c>
    </row>
    <row r="742" spans="5:16">
      <c r="E742" s="13" t="str">
        <v>733</v>
      </c>
      <c r="F742" s="13" t="str">
        <v>1227</v>
      </c>
      <c r="G742" s="13" t="str">
        <v>29</v>
      </c>
      <c r="H742" s="13" t="str">
        <f>_xlfn.CONCAT(Sheet1!A742," --&gt; ",Sheet1!J742)</f>
        <v>733-29-1227 --&gt; 408.7335</v>
      </c>
      <c r="I742" s="13" t="str">
        <f>_xlfn.CONCAT(Sheet1!C742,"_",TEXT(Sheet1!K742, "m/d/yyyy"))</f>
        <v>Naypyitaw_3/23/2019</v>
      </c>
      <c r="J742" s="13" t="str">
        <f>IF(Sheet1!I742=Sheet1!N742*0.05,"Valid","Error")</f>
        <v>Valid</v>
      </c>
      <c r="K742" s="13" t="str">
        <f>IF(Sheet1!N742=Sheet1!G742*Sheet1!H742,"True","False")</f>
        <v>True</v>
      </c>
      <c r="L742" s="13" t="b">
        <v>1</v>
      </c>
      <c r="M742" s="9" t="b">
        <f>ISNUMBER(Sheet1!J742)</f>
        <v>1</v>
      </c>
      <c r="N742" s="13" t="str">
        <f>IF(Sheet1!B742="A","Branch A",IF(Sheet1!B742="B","Branch B","Other Branch"))</f>
        <v>Other Branch</v>
      </c>
      <c r="O742" s="13" t="str">
        <f>IF(Sheet1!M742="Credit card","Credit Payment","Other")</f>
        <v>Other</v>
      </c>
      <c r="P742" s="13" t="str">
        <f>IF(Sheet1!O742&gt;7,"Yes","No")</f>
        <v>Yes</v>
      </c>
    </row>
    <row r="743" spans="5:16">
      <c r="E743" s="13" t="str">
        <v>451</v>
      </c>
      <c r="F743" s="13" t="str">
        <v>2711</v>
      </c>
      <c r="G743" s="13" t="str">
        <v>73</v>
      </c>
      <c r="H743" s="13" t="str">
        <f>_xlfn.CONCAT(Sheet1!A743," --&gt; ",Sheet1!J743)</f>
        <v>451-73-2711 --&gt; 89.0715</v>
      </c>
      <c r="I743" s="13" t="str">
        <f>_xlfn.CONCAT(Sheet1!C743,"_",TEXT(Sheet1!K743, "m/d/yyyy"))</f>
        <v>Naypyitaw_1/14/2019</v>
      </c>
      <c r="J743" s="13" t="str">
        <f>IF(Sheet1!I743=Sheet1!N743*0.05,"Valid","Error")</f>
        <v>Valid</v>
      </c>
      <c r="K743" s="13" t="str">
        <f>IF(Sheet1!N743=Sheet1!G743*Sheet1!H743,"True","False")</f>
        <v>True</v>
      </c>
      <c r="L743" s="13" t="b">
        <v>1</v>
      </c>
      <c r="M743" s="9" t="b">
        <f>ISNUMBER(Sheet1!J743)</f>
        <v>1</v>
      </c>
      <c r="N743" s="13" t="str">
        <f>IF(Sheet1!B743="A","Branch A",IF(Sheet1!B743="B","Branch B","Other Branch"))</f>
        <v>Other Branch</v>
      </c>
      <c r="O743" s="13" t="str">
        <f>IF(Sheet1!M743="Credit card","Credit Payment","Other")</f>
        <v>Other</v>
      </c>
      <c r="P743" s="13" t="str">
        <f>IF(Sheet1!O743&gt;7,"Yes","No")</f>
        <v>Yes</v>
      </c>
    </row>
    <row r="744" spans="5:16">
      <c r="E744" s="13" t="str">
        <v>373</v>
      </c>
      <c r="F744" s="13" t="str">
        <v>0504</v>
      </c>
      <c r="G744" s="13" t="str">
        <v>14</v>
      </c>
      <c r="H744" s="13" t="str">
        <f>_xlfn.CONCAT(Sheet1!A744," --&gt; ",Sheet1!J744)</f>
        <v>373-14-0504 --&gt; 150.423</v>
      </c>
      <c r="I744" s="13" t="str">
        <f>_xlfn.CONCAT(Sheet1!C744,"_",TEXT(Sheet1!K744, "m/d/yyyy"))</f>
        <v>Yangon_2/12/2019</v>
      </c>
      <c r="J744" s="13" t="str">
        <f>IF(Sheet1!I744=Sheet1!N744*0.05,"Valid","Error")</f>
        <v>Valid</v>
      </c>
      <c r="K744" s="13" t="str">
        <f>IF(Sheet1!N744=Sheet1!G744*Sheet1!H744,"True","False")</f>
        <v>True</v>
      </c>
      <c r="L744" s="13" t="b">
        <v>1</v>
      </c>
      <c r="M744" s="9" t="b">
        <f>ISNUMBER(Sheet1!J744)</f>
        <v>1</v>
      </c>
      <c r="N744" s="13" t="str">
        <f>IF(Sheet1!B744="A","Branch A",IF(Sheet1!B744="B","Branch B","Other Branch"))</f>
        <v>Branch A</v>
      </c>
      <c r="O744" s="13" t="str">
        <f>IF(Sheet1!M744="Credit card","Credit Payment","Other")</f>
        <v>Other</v>
      </c>
      <c r="P744" s="13" t="str">
        <f>IF(Sheet1!O744&gt;7,"Yes","No")</f>
        <v>Yes</v>
      </c>
    </row>
    <row r="745" spans="5:16">
      <c r="E745" s="13" t="str">
        <v>546</v>
      </c>
      <c r="F745" s="13" t="str">
        <v>2899</v>
      </c>
      <c r="G745" s="13" t="str">
        <v>80</v>
      </c>
      <c r="H745" s="13" t="str">
        <f>_xlfn.CONCAT(Sheet1!A745," --&gt; ",Sheet1!J745)</f>
        <v>546-80-2899 --&gt; 79.149</v>
      </c>
      <c r="I745" s="13" t="str">
        <f>_xlfn.CONCAT(Sheet1!C745,"_",TEXT(Sheet1!K745, "m/d/yyyy"))</f>
        <v>Yangon_2/20/2019</v>
      </c>
      <c r="J745" s="13" t="str">
        <f>IF(Sheet1!I745=Sheet1!N745*0.05,"Valid","Error")</f>
        <v>Valid</v>
      </c>
      <c r="K745" s="13" t="str">
        <f>IF(Sheet1!N745=Sheet1!G745*Sheet1!H745,"True","False")</f>
        <v>True</v>
      </c>
      <c r="L745" s="13" t="b">
        <v>1</v>
      </c>
      <c r="M745" s="9" t="b">
        <f>ISNUMBER(Sheet1!J745)</f>
        <v>1</v>
      </c>
      <c r="N745" s="13" t="str">
        <f>IF(Sheet1!B745="A","Branch A",IF(Sheet1!B745="B","Branch B","Other Branch"))</f>
        <v>Branch A</v>
      </c>
      <c r="O745" s="13" t="str">
        <f>IF(Sheet1!M745="Credit card","Credit Payment","Other")</f>
        <v>Other</v>
      </c>
      <c r="P745" s="13" t="str">
        <f>IF(Sheet1!O745&gt;7,"Yes","No")</f>
        <v>Yes</v>
      </c>
    </row>
    <row r="746" spans="5:16">
      <c r="E746" s="13" t="str">
        <v>345</v>
      </c>
      <c r="F746" s="13" t="str">
        <v>9016</v>
      </c>
      <c r="G746" s="13" t="str">
        <v>68</v>
      </c>
      <c r="H746" s="13" t="str">
        <f>_xlfn.CONCAT(Sheet1!A746," --&gt; ",Sheet1!J746)</f>
        <v>345-68-9016 --&gt; 266.028</v>
      </c>
      <c r="I746" s="13" t="str">
        <f>_xlfn.CONCAT(Sheet1!C746,"_",TEXT(Sheet1!K746, "m/d/yyyy"))</f>
        <v>Naypyitaw_1/2/2019</v>
      </c>
      <c r="J746" s="13" t="str">
        <f>IF(Sheet1!I746=Sheet1!N746*0.05,"Valid","Error")</f>
        <v>Valid</v>
      </c>
      <c r="K746" s="13" t="str">
        <f>IF(Sheet1!N746=Sheet1!G746*Sheet1!H746,"True","False")</f>
        <v>True</v>
      </c>
      <c r="L746" s="13" t="b">
        <v>1</v>
      </c>
      <c r="M746" s="9" t="b">
        <f>ISNUMBER(Sheet1!J746)</f>
        <v>1</v>
      </c>
      <c r="N746" s="13" t="str">
        <f>IF(Sheet1!B746="A","Branch A",IF(Sheet1!B746="B","Branch B","Other Branch"))</f>
        <v>Other Branch</v>
      </c>
      <c r="O746" s="13" t="str">
        <f>IF(Sheet1!M746="Credit card","Credit Payment","Other")</f>
        <v>Credit Payment</v>
      </c>
      <c r="P746" s="13" t="str">
        <f>IF(Sheet1!O746&gt;7,"Yes","No")</f>
        <v>No</v>
      </c>
    </row>
    <row r="747" spans="5:16">
      <c r="E747" s="13" t="str">
        <v>390</v>
      </c>
      <c r="F747" s="13" t="str">
        <v>5806</v>
      </c>
      <c r="G747" s="13" t="str">
        <v>17</v>
      </c>
      <c r="H747" s="13" t="str">
        <f>_xlfn.CONCAT(Sheet1!A747," --&gt; ",Sheet1!J747)</f>
        <v>390-17-5806 --&gt; 40.341</v>
      </c>
      <c r="I747" s="13" t="str">
        <f>_xlfn.CONCAT(Sheet1!C747,"_",TEXT(Sheet1!K747, "m/d/yyyy"))</f>
        <v>Naypyitaw_2/2/2019</v>
      </c>
      <c r="J747" s="13" t="str">
        <f>IF(Sheet1!I747=Sheet1!N747*0.05,"Valid","Error")</f>
        <v>Valid</v>
      </c>
      <c r="K747" s="13" t="str">
        <f>IF(Sheet1!N747=Sheet1!G747*Sheet1!H747,"True","False")</f>
        <v>True</v>
      </c>
      <c r="L747" s="13" t="b">
        <v>1</v>
      </c>
      <c r="M747" s="9" t="b">
        <f>ISNUMBER(Sheet1!J747)</f>
        <v>1</v>
      </c>
      <c r="N747" s="13" t="str">
        <f>IF(Sheet1!B747="A","Branch A",IF(Sheet1!B747="B","Branch B","Other Branch"))</f>
        <v>Other Branch</v>
      </c>
      <c r="O747" s="13" t="str">
        <f>IF(Sheet1!M747="Credit card","Credit Payment","Other")</f>
        <v>Other</v>
      </c>
      <c r="P747" s="13" t="str">
        <f>IF(Sheet1!O747&gt;7,"Yes","No")</f>
        <v>Yes</v>
      </c>
    </row>
    <row r="748" spans="5:16">
      <c r="E748" s="13" t="str">
        <v>457</v>
      </c>
      <c r="F748" s="13" t="str">
        <v>1708</v>
      </c>
      <c r="G748" s="13" t="str">
        <v>13</v>
      </c>
      <c r="H748" s="13" t="str">
        <f>_xlfn.CONCAT(Sheet1!A748," --&gt; ",Sheet1!J748)</f>
        <v>457-13-1708 --&gt; 684.915</v>
      </c>
      <c r="I748" s="13" t="str">
        <f>_xlfn.CONCAT(Sheet1!C748,"_",TEXT(Sheet1!K748, "m/d/yyyy"))</f>
        <v>Mandalay_1/8/2019</v>
      </c>
      <c r="J748" s="13" t="str">
        <f>IF(Sheet1!I748=Sheet1!N748*0.05,"Valid","Error")</f>
        <v>Valid</v>
      </c>
      <c r="K748" s="13" t="str">
        <f>IF(Sheet1!N748=Sheet1!G748*Sheet1!H748,"True","False")</f>
        <v>True</v>
      </c>
      <c r="L748" s="13" t="b">
        <v>1</v>
      </c>
      <c r="M748" s="9" t="b">
        <f>ISNUMBER(Sheet1!J748)</f>
        <v>1</v>
      </c>
      <c r="N748" s="13" t="str">
        <f>IF(Sheet1!B748="A","Branch A",IF(Sheet1!B748="B","Branch B","Other Branch"))</f>
        <v>Branch B</v>
      </c>
      <c r="O748" s="13" t="str">
        <f>IF(Sheet1!M748="Credit card","Credit Payment","Other")</f>
        <v>Credit Payment</v>
      </c>
      <c r="P748" s="13" t="str">
        <f>IF(Sheet1!O748&gt;7,"Yes","No")</f>
        <v>No</v>
      </c>
    </row>
    <row r="749" spans="5:16">
      <c r="E749" s="13" t="str">
        <v>664</v>
      </c>
      <c r="F749" s="13" t="str">
        <v>2882</v>
      </c>
      <c r="G749" s="13" t="str">
        <v>14</v>
      </c>
      <c r="H749" s="13" t="str">
        <f>_xlfn.CONCAT(Sheet1!A749," --&gt; ",Sheet1!J749)</f>
        <v>664-14-2882 --&gt; 55.2825</v>
      </c>
      <c r="I749" s="13" t="str">
        <f>_xlfn.CONCAT(Sheet1!C749,"_",TEXT(Sheet1!K749, "m/d/yyyy"))</f>
        <v>Naypyitaw_1/30/2019</v>
      </c>
      <c r="J749" s="13" t="str">
        <f>IF(Sheet1!I749=Sheet1!N749*0.05,"Valid","Error")</f>
        <v>Valid</v>
      </c>
      <c r="K749" s="13" t="str">
        <f>IF(Sheet1!N749=Sheet1!G749*Sheet1!H749,"True","False")</f>
        <v>True</v>
      </c>
      <c r="L749" s="13" t="b">
        <v>1</v>
      </c>
      <c r="M749" s="9" t="b">
        <f>ISNUMBER(Sheet1!J749)</f>
        <v>1</v>
      </c>
      <c r="N749" s="13" t="str">
        <f>IF(Sheet1!B749="A","Branch A",IF(Sheet1!B749="B","Branch B","Other Branch"))</f>
        <v>Other Branch</v>
      </c>
      <c r="O749" s="13" t="str">
        <f>IF(Sheet1!M749="Credit card","Credit Payment","Other")</f>
        <v>Credit Payment</v>
      </c>
      <c r="P749" s="13" t="str">
        <f>IF(Sheet1!O749&gt;7,"Yes","No")</f>
        <v>No</v>
      </c>
    </row>
    <row r="750" spans="5:16">
      <c r="E750" s="13" t="str">
        <v>487</v>
      </c>
      <c r="F750" s="13" t="str">
        <v>6868</v>
      </c>
      <c r="G750" s="13" t="str">
        <v>79</v>
      </c>
      <c r="H750" s="13" t="str">
        <f>_xlfn.CONCAT(Sheet1!A750," --&gt; ",Sheet1!J750)</f>
        <v>487-79-6868 --&gt; 116.1405</v>
      </c>
      <c r="I750" s="13" t="str">
        <f>_xlfn.CONCAT(Sheet1!C750,"_",TEXT(Sheet1!K750, "m/d/yyyy"))</f>
        <v>Mandalay_3/26/2019</v>
      </c>
      <c r="J750" s="13" t="str">
        <f>IF(Sheet1!I750=Sheet1!N750*0.05,"Valid","Error")</f>
        <v>Valid</v>
      </c>
      <c r="K750" s="13" t="str">
        <f>IF(Sheet1!N750=Sheet1!G750*Sheet1!H750,"True","False")</f>
        <v>True</v>
      </c>
      <c r="L750" s="13" t="b">
        <v>1</v>
      </c>
      <c r="M750" s="9" t="b">
        <f>ISNUMBER(Sheet1!J750)</f>
        <v>1</v>
      </c>
      <c r="N750" s="13" t="str">
        <f>IF(Sheet1!B750="A","Branch A",IF(Sheet1!B750="B","Branch B","Other Branch"))</f>
        <v>Branch B</v>
      </c>
      <c r="O750" s="13" t="str">
        <f>IF(Sheet1!M750="Credit card","Credit Payment","Other")</f>
        <v>Credit Payment</v>
      </c>
      <c r="P750" s="13" t="str">
        <f>IF(Sheet1!O750&gt;7,"Yes","No")</f>
        <v>Yes</v>
      </c>
    </row>
    <row r="751" spans="5:16">
      <c r="E751" s="13" t="str">
        <v>314</v>
      </c>
      <c r="F751" s="13" t="str">
        <v>4520</v>
      </c>
      <c r="G751" s="13" t="str">
        <v>23</v>
      </c>
      <c r="H751" s="13" t="str">
        <f>_xlfn.CONCAT(Sheet1!A751," --&gt; ",Sheet1!J751)</f>
        <v>314-23-4520 --&gt; 597.0405</v>
      </c>
      <c r="I751" s="13" t="str">
        <f>_xlfn.CONCAT(Sheet1!C751,"_",TEXT(Sheet1!K751, "m/d/yyyy"))</f>
        <v>Naypyitaw_1/15/2019</v>
      </c>
      <c r="J751" s="13" t="str">
        <f>IF(Sheet1!I751=Sheet1!N751*0.05,"Valid","Error")</f>
        <v>Valid</v>
      </c>
      <c r="K751" s="13" t="str">
        <f>IF(Sheet1!N751=Sheet1!G751*Sheet1!H751,"True","False")</f>
        <v>True</v>
      </c>
      <c r="L751" s="13" t="b">
        <v>1</v>
      </c>
      <c r="M751" s="9" t="b">
        <f>ISNUMBER(Sheet1!J751)</f>
        <v>1</v>
      </c>
      <c r="N751" s="13" t="str">
        <f>IF(Sheet1!B751="A","Branch A",IF(Sheet1!B751="B","Branch B","Other Branch"))</f>
        <v>Other Branch</v>
      </c>
      <c r="O751" s="13" t="str">
        <f>IF(Sheet1!M751="Credit card","Credit Payment","Other")</f>
        <v>Other</v>
      </c>
      <c r="P751" s="13" t="str">
        <f>IF(Sheet1!O751&gt;7,"Yes","No")</f>
        <v>Yes</v>
      </c>
    </row>
    <row r="752" spans="5:16">
      <c r="E752" s="13" t="str">
        <v>210</v>
      </c>
      <c r="F752" s="13" t="str">
        <v>7976</v>
      </c>
      <c r="G752" s="13" t="str">
        <v>30</v>
      </c>
      <c r="H752" s="13" t="str">
        <f>_xlfn.CONCAT(Sheet1!A752," --&gt; ",Sheet1!J752)</f>
        <v>210-30-7976 --&gt; 93.744</v>
      </c>
      <c r="I752" s="13" t="str">
        <f>_xlfn.CONCAT(Sheet1!C752,"_",TEXT(Sheet1!K752, "m/d/yyyy"))</f>
        <v>Mandalay_3/14/2019</v>
      </c>
      <c r="J752" s="13" t="str">
        <f>IF(Sheet1!I752=Sheet1!N752*0.05,"Valid","Error")</f>
        <v>Valid</v>
      </c>
      <c r="K752" s="13" t="str">
        <f>IF(Sheet1!N752=Sheet1!G752*Sheet1!H752,"True","False")</f>
        <v>True</v>
      </c>
      <c r="L752" s="13" t="b">
        <v>1</v>
      </c>
      <c r="M752" s="9" t="b">
        <f>ISNUMBER(Sheet1!J752)</f>
        <v>1</v>
      </c>
      <c r="N752" s="13" t="str">
        <f>IF(Sheet1!B752="A","Branch A",IF(Sheet1!B752="B","Branch B","Other Branch"))</f>
        <v>Branch B</v>
      </c>
      <c r="O752" s="13" t="str">
        <f>IF(Sheet1!M752="Credit card","Credit Payment","Other")</f>
        <v>Other</v>
      </c>
      <c r="P752" s="13" t="str">
        <f>IF(Sheet1!O752&gt;7,"Yes","No")</f>
        <v>No</v>
      </c>
    </row>
    <row r="753" spans="5:16">
      <c r="E753" s="13" t="str">
        <v>585</v>
      </c>
      <c r="F753" s="13" t="str">
        <v>8361</v>
      </c>
      <c r="G753" s="13" t="str">
        <v>86</v>
      </c>
      <c r="H753" s="13" t="str">
        <f>_xlfn.CONCAT(Sheet1!A753," --&gt; ",Sheet1!J753)</f>
        <v>585-86-8361 --&gt; 143.22</v>
      </c>
      <c r="I753" s="13" t="str">
        <f>_xlfn.CONCAT(Sheet1!C753,"_",TEXT(Sheet1!K753, "m/d/yyyy"))</f>
        <v>Yangon_2/3/2019</v>
      </c>
      <c r="J753" s="13" t="str">
        <f>IF(Sheet1!I753=Sheet1!N753*0.05,"Valid","Error")</f>
        <v>Valid</v>
      </c>
      <c r="K753" s="13" t="str">
        <f>IF(Sheet1!N753=Sheet1!G753*Sheet1!H753,"True","False")</f>
        <v>True</v>
      </c>
      <c r="L753" s="13" t="b">
        <v>1</v>
      </c>
      <c r="M753" s="9" t="b">
        <f>ISNUMBER(Sheet1!J753)</f>
        <v>1</v>
      </c>
      <c r="N753" s="13" t="str">
        <f>IF(Sheet1!B753="A","Branch A",IF(Sheet1!B753="B","Branch B","Other Branch"))</f>
        <v>Branch A</v>
      </c>
      <c r="O753" s="13" t="str">
        <f>IF(Sheet1!M753="Credit card","Credit Payment","Other")</f>
        <v>Credit Payment</v>
      </c>
      <c r="P753" s="13" t="str">
        <f>IF(Sheet1!O753&gt;7,"Yes","No")</f>
        <v>Yes</v>
      </c>
    </row>
    <row r="754" spans="5:16">
      <c r="E754" s="13" t="str">
        <v>807</v>
      </c>
      <c r="F754" s="13" t="str">
        <v>7833</v>
      </c>
      <c r="G754" s="13" t="str">
        <v>14</v>
      </c>
      <c r="H754" s="13" t="str">
        <f>_xlfn.CONCAT(Sheet1!A754," --&gt; ",Sheet1!J754)</f>
        <v>807-14-7833 --&gt; 182.91</v>
      </c>
      <c r="I754" s="13" t="str">
        <f>_xlfn.CONCAT(Sheet1!C754,"_",TEXT(Sheet1!K754, "m/d/yyyy"))</f>
        <v>Yangon_2/22/2019</v>
      </c>
      <c r="J754" s="13" t="str">
        <f>IF(Sheet1!I754=Sheet1!N754*0.05,"Valid","Error")</f>
        <v>Valid</v>
      </c>
      <c r="K754" s="13" t="str">
        <f>IF(Sheet1!N754=Sheet1!G754*Sheet1!H754,"True","False")</f>
        <v>True</v>
      </c>
      <c r="L754" s="13" t="b">
        <v>1</v>
      </c>
      <c r="M754" s="9" t="b">
        <f>ISNUMBER(Sheet1!J754)</f>
        <v>1</v>
      </c>
      <c r="N754" s="13" t="str">
        <f>IF(Sheet1!B754="A","Branch A",IF(Sheet1!B754="B","Branch B","Other Branch"))</f>
        <v>Branch A</v>
      </c>
      <c r="O754" s="13" t="str">
        <f>IF(Sheet1!M754="Credit card","Credit Payment","Other")</f>
        <v>Other</v>
      </c>
      <c r="P754" s="13" t="str">
        <f>IF(Sheet1!O754&gt;7,"Yes","No")</f>
        <v>No</v>
      </c>
    </row>
    <row r="755" spans="5:16">
      <c r="E755" s="13" t="str">
        <v>775</v>
      </c>
      <c r="F755" s="13" t="str">
        <v>1988</v>
      </c>
      <c r="G755" s="13" t="str">
        <v>72</v>
      </c>
      <c r="H755" s="13" t="str">
        <f>_xlfn.CONCAT(Sheet1!A755," --&gt; ",Sheet1!J755)</f>
        <v>775-72-1988 --&gt; 384.72</v>
      </c>
      <c r="I755" s="13" t="str">
        <f>_xlfn.CONCAT(Sheet1!C755,"_",TEXT(Sheet1!K755, "m/d/yyyy"))</f>
        <v>Mandalay_1/24/2019</v>
      </c>
      <c r="J755" s="13" t="str">
        <f>IF(Sheet1!I755=Sheet1!N755*0.05,"Valid","Error")</f>
        <v>Valid</v>
      </c>
      <c r="K755" s="13" t="str">
        <f>IF(Sheet1!N755=Sheet1!G755*Sheet1!H755,"True","False")</f>
        <v>True</v>
      </c>
      <c r="L755" s="13" t="b">
        <v>1</v>
      </c>
      <c r="M755" s="9" t="b">
        <f>ISNUMBER(Sheet1!J755)</f>
        <v>1</v>
      </c>
      <c r="N755" s="13" t="str">
        <f>IF(Sheet1!B755="A","Branch A",IF(Sheet1!B755="B","Branch B","Other Branch"))</f>
        <v>Branch B</v>
      </c>
      <c r="O755" s="13" t="str">
        <f>IF(Sheet1!M755="Credit card","Credit Payment","Other")</f>
        <v>Other</v>
      </c>
      <c r="P755" s="13" t="str">
        <f>IF(Sheet1!O755&gt;7,"Yes","No")</f>
        <v>Yes</v>
      </c>
    </row>
    <row r="756" spans="5:16">
      <c r="E756" s="13" t="str">
        <v>288</v>
      </c>
      <c r="F756" s="13" t="str">
        <v>3758</v>
      </c>
      <c r="G756" s="13" t="str">
        <v>38</v>
      </c>
      <c r="H756" s="13" t="str">
        <f>_xlfn.CONCAT(Sheet1!A756," --&gt; ",Sheet1!J756)</f>
        <v>288-38-3758 --&gt; 267.3405</v>
      </c>
      <c r="I756" s="13" t="str">
        <f>_xlfn.CONCAT(Sheet1!C756,"_",TEXT(Sheet1!K756, "m/d/yyyy"))</f>
        <v>Naypyitaw_1/25/2019</v>
      </c>
      <c r="J756" s="13" t="str">
        <f>IF(Sheet1!I756=Sheet1!N756*0.05,"Valid","Error")</f>
        <v>Valid</v>
      </c>
      <c r="K756" s="13" t="str">
        <f>IF(Sheet1!N756=Sheet1!G756*Sheet1!H756,"True","False")</f>
        <v>True</v>
      </c>
      <c r="L756" s="13" t="b">
        <v>1</v>
      </c>
      <c r="M756" s="9" t="b">
        <f>ISNUMBER(Sheet1!J756)</f>
        <v>1</v>
      </c>
      <c r="N756" s="13" t="str">
        <f>IF(Sheet1!B756="A","Branch A",IF(Sheet1!B756="B","Branch B","Other Branch"))</f>
        <v>Other Branch</v>
      </c>
      <c r="O756" s="13" t="str">
        <f>IF(Sheet1!M756="Credit card","Credit Payment","Other")</f>
        <v>Other</v>
      </c>
      <c r="P756" s="13" t="str">
        <f>IF(Sheet1!O756&gt;7,"Yes","No")</f>
        <v>Yes</v>
      </c>
    </row>
    <row r="757" spans="5:16">
      <c r="E757" s="13" t="str">
        <v>652</v>
      </c>
      <c r="F757" s="13" t="str">
        <v>6591</v>
      </c>
      <c r="G757" s="13" t="str">
        <v>43</v>
      </c>
      <c r="H757" s="13" t="str">
        <f>_xlfn.CONCAT(Sheet1!A757," --&gt; ",Sheet1!J757)</f>
        <v>652-43-6591 --&gt; 817.236</v>
      </c>
      <c r="I757" s="13" t="str">
        <f>_xlfn.CONCAT(Sheet1!C757,"_",TEXT(Sheet1!K757, "m/d/yyyy"))</f>
        <v>Yangon_3/9/2019</v>
      </c>
      <c r="J757" s="13" t="str">
        <f>IF(Sheet1!I757=Sheet1!N757*0.05,"Valid","Error")</f>
        <v>Valid</v>
      </c>
      <c r="K757" s="13" t="str">
        <f>IF(Sheet1!N757=Sheet1!G757*Sheet1!H757,"True","False")</f>
        <v>True</v>
      </c>
      <c r="L757" s="13" t="b">
        <v>1</v>
      </c>
      <c r="M757" s="9" t="b">
        <f>ISNUMBER(Sheet1!J757)</f>
        <v>1</v>
      </c>
      <c r="N757" s="13" t="str">
        <f>IF(Sheet1!B757="A","Branch A",IF(Sheet1!B757="B","Branch B","Other Branch"))</f>
        <v>Branch A</v>
      </c>
      <c r="O757" s="13" t="str">
        <f>IF(Sheet1!M757="Credit card","Credit Payment","Other")</f>
        <v>Credit Payment</v>
      </c>
      <c r="P757" s="13" t="str">
        <f>IF(Sheet1!O757&gt;7,"Yes","No")</f>
        <v>No</v>
      </c>
    </row>
    <row r="758" spans="5:16">
      <c r="E758" s="13" t="str">
        <v>785</v>
      </c>
      <c r="F758" s="13" t="str">
        <v>0615</v>
      </c>
      <c r="G758" s="13" t="str">
        <v>96</v>
      </c>
      <c r="H758" s="13" t="str">
        <f>_xlfn.CONCAT(Sheet1!A758," --&gt; ",Sheet1!J758)</f>
        <v>785-96-0615 --&gt; 300.216</v>
      </c>
      <c r="I758" s="13" t="str">
        <f>_xlfn.CONCAT(Sheet1!C758,"_",TEXT(Sheet1!K758, "m/d/yyyy"))</f>
        <v>Mandalay_2/17/2019</v>
      </c>
      <c r="J758" s="13" t="str">
        <f>IF(Sheet1!I758=Sheet1!N758*0.05,"Valid","Error")</f>
        <v>Valid</v>
      </c>
      <c r="K758" s="13" t="str">
        <f>IF(Sheet1!N758=Sheet1!G758*Sheet1!H758,"True","False")</f>
        <v>True</v>
      </c>
      <c r="L758" s="13" t="b">
        <v>1</v>
      </c>
      <c r="M758" s="9" t="b">
        <f>ISNUMBER(Sheet1!J758)</f>
        <v>1</v>
      </c>
      <c r="N758" s="13" t="str">
        <f>IF(Sheet1!B758="A","Branch A",IF(Sheet1!B758="B","Branch B","Other Branch"))</f>
        <v>Branch B</v>
      </c>
      <c r="O758" s="13" t="str">
        <f>IF(Sheet1!M758="Credit card","Credit Payment","Other")</f>
        <v>Other</v>
      </c>
      <c r="P758" s="13" t="str">
        <f>IF(Sheet1!O758&gt;7,"Yes","No")</f>
        <v>No</v>
      </c>
    </row>
    <row r="759" spans="5:16">
      <c r="E759" s="13" t="str">
        <v>406</v>
      </c>
      <c r="F759" s="13" t="str">
        <v>7107</v>
      </c>
      <c r="G759" s="13" t="str">
        <v>46</v>
      </c>
      <c r="H759" s="13" t="str">
        <f>_xlfn.CONCAT(Sheet1!A759," --&gt; ",Sheet1!J759)</f>
        <v>406-46-7107 --&gt; 608.076</v>
      </c>
      <c r="I759" s="13" t="str">
        <f>_xlfn.CONCAT(Sheet1!C759,"_",TEXT(Sheet1!K759, "m/d/yyyy"))</f>
        <v>Yangon_1/11/2019</v>
      </c>
      <c r="J759" s="13" t="str">
        <f>IF(Sheet1!I759=Sheet1!N759*0.05,"Valid","Error")</f>
        <v>Valid</v>
      </c>
      <c r="K759" s="13" t="str">
        <f>IF(Sheet1!N759=Sheet1!G759*Sheet1!H759,"True","False")</f>
        <v>True</v>
      </c>
      <c r="L759" s="13" t="b">
        <v>1</v>
      </c>
      <c r="M759" s="9" t="b">
        <f>ISNUMBER(Sheet1!J759)</f>
        <v>1</v>
      </c>
      <c r="N759" s="13" t="str">
        <f>IF(Sheet1!B759="A","Branch A",IF(Sheet1!B759="B","Branch B","Other Branch"))</f>
        <v>Branch A</v>
      </c>
      <c r="O759" s="13" t="str">
        <f>IF(Sheet1!M759="Credit card","Credit Payment","Other")</f>
        <v>Other</v>
      </c>
      <c r="P759" s="13" t="str">
        <f>IF(Sheet1!O759&gt;7,"Yes","No")</f>
        <v>No</v>
      </c>
    </row>
    <row r="760" spans="5:16">
      <c r="E760" s="13" t="str">
        <v>250</v>
      </c>
      <c r="F760" s="13" t="str">
        <v>5703</v>
      </c>
      <c r="G760" s="13" t="str">
        <v>17</v>
      </c>
      <c r="H760" s="13" t="str">
        <f>_xlfn.CONCAT(Sheet1!A760," --&gt; ",Sheet1!J760)</f>
        <v>250-17-5703 --&gt; 197.925</v>
      </c>
      <c r="I760" s="13" t="str">
        <f>_xlfn.CONCAT(Sheet1!C760,"_",TEXT(Sheet1!K760, "m/d/yyyy"))</f>
        <v>Yangon_2/27/2019</v>
      </c>
      <c r="J760" s="13" t="str">
        <f>IF(Sheet1!I760=Sheet1!N760*0.05,"Valid","Error")</f>
        <v>Valid</v>
      </c>
      <c r="K760" s="13" t="str">
        <f>IF(Sheet1!N760=Sheet1!G760*Sheet1!H760,"True","False")</f>
        <v>True</v>
      </c>
      <c r="L760" s="13" t="b">
        <v>1</v>
      </c>
      <c r="M760" s="9" t="b">
        <f>ISNUMBER(Sheet1!J760)</f>
        <v>1</v>
      </c>
      <c r="N760" s="13" t="str">
        <f>IF(Sheet1!B760="A","Branch A",IF(Sheet1!B760="B","Branch B","Other Branch"))</f>
        <v>Branch A</v>
      </c>
      <c r="O760" s="13" t="str">
        <f>IF(Sheet1!M760="Credit card","Credit Payment","Other")</f>
        <v>Other</v>
      </c>
      <c r="P760" s="13" t="str">
        <f>IF(Sheet1!O760&gt;7,"Yes","No")</f>
        <v>No</v>
      </c>
    </row>
    <row r="761" spans="5:16">
      <c r="E761" s="13" t="str">
        <v>156</v>
      </c>
      <c r="F761" s="13" t="str">
        <v>3964</v>
      </c>
      <c r="G761" s="13" t="str">
        <v>95</v>
      </c>
      <c r="H761" s="13" t="str">
        <f>_xlfn.CONCAT(Sheet1!A761," --&gt; ",Sheet1!J761)</f>
        <v>156-95-3964 --&gt; 232.638</v>
      </c>
      <c r="I761" s="13" t="str">
        <f>_xlfn.CONCAT(Sheet1!C761,"_",TEXT(Sheet1!K761, "m/d/yyyy"))</f>
        <v>Yangon_3/25/2019</v>
      </c>
      <c r="J761" s="13" t="str">
        <f>IF(Sheet1!I761=Sheet1!N761*0.05,"Valid","Error")</f>
        <v>Valid</v>
      </c>
      <c r="K761" s="13" t="str">
        <f>IF(Sheet1!N761=Sheet1!G761*Sheet1!H761,"True","False")</f>
        <v>True</v>
      </c>
      <c r="L761" s="13" t="b">
        <v>1</v>
      </c>
      <c r="M761" s="9" t="b">
        <f>ISNUMBER(Sheet1!J761)</f>
        <v>1</v>
      </c>
      <c r="N761" s="13" t="str">
        <f>IF(Sheet1!B761="A","Branch A",IF(Sheet1!B761="B","Branch B","Other Branch"))</f>
        <v>Branch A</v>
      </c>
      <c r="O761" s="13" t="str">
        <f>IF(Sheet1!M761="Credit card","Credit Payment","Other")</f>
        <v>Other</v>
      </c>
      <c r="P761" s="13" t="str">
        <f>IF(Sheet1!O761&gt;7,"Yes","No")</f>
        <v>Yes</v>
      </c>
    </row>
    <row r="762" spans="5:16">
      <c r="E762" s="13" t="str">
        <v>842</v>
      </c>
      <c r="F762" s="13" t="str">
        <v>8179</v>
      </c>
      <c r="G762" s="13" t="str">
        <v>40</v>
      </c>
      <c r="H762" s="13" t="str">
        <f>_xlfn.CONCAT(Sheet1!A762," --&gt; ",Sheet1!J762)</f>
        <v>842-40-8179 --&gt; 810.6</v>
      </c>
      <c r="I762" s="13" t="str">
        <f>_xlfn.CONCAT(Sheet1!C762,"_",TEXT(Sheet1!K762, "m/d/yyyy"))</f>
        <v>Mandalay_2/11/2019</v>
      </c>
      <c r="J762" s="13" t="str">
        <f>IF(Sheet1!I762=Sheet1!N762*0.05,"Valid","Error")</f>
        <v>Valid</v>
      </c>
      <c r="K762" s="13" t="str">
        <f>IF(Sheet1!N762=Sheet1!G762*Sheet1!H762,"True","False")</f>
        <v>True</v>
      </c>
      <c r="L762" s="13" t="b">
        <v>1</v>
      </c>
      <c r="M762" s="9" t="b">
        <f>ISNUMBER(Sheet1!J762)</f>
        <v>1</v>
      </c>
      <c r="N762" s="13" t="str">
        <f>IF(Sheet1!B762="A","Branch A",IF(Sheet1!B762="B","Branch B","Other Branch"))</f>
        <v>Branch B</v>
      </c>
      <c r="O762" s="13" t="str">
        <f>IF(Sheet1!M762="Credit card","Credit Payment","Other")</f>
        <v>Credit Payment</v>
      </c>
      <c r="P762" s="13" t="str">
        <f>IF(Sheet1!O762&gt;7,"Yes","No")</f>
        <v>No</v>
      </c>
    </row>
    <row r="763" spans="5:16">
      <c r="E763" s="13" t="str">
        <v>525</v>
      </c>
      <c r="F763" s="13" t="str">
        <v>8450</v>
      </c>
      <c r="G763" s="13" t="str">
        <v>09</v>
      </c>
      <c r="H763" s="13" t="str">
        <f>_xlfn.CONCAT(Sheet1!A763," --&gt; ",Sheet1!J763)</f>
        <v>525-09-8450 --&gt; 757.365</v>
      </c>
      <c r="I763" s="13" t="str">
        <f>_xlfn.CONCAT(Sheet1!C763,"_",TEXT(Sheet1!K763, "m/d/yyyy"))</f>
        <v>Mandalay_1/31/2019</v>
      </c>
      <c r="J763" s="13" t="str">
        <f>IF(Sheet1!I763=Sheet1!N763*0.05,"Valid","Error")</f>
        <v>Valid</v>
      </c>
      <c r="K763" s="13" t="str">
        <f>IF(Sheet1!N763=Sheet1!G763*Sheet1!H763,"True","False")</f>
        <v>True</v>
      </c>
      <c r="L763" s="13" t="b">
        <v>1</v>
      </c>
      <c r="M763" s="9" t="b">
        <f>ISNUMBER(Sheet1!J763)</f>
        <v>1</v>
      </c>
      <c r="N763" s="13" t="str">
        <f>IF(Sheet1!B763="A","Branch A",IF(Sheet1!B763="B","Branch B","Other Branch"))</f>
        <v>Branch B</v>
      </c>
      <c r="O763" s="13" t="str">
        <f>IF(Sheet1!M763="Credit card","Credit Payment","Other")</f>
        <v>Credit Payment</v>
      </c>
      <c r="P763" s="13" t="str">
        <f>IF(Sheet1!O763&gt;7,"Yes","No")</f>
        <v>No</v>
      </c>
    </row>
    <row r="764" spans="5:16">
      <c r="E764" s="13" t="str">
        <v>410</v>
      </c>
      <c r="F764" s="13" t="str">
        <v>1709</v>
      </c>
      <c r="G764" s="13" t="str">
        <v>67</v>
      </c>
      <c r="H764" s="13" t="str">
        <f>_xlfn.CONCAT(Sheet1!A764," --&gt; ",Sheet1!J764)</f>
        <v>410-67-1709 --&gt; 536.592</v>
      </c>
      <c r="I764" s="13" t="str">
        <f>_xlfn.CONCAT(Sheet1!C764,"_",TEXT(Sheet1!K764, "m/d/yyyy"))</f>
        <v>Yangon_1/20/2019</v>
      </c>
      <c r="J764" s="13" t="str">
        <f>IF(Sheet1!I764=Sheet1!N764*0.05,"Valid","Error")</f>
        <v>Valid</v>
      </c>
      <c r="K764" s="13" t="str">
        <f>IF(Sheet1!N764=Sheet1!G764*Sheet1!H764,"True","False")</f>
        <v>True</v>
      </c>
      <c r="L764" s="13" t="b">
        <v>1</v>
      </c>
      <c r="M764" s="9" t="b">
        <f>ISNUMBER(Sheet1!J764)</f>
        <v>1</v>
      </c>
      <c r="N764" s="13" t="str">
        <f>IF(Sheet1!B764="A","Branch A",IF(Sheet1!B764="B","Branch B","Other Branch"))</f>
        <v>Branch A</v>
      </c>
      <c r="O764" s="13" t="str">
        <f>IF(Sheet1!M764="Credit card","Credit Payment","Other")</f>
        <v>Other</v>
      </c>
      <c r="P764" s="13" t="str">
        <f>IF(Sheet1!O764&gt;7,"Yes","No")</f>
        <v>Yes</v>
      </c>
    </row>
    <row r="765" spans="5:16">
      <c r="E765" s="13" t="str">
        <v>587</v>
      </c>
      <c r="F765" s="13" t="str">
        <v>4862</v>
      </c>
      <c r="G765" s="13" t="str">
        <v>73</v>
      </c>
      <c r="H765" s="13" t="str">
        <f>_xlfn.CONCAT(Sheet1!A765," --&gt; ",Sheet1!J765)</f>
        <v>587-73-4862 --&gt; 56.1225</v>
      </c>
      <c r="I765" s="13" t="str">
        <f>_xlfn.CONCAT(Sheet1!C765,"_",TEXT(Sheet1!K765, "m/d/yyyy"))</f>
        <v>Yangon_3/26/2019</v>
      </c>
      <c r="J765" s="13" t="str">
        <f>IF(Sheet1!I765=Sheet1!N765*0.05,"Valid","Error")</f>
        <v>Valid</v>
      </c>
      <c r="K765" s="13" t="str">
        <f>IF(Sheet1!N765=Sheet1!G765*Sheet1!H765,"True","False")</f>
        <v>True</v>
      </c>
      <c r="L765" s="13" t="b">
        <v>1</v>
      </c>
      <c r="M765" s="9" t="b">
        <f>ISNUMBER(Sheet1!J765)</f>
        <v>1</v>
      </c>
      <c r="N765" s="13" t="str">
        <f>IF(Sheet1!B765="A","Branch A",IF(Sheet1!B765="B","Branch B","Other Branch"))</f>
        <v>Branch A</v>
      </c>
      <c r="O765" s="13" t="str">
        <f>IF(Sheet1!M765="Credit card","Credit Payment","Other")</f>
        <v>Other</v>
      </c>
      <c r="P765" s="13" t="str">
        <f>IF(Sheet1!O765&gt;7,"Yes","No")</f>
        <v>Yes</v>
      </c>
    </row>
    <row r="766" spans="5:16">
      <c r="E766" s="13" t="str">
        <v>787</v>
      </c>
      <c r="F766" s="13" t="str">
        <v>2010</v>
      </c>
      <c r="G766" s="13" t="str">
        <v>87</v>
      </c>
      <c r="H766" s="13" t="str">
        <f>_xlfn.CONCAT(Sheet1!A766," --&gt; ",Sheet1!J766)</f>
        <v>787-87-2010 --&gt; 233.1</v>
      </c>
      <c r="I766" s="13" t="str">
        <f>_xlfn.CONCAT(Sheet1!C766,"_",TEXT(Sheet1!K766, "m/d/yyyy"))</f>
        <v>Yangon_1/20/2019</v>
      </c>
      <c r="J766" s="13" t="str">
        <f>IF(Sheet1!I766=Sheet1!N766*0.05,"Valid","Error")</f>
        <v>Valid</v>
      </c>
      <c r="K766" s="13" t="str">
        <f>IF(Sheet1!N766=Sheet1!G766*Sheet1!H766,"True","False")</f>
        <v>True</v>
      </c>
      <c r="L766" s="13" t="b">
        <v>1</v>
      </c>
      <c r="M766" s="9" t="b">
        <f>ISNUMBER(Sheet1!J766)</f>
        <v>1</v>
      </c>
      <c r="N766" s="13" t="str">
        <f>IF(Sheet1!B766="A","Branch A",IF(Sheet1!B766="B","Branch B","Other Branch"))</f>
        <v>Branch A</v>
      </c>
      <c r="O766" s="13" t="str">
        <f>IF(Sheet1!M766="Credit card","Credit Payment","Other")</f>
        <v>Credit Payment</v>
      </c>
      <c r="P766" s="13" t="str">
        <f>IF(Sheet1!O766&gt;7,"Yes","No")</f>
        <v>No</v>
      </c>
    </row>
    <row r="767" spans="5:16">
      <c r="E767" s="13" t="str">
        <v>593</v>
      </c>
      <c r="F767" s="13" t="str">
        <v>4239</v>
      </c>
      <c r="G767" s="13" t="str">
        <v>14</v>
      </c>
      <c r="H767" s="13" t="str">
        <f>_xlfn.CONCAT(Sheet1!A767," --&gt; ",Sheet1!J767)</f>
        <v>593-14-4239 --&gt; 801.864</v>
      </c>
      <c r="I767" s="13" t="str">
        <f>_xlfn.CONCAT(Sheet1!C767,"_",TEXT(Sheet1!K767, "m/d/yyyy"))</f>
        <v>Mandalay_3/5/2019</v>
      </c>
      <c r="J767" s="13" t="str">
        <f>IF(Sheet1!I767=Sheet1!N767*0.05,"Valid","Error")</f>
        <v>Valid</v>
      </c>
      <c r="K767" s="13" t="str">
        <f>IF(Sheet1!N767=Sheet1!G767*Sheet1!H767,"True","False")</f>
        <v>True</v>
      </c>
      <c r="L767" s="13" t="b">
        <v>1</v>
      </c>
      <c r="M767" s="9" t="b">
        <f>ISNUMBER(Sheet1!J767)</f>
        <v>1</v>
      </c>
      <c r="N767" s="13" t="str">
        <f>IF(Sheet1!B767="A","Branch A",IF(Sheet1!B767="B","Branch B","Other Branch"))</f>
        <v>Branch B</v>
      </c>
      <c r="O767" s="13" t="str">
        <f>IF(Sheet1!M767="Credit card","Credit Payment","Other")</f>
        <v>Other</v>
      </c>
      <c r="P767" s="13" t="str">
        <f>IF(Sheet1!O767&gt;7,"Yes","No")</f>
        <v>No</v>
      </c>
    </row>
    <row r="768" spans="5:16">
      <c r="E768" s="13" t="str">
        <v>801</v>
      </c>
      <c r="F768" s="13" t="str">
        <v>0346</v>
      </c>
      <c r="G768" s="13" t="str">
        <v>88</v>
      </c>
      <c r="H768" s="13" t="str">
        <f>_xlfn.CONCAT(Sheet1!A768," --&gt; ",Sheet1!J768)</f>
        <v>801-88-0346 --&gt; 239.589</v>
      </c>
      <c r="I768" s="13" t="str">
        <f>_xlfn.CONCAT(Sheet1!C768,"_",TEXT(Sheet1!K768, "m/d/yyyy"))</f>
        <v>Naypyitaw_1/5/2019</v>
      </c>
      <c r="J768" s="13" t="str">
        <f>IF(Sheet1!I768=Sheet1!N768*0.05,"Valid","Error")</f>
        <v>Valid</v>
      </c>
      <c r="K768" s="13" t="str">
        <f>IF(Sheet1!N768=Sheet1!G768*Sheet1!H768,"True","False")</f>
        <v>True</v>
      </c>
      <c r="L768" s="13" t="b">
        <v>1</v>
      </c>
      <c r="M768" s="9" t="b">
        <f>ISNUMBER(Sheet1!J768)</f>
        <v>1</v>
      </c>
      <c r="N768" s="13" t="str">
        <f>IF(Sheet1!B768="A","Branch A",IF(Sheet1!B768="B","Branch B","Other Branch"))</f>
        <v>Other Branch</v>
      </c>
      <c r="O768" s="13" t="str">
        <f>IF(Sheet1!M768="Credit card","Credit Payment","Other")</f>
        <v>Credit Payment</v>
      </c>
      <c r="P768" s="13" t="str">
        <f>IF(Sheet1!O768&gt;7,"Yes","No")</f>
        <v>Yes</v>
      </c>
    </row>
    <row r="769" spans="5:16">
      <c r="E769" s="13" t="str">
        <v>388</v>
      </c>
      <c r="F769" s="13" t="str">
        <v>2555</v>
      </c>
      <c r="G769" s="13" t="str">
        <v>76</v>
      </c>
      <c r="H769" s="13" t="str">
        <f>_xlfn.CONCAT(Sheet1!A769," --&gt; ",Sheet1!J769)</f>
        <v>388-76-2555 --&gt; 86.247</v>
      </c>
      <c r="I769" s="13" t="str">
        <f>_xlfn.CONCAT(Sheet1!C769,"_",TEXT(Sheet1!K769, "m/d/yyyy"))</f>
        <v>Mandalay_2/13/2019</v>
      </c>
      <c r="J769" s="13" t="str">
        <f>IF(Sheet1!I769=Sheet1!N769*0.05,"Valid","Error")</f>
        <v>Valid</v>
      </c>
      <c r="K769" s="13" t="str">
        <f>IF(Sheet1!N769=Sheet1!G769*Sheet1!H769,"True","False")</f>
        <v>True</v>
      </c>
      <c r="L769" s="13" t="b">
        <v>1</v>
      </c>
      <c r="M769" s="9" t="b">
        <f>ISNUMBER(Sheet1!J769)</f>
        <v>1</v>
      </c>
      <c r="N769" s="13" t="str">
        <f>IF(Sheet1!B769="A","Branch A",IF(Sheet1!B769="B","Branch B","Other Branch"))</f>
        <v>Branch B</v>
      </c>
      <c r="O769" s="13" t="str">
        <f>IF(Sheet1!M769="Credit card","Credit Payment","Other")</f>
        <v>Other</v>
      </c>
      <c r="P769" s="13" t="str">
        <f>IF(Sheet1!O769&gt;7,"Yes","No")</f>
        <v>No</v>
      </c>
    </row>
    <row r="770" spans="5:16">
      <c r="E770" s="13" t="str">
        <v>711</v>
      </c>
      <c r="F770" s="13" t="str">
        <v>1234</v>
      </c>
      <c r="G770" s="13" t="str">
        <v>31</v>
      </c>
      <c r="H770" s="13" t="str">
        <f>_xlfn.CONCAT(Sheet1!A770," --&gt; ",Sheet1!J770)</f>
        <v>711-31-1234 --&gt; 401.688</v>
      </c>
      <c r="I770" s="13" t="str">
        <f>_xlfn.CONCAT(Sheet1!C770,"_",TEXT(Sheet1!K770, "m/d/yyyy"))</f>
        <v>Mandalay_3/16/2019</v>
      </c>
      <c r="J770" s="13" t="str">
        <f>IF(Sheet1!I770=Sheet1!N770*0.05,"Valid","Error")</f>
        <v>Valid</v>
      </c>
      <c r="K770" s="13" t="str">
        <f>IF(Sheet1!N770=Sheet1!G770*Sheet1!H770,"True","False")</f>
        <v>True</v>
      </c>
      <c r="L770" s="13" t="b">
        <v>1</v>
      </c>
      <c r="M770" s="9" t="b">
        <f>ISNUMBER(Sheet1!J770)</f>
        <v>1</v>
      </c>
      <c r="N770" s="13" t="str">
        <f>IF(Sheet1!B770="A","Branch A",IF(Sheet1!B770="B","Branch B","Other Branch"))</f>
        <v>Branch B</v>
      </c>
      <c r="O770" s="13" t="str">
        <f>IF(Sheet1!M770="Credit card","Credit Payment","Other")</f>
        <v>Other</v>
      </c>
      <c r="P770" s="13" t="str">
        <f>IF(Sheet1!O770&gt;7,"Yes","No")</f>
        <v>Yes</v>
      </c>
    </row>
    <row r="771" spans="5:16">
      <c r="E771" s="13" t="str">
        <v>886</v>
      </c>
      <c r="F771" s="13" t="str">
        <v>6089</v>
      </c>
      <c r="G771" s="13" t="str">
        <v>54</v>
      </c>
      <c r="H771" s="13" t="str">
        <f>_xlfn.CONCAT(Sheet1!A771," --&gt; ",Sheet1!J771)</f>
        <v>886-54-6089 --&gt; 72.009</v>
      </c>
      <c r="I771" s="13" t="str">
        <f>_xlfn.CONCAT(Sheet1!C771,"_",TEXT(Sheet1!K771, "m/d/yyyy"))</f>
        <v>Yangon_1/15/2019</v>
      </c>
      <c r="J771" s="13" t="str">
        <f>IF(Sheet1!I771=Sheet1!N771*0.05,"Valid","Error")</f>
        <v>Valid</v>
      </c>
      <c r="K771" s="13" t="str">
        <f>IF(Sheet1!N771=Sheet1!G771*Sheet1!H771,"True","False")</f>
        <v>True</v>
      </c>
      <c r="L771" s="13" t="b">
        <v>1</v>
      </c>
      <c r="M771" s="9" t="b">
        <f>ISNUMBER(Sheet1!J771)</f>
        <v>1</v>
      </c>
      <c r="N771" s="13" t="str">
        <f>IF(Sheet1!B771="A","Branch A",IF(Sheet1!B771="B","Branch B","Other Branch"))</f>
        <v>Branch A</v>
      </c>
      <c r="O771" s="13" t="str">
        <f>IF(Sheet1!M771="Credit card","Credit Payment","Other")</f>
        <v>Other</v>
      </c>
      <c r="P771" s="13" t="str">
        <f>IF(Sheet1!O771&gt;7,"Yes","No")</f>
        <v>Yes</v>
      </c>
    </row>
    <row r="772" spans="5:16">
      <c r="E772" s="13" t="str">
        <v>707</v>
      </c>
      <c r="F772" s="13" t="str">
        <v>7409</v>
      </c>
      <c r="G772" s="13" t="str">
        <v>32</v>
      </c>
      <c r="H772" s="13" t="str">
        <f>_xlfn.CONCAT(Sheet1!A772," --&gt; ",Sheet1!J772)</f>
        <v>707-32-7409 --&gt; 401.268</v>
      </c>
      <c r="I772" s="13" t="str">
        <f>_xlfn.CONCAT(Sheet1!C772,"_",TEXT(Sheet1!K772, "m/d/yyyy"))</f>
        <v>Mandalay_2/26/2019</v>
      </c>
      <c r="J772" s="13" t="str">
        <f>IF(Sheet1!I772=Sheet1!N772*0.05,"Valid","Error")</f>
        <v>Valid</v>
      </c>
      <c r="K772" s="13" t="str">
        <f>IF(Sheet1!N772=Sheet1!G772*Sheet1!H772,"True","False")</f>
        <v>True</v>
      </c>
      <c r="L772" s="13" t="b">
        <v>1</v>
      </c>
      <c r="M772" s="9" t="b">
        <f>ISNUMBER(Sheet1!J772)</f>
        <v>1</v>
      </c>
      <c r="N772" s="13" t="str">
        <f>IF(Sheet1!B772="A","Branch A",IF(Sheet1!B772="B","Branch B","Other Branch"))</f>
        <v>Branch B</v>
      </c>
      <c r="O772" s="13" t="str">
        <f>IF(Sheet1!M772="Credit card","Credit Payment","Other")</f>
        <v>Other</v>
      </c>
      <c r="P772" s="13" t="str">
        <f>IF(Sheet1!O772&gt;7,"Yes","No")</f>
        <v>No</v>
      </c>
    </row>
    <row r="773" spans="5:16">
      <c r="E773" s="13" t="str">
        <v>759</v>
      </c>
      <c r="F773" s="13" t="str">
        <v>4285</v>
      </c>
      <c r="G773" s="13" t="str">
        <v>98</v>
      </c>
      <c r="H773" s="13" t="str">
        <f>_xlfn.CONCAT(Sheet1!A773," --&gt; ",Sheet1!J773)</f>
        <v>759-98-4285 --&gt; 631.1445</v>
      </c>
      <c r="I773" s="13" t="str">
        <f>_xlfn.CONCAT(Sheet1!C773,"_",TEXT(Sheet1!K773, "m/d/yyyy"))</f>
        <v>Naypyitaw_2/27/2019</v>
      </c>
      <c r="J773" s="13" t="str">
        <f>IF(Sheet1!I773=Sheet1!N773*0.05,"Valid","Error")</f>
        <v>Valid</v>
      </c>
      <c r="K773" s="13" t="str">
        <f>IF(Sheet1!N773=Sheet1!G773*Sheet1!H773,"True","False")</f>
        <v>True</v>
      </c>
      <c r="L773" s="13" t="b">
        <v>1</v>
      </c>
      <c r="M773" s="9" t="b">
        <f>ISNUMBER(Sheet1!J773)</f>
        <v>1</v>
      </c>
      <c r="N773" s="13" t="str">
        <f>IF(Sheet1!B773="A","Branch A",IF(Sheet1!B773="B","Branch B","Other Branch"))</f>
        <v>Other Branch</v>
      </c>
      <c r="O773" s="13" t="str">
        <f>IF(Sheet1!M773="Credit card","Credit Payment","Other")</f>
        <v>Credit Payment</v>
      </c>
      <c r="P773" s="13" t="str">
        <f>IF(Sheet1!O773&gt;7,"Yes","No")</f>
        <v>Yes</v>
      </c>
    </row>
    <row r="774" spans="5:16">
      <c r="E774" s="13" t="str">
        <v>201</v>
      </c>
      <c r="F774" s="13" t="str">
        <v>8275</v>
      </c>
      <c r="G774" s="13" t="str">
        <v>63</v>
      </c>
      <c r="H774" s="13" t="str">
        <f>_xlfn.CONCAT(Sheet1!A774," --&gt; ",Sheet1!J774)</f>
        <v>201-63-8275 --&gt; 499.7265</v>
      </c>
      <c r="I774" s="13" t="str">
        <f>_xlfn.CONCAT(Sheet1!C774,"_",TEXT(Sheet1!K774, "m/d/yyyy"))</f>
        <v>Naypyitaw_2/17/2019</v>
      </c>
      <c r="J774" s="13" t="str">
        <f>IF(Sheet1!I774=Sheet1!N774*0.05,"Valid","Error")</f>
        <v>Valid</v>
      </c>
      <c r="K774" s="13" t="str">
        <f>IF(Sheet1!N774=Sheet1!G774*Sheet1!H774,"True","False")</f>
        <v>True</v>
      </c>
      <c r="L774" s="13" t="b">
        <v>1</v>
      </c>
      <c r="M774" s="9" t="b">
        <f>ISNUMBER(Sheet1!J774)</f>
        <v>1</v>
      </c>
      <c r="N774" s="13" t="str">
        <f>IF(Sheet1!B774="A","Branch A",IF(Sheet1!B774="B","Branch B","Other Branch"))</f>
        <v>Other Branch</v>
      </c>
      <c r="O774" s="13" t="str">
        <f>IF(Sheet1!M774="Credit card","Credit Payment","Other")</f>
        <v>Other</v>
      </c>
      <c r="P774" s="13" t="str">
        <f>IF(Sheet1!O774&gt;7,"Yes","No")</f>
        <v>No</v>
      </c>
    </row>
    <row r="775" spans="5:16">
      <c r="E775" s="13" t="str">
        <v>471</v>
      </c>
      <c r="F775" s="13" t="str">
        <v>8611</v>
      </c>
      <c r="G775" s="13" t="str">
        <v>06</v>
      </c>
      <c r="H775" s="13" t="str">
        <f>_xlfn.CONCAT(Sheet1!A775," --&gt; ",Sheet1!J775)</f>
        <v>471-06-8611 --&gt; 55.041</v>
      </c>
      <c r="I775" s="13" t="str">
        <f>_xlfn.CONCAT(Sheet1!C775,"_",TEXT(Sheet1!K775, "m/d/yyyy"))</f>
        <v>Naypyitaw_2/6/2019</v>
      </c>
      <c r="J775" s="13" t="str">
        <f>IF(Sheet1!I775=Sheet1!N775*0.05,"Valid","Error")</f>
        <v>Valid</v>
      </c>
      <c r="K775" s="13" t="str">
        <f>IF(Sheet1!N775=Sheet1!G775*Sheet1!H775,"True","False")</f>
        <v>True</v>
      </c>
      <c r="L775" s="13" t="b">
        <v>1</v>
      </c>
      <c r="M775" s="9" t="b">
        <f>ISNUMBER(Sheet1!J775)</f>
        <v>1</v>
      </c>
      <c r="N775" s="13" t="str">
        <f>IF(Sheet1!B775="A","Branch A",IF(Sheet1!B775="B","Branch B","Other Branch"))</f>
        <v>Other Branch</v>
      </c>
      <c r="O775" s="13" t="str">
        <f>IF(Sheet1!M775="Credit card","Credit Payment","Other")</f>
        <v>Credit Payment</v>
      </c>
      <c r="P775" s="13" t="str">
        <f>IF(Sheet1!O775&gt;7,"Yes","No")</f>
        <v>No</v>
      </c>
    </row>
    <row r="776" spans="5:16">
      <c r="E776" s="13" t="str">
        <v>200</v>
      </c>
      <c r="F776" s="13" t="str">
        <v>5952</v>
      </c>
      <c r="G776" s="13" t="str">
        <v>16</v>
      </c>
      <c r="H776" s="13" t="str">
        <f>_xlfn.CONCAT(Sheet1!A776," --&gt; ",Sheet1!J776)</f>
        <v>200-16-5952 --&gt; 137.865</v>
      </c>
      <c r="I776" s="13" t="str">
        <f>_xlfn.CONCAT(Sheet1!C776,"_",TEXT(Sheet1!K776, "m/d/yyyy"))</f>
        <v>Naypyitaw_1/17/2019</v>
      </c>
      <c r="J776" s="13" t="str">
        <f>IF(Sheet1!I776=Sheet1!N776*0.05,"Valid","Error")</f>
        <v>Valid</v>
      </c>
      <c r="K776" s="13" t="str">
        <f>IF(Sheet1!N776=Sheet1!G776*Sheet1!H776,"True","False")</f>
        <v>True</v>
      </c>
      <c r="L776" s="13" t="b">
        <v>1</v>
      </c>
      <c r="M776" s="9" t="b">
        <f>ISNUMBER(Sheet1!J776)</f>
        <v>1</v>
      </c>
      <c r="N776" s="13" t="str">
        <f>IF(Sheet1!B776="A","Branch A",IF(Sheet1!B776="B","Branch B","Other Branch"))</f>
        <v>Other Branch</v>
      </c>
      <c r="O776" s="13" t="str">
        <f>IF(Sheet1!M776="Credit card","Credit Payment","Other")</f>
        <v>Other</v>
      </c>
      <c r="P776" s="13" t="str">
        <f>IF(Sheet1!O776&gt;7,"Yes","No")</f>
        <v>No</v>
      </c>
    </row>
    <row r="777" spans="5:16">
      <c r="E777" s="13" t="str">
        <v>120</v>
      </c>
      <c r="F777" s="13" t="str">
        <v>2248</v>
      </c>
      <c r="G777" s="13" t="str">
        <v>54</v>
      </c>
      <c r="H777" s="13" t="str">
        <f>_xlfn.CONCAT(Sheet1!A777," --&gt; ",Sheet1!J777)</f>
        <v>120-54-2248 --&gt; 151.515</v>
      </c>
      <c r="I777" s="13" t="str">
        <f>_xlfn.CONCAT(Sheet1!C777,"_",TEXT(Sheet1!K777, "m/d/yyyy"))</f>
        <v>Mandalay_1/22/2019</v>
      </c>
      <c r="J777" s="13" t="str">
        <f>IF(Sheet1!I777=Sheet1!N777*0.05,"Valid","Error")</f>
        <v>Valid</v>
      </c>
      <c r="K777" s="13" t="str">
        <f>IF(Sheet1!N777=Sheet1!G777*Sheet1!H777,"True","False")</f>
        <v>True</v>
      </c>
      <c r="L777" s="13" t="b">
        <v>1</v>
      </c>
      <c r="M777" s="9" t="b">
        <f>ISNUMBER(Sheet1!J777)</f>
        <v>1</v>
      </c>
      <c r="N777" s="13" t="str">
        <f>IF(Sheet1!B777="A","Branch A",IF(Sheet1!B777="B","Branch B","Other Branch"))</f>
        <v>Branch B</v>
      </c>
      <c r="O777" s="13" t="str">
        <f>IF(Sheet1!M777="Credit card","Credit Payment","Other")</f>
        <v>Credit Payment</v>
      </c>
      <c r="P777" s="13" t="str">
        <f>IF(Sheet1!O777&gt;7,"Yes","No")</f>
        <v>Yes</v>
      </c>
    </row>
    <row r="778" spans="5:16">
      <c r="E778" s="13" t="str">
        <v>102</v>
      </c>
      <c r="F778" s="13" t="str">
        <v>2261</v>
      </c>
      <c r="G778" s="13" t="str">
        <v>77</v>
      </c>
      <c r="H778" s="13" t="str">
        <f>_xlfn.CONCAT(Sheet1!A778," --&gt; ",Sheet1!J778)</f>
        <v>102-77-2261 --&gt; 480.0285</v>
      </c>
      <c r="I778" s="13" t="str">
        <f>_xlfn.CONCAT(Sheet1!C778,"_",TEXT(Sheet1!K778, "m/d/yyyy"))</f>
        <v>Naypyitaw_3/5/2019</v>
      </c>
      <c r="J778" s="13" t="str">
        <f>IF(Sheet1!I778=Sheet1!N778*0.05,"Valid","Error")</f>
        <v>Valid</v>
      </c>
      <c r="K778" s="13" t="str">
        <f>IF(Sheet1!N778=Sheet1!G778*Sheet1!H778,"True","False")</f>
        <v>True</v>
      </c>
      <c r="L778" s="13" t="b">
        <v>1</v>
      </c>
      <c r="M778" s="9" t="b">
        <f>ISNUMBER(Sheet1!J778)</f>
        <v>1</v>
      </c>
      <c r="N778" s="13" t="str">
        <f>IF(Sheet1!B778="A","Branch A",IF(Sheet1!B778="B","Branch B","Other Branch"))</f>
        <v>Other Branch</v>
      </c>
      <c r="O778" s="13" t="str">
        <f>IF(Sheet1!M778="Credit card","Credit Payment","Other")</f>
        <v>Credit Payment</v>
      </c>
      <c r="P778" s="13" t="str">
        <f>IF(Sheet1!O778&gt;7,"Yes","No")</f>
        <v>No</v>
      </c>
    </row>
    <row r="779" spans="5:16">
      <c r="E779" s="13" t="str">
        <v>875</v>
      </c>
      <c r="F779" s="13" t="str">
        <v>8302</v>
      </c>
      <c r="G779" s="13" t="str">
        <v>31</v>
      </c>
      <c r="H779" s="13" t="str">
        <f>_xlfn.CONCAT(Sheet1!A779," --&gt; ",Sheet1!J779)</f>
        <v>875-31-8302 --&gt; 98.049</v>
      </c>
      <c r="I779" s="13" t="str">
        <f>_xlfn.CONCAT(Sheet1!C779,"_",TEXT(Sheet1!K779, "m/d/yyyy"))</f>
        <v>Mandalay_1/3/2019</v>
      </c>
      <c r="J779" s="13" t="str">
        <f>IF(Sheet1!I779=Sheet1!N779*0.05,"Valid","Error")</f>
        <v>Valid</v>
      </c>
      <c r="K779" s="13" t="str">
        <f>IF(Sheet1!N779=Sheet1!G779*Sheet1!H779,"True","False")</f>
        <v>True</v>
      </c>
      <c r="L779" s="13" t="b">
        <v>1</v>
      </c>
      <c r="M779" s="9" t="b">
        <f>ISNUMBER(Sheet1!J779)</f>
        <v>1</v>
      </c>
      <c r="N779" s="13" t="str">
        <f>IF(Sheet1!B779="A","Branch A",IF(Sheet1!B779="B","Branch B","Other Branch"))</f>
        <v>Branch B</v>
      </c>
      <c r="O779" s="13" t="str">
        <f>IF(Sheet1!M779="Credit card","Credit Payment","Other")</f>
        <v>Other</v>
      </c>
      <c r="P779" s="13" t="str">
        <f>IF(Sheet1!O779&gt;7,"Yes","No")</f>
        <v>Yes</v>
      </c>
    </row>
    <row r="780" spans="5:16">
      <c r="E780" s="13" t="str">
        <v>102</v>
      </c>
      <c r="F780" s="13" t="str">
        <v>2002</v>
      </c>
      <c r="G780" s="13" t="str">
        <v>06</v>
      </c>
      <c r="H780" s="13" t="str">
        <f>_xlfn.CONCAT(Sheet1!A780," --&gt; ",Sheet1!J780)</f>
        <v>102-06-2002 --&gt; 132.5625</v>
      </c>
      <c r="I780" s="13" t="str">
        <f>_xlfn.CONCAT(Sheet1!C780,"_",TEXT(Sheet1!K780, "m/d/yyyy"))</f>
        <v>Naypyitaw_3/20/2019</v>
      </c>
      <c r="J780" s="13" t="str">
        <f>IF(Sheet1!I780=Sheet1!N780*0.05,"Valid","Error")</f>
        <v>Valid</v>
      </c>
      <c r="K780" s="13" t="str">
        <f>IF(Sheet1!N780=Sheet1!G780*Sheet1!H780,"True","False")</f>
        <v>True</v>
      </c>
      <c r="L780" s="13" t="b">
        <v>1</v>
      </c>
      <c r="M780" s="9" t="b">
        <f>ISNUMBER(Sheet1!J780)</f>
        <v>1</v>
      </c>
      <c r="N780" s="13" t="str">
        <f>IF(Sheet1!B780="A","Branch A",IF(Sheet1!B780="B","Branch B","Other Branch"))</f>
        <v>Other Branch</v>
      </c>
      <c r="O780" s="13" t="str">
        <f>IF(Sheet1!M780="Credit card","Credit Payment","Other")</f>
        <v>Other</v>
      </c>
      <c r="P780" s="13" t="str">
        <f>IF(Sheet1!O780&gt;7,"Yes","No")</f>
        <v>No</v>
      </c>
    </row>
    <row r="781" spans="5:16">
      <c r="E781" s="13" t="str">
        <v>457</v>
      </c>
      <c r="F781" s="13" t="str">
        <v>0464</v>
      </c>
      <c r="G781" s="13" t="str">
        <v>94</v>
      </c>
      <c r="H781" s="13" t="str">
        <f>_xlfn.CONCAT(Sheet1!A781," --&gt; ",Sheet1!J781)</f>
        <v>457-94-0464 --&gt; 830.3715</v>
      </c>
      <c r="I781" s="13" t="str">
        <f>_xlfn.CONCAT(Sheet1!C781,"_",TEXT(Sheet1!K781, "m/d/yyyy"))</f>
        <v>Mandalay_1/31/2019</v>
      </c>
      <c r="J781" s="13" t="str">
        <f>IF(Sheet1!I781=Sheet1!N781*0.05,"Valid","Error")</f>
        <v>Valid</v>
      </c>
      <c r="K781" s="13" t="str">
        <f>IF(Sheet1!N781=Sheet1!G781*Sheet1!H781,"True","False")</f>
        <v>True</v>
      </c>
      <c r="L781" s="13" t="b">
        <v>1</v>
      </c>
      <c r="M781" s="9" t="b">
        <f>ISNUMBER(Sheet1!J781)</f>
        <v>1</v>
      </c>
      <c r="N781" s="13" t="str">
        <f>IF(Sheet1!B781="A","Branch A",IF(Sheet1!B781="B","Branch B","Other Branch"))</f>
        <v>Branch B</v>
      </c>
      <c r="O781" s="13" t="str">
        <f>IF(Sheet1!M781="Credit card","Credit Payment","Other")</f>
        <v>Other</v>
      </c>
      <c r="P781" s="13" t="str">
        <f>IF(Sheet1!O781&gt;7,"Yes","No")</f>
        <v>No</v>
      </c>
    </row>
    <row r="782" spans="5:16">
      <c r="E782" s="13" t="str">
        <v>629</v>
      </c>
      <c r="F782" s="13" t="str">
        <v>4133</v>
      </c>
      <c r="G782" s="13" t="str">
        <v>42</v>
      </c>
      <c r="H782" s="13" t="str">
        <f>_xlfn.CONCAT(Sheet1!A782," --&gt; ",Sheet1!J782)</f>
        <v>629-42-4133 --&gt; 183.12</v>
      </c>
      <c r="I782" s="13" t="str">
        <f>_xlfn.CONCAT(Sheet1!C782,"_",TEXT(Sheet1!K782, "m/d/yyyy"))</f>
        <v>Naypyitaw_2/19/2019</v>
      </c>
      <c r="J782" s="13" t="str">
        <f>IF(Sheet1!I782=Sheet1!N782*0.05,"Valid","Error")</f>
        <v>Valid</v>
      </c>
      <c r="K782" s="13" t="str">
        <f>IF(Sheet1!N782=Sheet1!G782*Sheet1!H782,"True","False")</f>
        <v>True</v>
      </c>
      <c r="L782" s="13" t="b">
        <v>1</v>
      </c>
      <c r="M782" s="9" t="b">
        <f>ISNUMBER(Sheet1!J782)</f>
        <v>1</v>
      </c>
      <c r="N782" s="13" t="str">
        <f>IF(Sheet1!B782="A","Branch A",IF(Sheet1!B782="B","Branch B","Other Branch"))</f>
        <v>Other Branch</v>
      </c>
      <c r="O782" s="13" t="str">
        <f>IF(Sheet1!M782="Credit card","Credit Payment","Other")</f>
        <v>Other</v>
      </c>
      <c r="P782" s="13" t="str">
        <f>IF(Sheet1!O782&gt;7,"Yes","No")</f>
        <v>Yes</v>
      </c>
    </row>
    <row r="783" spans="5:16">
      <c r="E783" s="13" t="str">
        <v>534</v>
      </c>
      <c r="F783" s="13" t="str">
        <v>3526</v>
      </c>
      <c r="G783" s="13" t="str">
        <v>53</v>
      </c>
      <c r="H783" s="13" t="str">
        <f>_xlfn.CONCAT(Sheet1!A783," --&gt; ",Sheet1!J783)</f>
        <v>534-53-3526 --&gt; 397.992</v>
      </c>
      <c r="I783" s="13" t="str">
        <f>_xlfn.CONCAT(Sheet1!C783,"_",TEXT(Sheet1!K783, "m/d/yyyy"))</f>
        <v>Yangon_2/11/2019</v>
      </c>
      <c r="J783" s="13" t="str">
        <f>IF(Sheet1!I783=Sheet1!N783*0.05,"Valid","Error")</f>
        <v>Valid</v>
      </c>
      <c r="K783" s="13" t="str">
        <f>IF(Sheet1!N783=Sheet1!G783*Sheet1!H783,"True","False")</f>
        <v>True</v>
      </c>
      <c r="L783" s="13" t="b">
        <v>1</v>
      </c>
      <c r="M783" s="9" t="b">
        <f>ISNUMBER(Sheet1!J783)</f>
        <v>1</v>
      </c>
      <c r="N783" s="13" t="str">
        <f>IF(Sheet1!B783="A","Branch A",IF(Sheet1!B783="B","Branch B","Other Branch"))</f>
        <v>Branch A</v>
      </c>
      <c r="O783" s="13" t="str">
        <f>IF(Sheet1!M783="Credit card","Credit Payment","Other")</f>
        <v>Other</v>
      </c>
      <c r="P783" s="13" t="str">
        <f>IF(Sheet1!O783&gt;7,"Yes","No")</f>
        <v>Yes</v>
      </c>
    </row>
    <row r="784" spans="5:16">
      <c r="E784" s="13" t="str">
        <v>307</v>
      </c>
      <c r="F784" s="13" t="str">
        <v>2070</v>
      </c>
      <c r="G784" s="13" t="str">
        <v>04</v>
      </c>
      <c r="H784" s="13" t="str">
        <f>_xlfn.CONCAT(Sheet1!A784," --&gt; ",Sheet1!J784)</f>
        <v>307-04-2070 --&gt; 32.151</v>
      </c>
      <c r="I784" s="13" t="str">
        <f>_xlfn.CONCAT(Sheet1!C784,"_",TEXT(Sheet1!K784, "m/d/yyyy"))</f>
        <v>Yangon_2/5/2019</v>
      </c>
      <c r="J784" s="13" t="str">
        <f>IF(Sheet1!I784=Sheet1!N784*0.05,"Valid","Error")</f>
        <v>Valid</v>
      </c>
      <c r="K784" s="13" t="str">
        <f>IF(Sheet1!N784=Sheet1!G784*Sheet1!H784,"True","False")</f>
        <v>True</v>
      </c>
      <c r="L784" s="13" t="b">
        <v>1</v>
      </c>
      <c r="M784" s="9" t="b">
        <f>ISNUMBER(Sheet1!J784)</f>
        <v>1</v>
      </c>
      <c r="N784" s="13" t="str">
        <f>IF(Sheet1!B784="A","Branch A",IF(Sheet1!B784="B","Branch B","Other Branch"))</f>
        <v>Branch A</v>
      </c>
      <c r="O784" s="13" t="str">
        <f>IF(Sheet1!M784="Credit card","Credit Payment","Other")</f>
        <v>Credit Payment</v>
      </c>
      <c r="P784" s="13" t="str">
        <f>IF(Sheet1!O784&gt;7,"Yes","No")</f>
        <v>No</v>
      </c>
    </row>
    <row r="785" spans="5:16">
      <c r="E785" s="13" t="str">
        <v>468</v>
      </c>
      <c r="F785" s="13" t="str">
        <v>7231</v>
      </c>
      <c r="G785" s="13" t="str">
        <v>99</v>
      </c>
      <c r="H785" s="13" t="str">
        <f>_xlfn.CONCAT(Sheet1!A785," --&gt; ",Sheet1!J785)</f>
        <v>468-99-7231 --&gt; 369.684</v>
      </c>
      <c r="I785" s="13" t="str">
        <f>_xlfn.CONCAT(Sheet1!C785,"_",TEXT(Sheet1!K785, "m/d/yyyy"))</f>
        <v>Naypyitaw_3/3/2019</v>
      </c>
      <c r="J785" s="13" t="str">
        <f>IF(Sheet1!I785=Sheet1!N785*0.05,"Valid","Error")</f>
        <v>Valid</v>
      </c>
      <c r="K785" s="13" t="str">
        <f>IF(Sheet1!N785=Sheet1!G785*Sheet1!H785,"True","False")</f>
        <v>True</v>
      </c>
      <c r="L785" s="13" t="b">
        <v>1</v>
      </c>
      <c r="M785" s="9" t="b">
        <f>ISNUMBER(Sheet1!J785)</f>
        <v>1</v>
      </c>
      <c r="N785" s="13" t="str">
        <f>IF(Sheet1!B785="A","Branch A",IF(Sheet1!B785="B","Branch B","Other Branch"))</f>
        <v>Other Branch</v>
      </c>
      <c r="O785" s="13" t="str">
        <f>IF(Sheet1!M785="Credit card","Credit Payment","Other")</f>
        <v>Other</v>
      </c>
      <c r="P785" s="13" t="str">
        <f>IF(Sheet1!O785&gt;7,"Yes","No")</f>
        <v>Yes</v>
      </c>
    </row>
    <row r="786" spans="5:16">
      <c r="E786" s="13" t="str">
        <v>516</v>
      </c>
      <c r="F786" s="13" t="str">
        <v>6464</v>
      </c>
      <c r="G786" s="13" t="str">
        <v>77</v>
      </c>
      <c r="H786" s="13" t="str">
        <f>_xlfn.CONCAT(Sheet1!A786," --&gt; ",Sheet1!J786)</f>
        <v>516-77-6464 --&gt; 53.34</v>
      </c>
      <c r="I786" s="13" t="str">
        <f>_xlfn.CONCAT(Sheet1!C786,"_",TEXT(Sheet1!K786, "m/d/yyyy"))</f>
        <v>Naypyitaw_2/24/2019</v>
      </c>
      <c r="J786" s="13" t="str">
        <f>IF(Sheet1!I786=Sheet1!N786*0.05,"Valid","Error")</f>
        <v>Valid</v>
      </c>
      <c r="K786" s="13" t="str">
        <f>IF(Sheet1!N786=Sheet1!G786*Sheet1!H786,"True","False")</f>
        <v>True</v>
      </c>
      <c r="L786" s="13" t="b">
        <v>1</v>
      </c>
      <c r="M786" s="9" t="b">
        <f>ISNUMBER(Sheet1!J786)</f>
        <v>1</v>
      </c>
      <c r="N786" s="13" t="str">
        <f>IF(Sheet1!B786="A","Branch A",IF(Sheet1!B786="B","Branch B","Other Branch"))</f>
        <v>Other Branch</v>
      </c>
      <c r="O786" s="13" t="str">
        <f>IF(Sheet1!M786="Credit card","Credit Payment","Other")</f>
        <v>Other</v>
      </c>
      <c r="P786" s="13" t="str">
        <f>IF(Sheet1!O786&gt;7,"Yes","No")</f>
        <v>No</v>
      </c>
    </row>
    <row r="787" spans="5:16">
      <c r="E787" s="13" t="str">
        <v>404</v>
      </c>
      <c r="F787" s="13" t="str">
        <v>5964</v>
      </c>
      <c r="G787" s="13" t="str">
        <v>91</v>
      </c>
      <c r="H787" s="13" t="str">
        <f>_xlfn.CONCAT(Sheet1!A787," --&gt; ",Sheet1!J787)</f>
        <v>404-91-5964 --&gt; 548.163</v>
      </c>
      <c r="I787" s="13" t="str">
        <f>_xlfn.CONCAT(Sheet1!C787,"_",TEXT(Sheet1!K787, "m/d/yyyy"))</f>
        <v>Yangon_2/4/2019</v>
      </c>
      <c r="J787" s="13" t="str">
        <f>IF(Sheet1!I787=Sheet1!N787*0.05,"Valid","Error")</f>
        <v>Valid</v>
      </c>
      <c r="K787" s="13" t="str">
        <f>IF(Sheet1!N787=Sheet1!G787*Sheet1!H787,"True","False")</f>
        <v>True</v>
      </c>
      <c r="L787" s="13" t="b">
        <v>1</v>
      </c>
      <c r="M787" s="9" t="b">
        <f>ISNUMBER(Sheet1!J787)</f>
        <v>1</v>
      </c>
      <c r="N787" s="13" t="str">
        <f>IF(Sheet1!B787="A","Branch A",IF(Sheet1!B787="B","Branch B","Other Branch"))</f>
        <v>Branch A</v>
      </c>
      <c r="O787" s="13" t="str">
        <f>IF(Sheet1!M787="Credit card","Credit Payment","Other")</f>
        <v>Credit Payment</v>
      </c>
      <c r="P787" s="13" t="str">
        <f>IF(Sheet1!O787&gt;7,"Yes","No")</f>
        <v>Yes</v>
      </c>
    </row>
    <row r="788" spans="5:16">
      <c r="E788" s="13" t="str">
        <v>886</v>
      </c>
      <c r="F788" s="13" t="str">
        <v>9084</v>
      </c>
      <c r="G788" s="13" t="str">
        <v>77</v>
      </c>
      <c r="H788" s="13" t="str">
        <f>_xlfn.CONCAT(Sheet1!A788," --&gt; ",Sheet1!J788)</f>
        <v>886-77-9084 --&gt; 603.876</v>
      </c>
      <c r="I788" s="13" t="str">
        <f>_xlfn.CONCAT(Sheet1!C788,"_",TEXT(Sheet1!K788, "m/d/yyyy"))</f>
        <v>Naypyitaw_2/19/2019</v>
      </c>
      <c r="J788" s="13" t="str">
        <f>IF(Sheet1!I788=Sheet1!N788*0.05,"Valid","Error")</f>
        <v>Valid</v>
      </c>
      <c r="K788" s="13" t="str">
        <f>IF(Sheet1!N788=Sheet1!G788*Sheet1!H788,"True","False")</f>
        <v>True</v>
      </c>
      <c r="L788" s="13" t="b">
        <v>1</v>
      </c>
      <c r="M788" s="9" t="b">
        <f>ISNUMBER(Sheet1!J788)</f>
        <v>1</v>
      </c>
      <c r="N788" s="13" t="str">
        <f>IF(Sheet1!B788="A","Branch A",IF(Sheet1!B788="B","Branch B","Other Branch"))</f>
        <v>Other Branch</v>
      </c>
      <c r="O788" s="13" t="str">
        <f>IF(Sheet1!M788="Credit card","Credit Payment","Other")</f>
        <v>Other</v>
      </c>
      <c r="P788" s="13" t="str">
        <f>IF(Sheet1!O788&gt;7,"Yes","No")</f>
        <v>No</v>
      </c>
    </row>
    <row r="789" spans="5:16">
      <c r="E789" s="13" t="str">
        <v>790</v>
      </c>
      <c r="F789" s="13" t="str">
        <v>4466</v>
      </c>
      <c r="G789" s="13" t="str">
        <v>38</v>
      </c>
      <c r="H789" s="13" t="str">
        <f>_xlfn.CONCAT(Sheet1!A789," --&gt; ",Sheet1!J789)</f>
        <v>790-38-4466 --&gt; 57.6975</v>
      </c>
      <c r="I789" s="13" t="str">
        <f>_xlfn.CONCAT(Sheet1!C789,"_",TEXT(Sheet1!K789, "m/d/yyyy"))</f>
        <v>Naypyitaw_1/23/2019</v>
      </c>
      <c r="J789" s="13" t="str">
        <f>IF(Sheet1!I789=Sheet1!N789*0.05,"Valid","Error")</f>
        <v>Valid</v>
      </c>
      <c r="K789" s="13" t="str">
        <f>IF(Sheet1!N789=Sheet1!G789*Sheet1!H789,"True","False")</f>
        <v>True</v>
      </c>
      <c r="L789" s="13" t="b">
        <v>1</v>
      </c>
      <c r="M789" s="9" t="b">
        <f>ISNUMBER(Sheet1!J789)</f>
        <v>1</v>
      </c>
      <c r="N789" s="13" t="str">
        <f>IF(Sheet1!B789="A","Branch A",IF(Sheet1!B789="B","Branch B","Other Branch"))</f>
        <v>Other Branch</v>
      </c>
      <c r="O789" s="13" t="str">
        <f>IF(Sheet1!M789="Credit card","Credit Payment","Other")</f>
        <v>Credit Payment</v>
      </c>
      <c r="P789" s="13" t="str">
        <f>IF(Sheet1!O789&gt;7,"Yes","No")</f>
        <v>Yes</v>
      </c>
    </row>
    <row r="790" spans="5:16">
      <c r="E790" s="13" t="str">
        <v>704</v>
      </c>
      <c r="F790" s="13" t="str">
        <v>4056</v>
      </c>
      <c r="G790" s="13" t="str">
        <v>10</v>
      </c>
      <c r="H790" s="13" t="str">
        <f>_xlfn.CONCAT(Sheet1!A790," --&gt; ",Sheet1!J790)</f>
        <v>704-10-4056 --&gt; 190.4805</v>
      </c>
      <c r="I790" s="13" t="str">
        <f>_xlfn.CONCAT(Sheet1!C790,"_",TEXT(Sheet1!K790, "m/d/yyyy"))</f>
        <v>Naypyitaw_1/14/2019</v>
      </c>
      <c r="J790" s="13" t="str">
        <f>IF(Sheet1!I790=Sheet1!N790*0.05,"Valid","Error")</f>
        <v>Valid</v>
      </c>
      <c r="K790" s="13" t="str">
        <f>IF(Sheet1!N790=Sheet1!G790*Sheet1!H790,"True","False")</f>
        <v>True</v>
      </c>
      <c r="L790" s="13" t="b">
        <v>1</v>
      </c>
      <c r="M790" s="9" t="b">
        <f>ISNUMBER(Sheet1!J790)</f>
        <v>1</v>
      </c>
      <c r="N790" s="13" t="str">
        <f>IF(Sheet1!B790="A","Branch A",IF(Sheet1!B790="B","Branch B","Other Branch"))</f>
        <v>Other Branch</v>
      </c>
      <c r="O790" s="13" t="str">
        <f>IF(Sheet1!M790="Credit card","Credit Payment","Other")</f>
        <v>Credit Payment</v>
      </c>
      <c r="P790" s="13" t="str">
        <f>IF(Sheet1!O790&gt;7,"Yes","No")</f>
        <v>No</v>
      </c>
    </row>
    <row r="791" spans="5:16">
      <c r="E791" s="13" t="str">
        <v>497</v>
      </c>
      <c r="F791" s="13" t="str">
        <v>6538</v>
      </c>
      <c r="G791" s="13" t="str">
        <v>37</v>
      </c>
      <c r="H791" s="13" t="str">
        <f>_xlfn.CONCAT(Sheet1!A791," --&gt; ",Sheet1!J791)</f>
        <v>497-37-6538 --&gt; 432.9885</v>
      </c>
      <c r="I791" s="13" t="str">
        <f>_xlfn.CONCAT(Sheet1!C791,"_",TEXT(Sheet1!K791, "m/d/yyyy"))</f>
        <v>Yangon_1/17/2019</v>
      </c>
      <c r="J791" s="13" t="str">
        <f>IF(Sheet1!I791=Sheet1!N791*0.05,"Valid","Error")</f>
        <v>Valid</v>
      </c>
      <c r="K791" s="13" t="str">
        <f>IF(Sheet1!N791=Sheet1!G791*Sheet1!H791,"True","False")</f>
        <v>True</v>
      </c>
      <c r="L791" s="13" t="b">
        <v>1</v>
      </c>
      <c r="M791" s="9" t="b">
        <f>ISNUMBER(Sheet1!J791)</f>
        <v>1</v>
      </c>
      <c r="N791" s="13" t="str">
        <f>IF(Sheet1!B791="A","Branch A",IF(Sheet1!B791="B","Branch B","Other Branch"))</f>
        <v>Branch A</v>
      </c>
      <c r="O791" s="13" t="str">
        <f>IF(Sheet1!M791="Credit card","Credit Payment","Other")</f>
        <v>Other</v>
      </c>
      <c r="P791" s="13" t="str">
        <f>IF(Sheet1!O791&gt;7,"Yes","No")</f>
        <v>Yes</v>
      </c>
    </row>
    <row r="792" spans="5:16">
      <c r="E792" s="13" t="str">
        <v>651</v>
      </c>
      <c r="F792" s="13" t="str">
        <v>5970</v>
      </c>
      <c r="G792" s="13" t="str">
        <v>96</v>
      </c>
      <c r="H792" s="13" t="str">
        <f>_xlfn.CONCAT(Sheet1!A792," --&gt; ",Sheet1!J792)</f>
        <v>651-96-5970 --&gt; 48.7305</v>
      </c>
      <c r="I792" s="13" t="str">
        <f>_xlfn.CONCAT(Sheet1!C792,"_",TEXT(Sheet1!K792, "m/d/yyyy"))</f>
        <v>Yangon_3/3/2019</v>
      </c>
      <c r="J792" s="13" t="str">
        <f>IF(Sheet1!I792=Sheet1!N792*0.05,"Valid","Error")</f>
        <v>Valid</v>
      </c>
      <c r="K792" s="13" t="str">
        <f>IF(Sheet1!N792=Sheet1!G792*Sheet1!H792,"True","False")</f>
        <v>True</v>
      </c>
      <c r="L792" s="13" t="b">
        <v>1</v>
      </c>
      <c r="M792" s="9" t="b">
        <f>ISNUMBER(Sheet1!J792)</f>
        <v>1</v>
      </c>
      <c r="N792" s="13" t="str">
        <f>IF(Sheet1!B792="A","Branch A",IF(Sheet1!B792="B","Branch B","Other Branch"))</f>
        <v>Branch A</v>
      </c>
      <c r="O792" s="13" t="str">
        <f>IF(Sheet1!M792="Credit card","Credit Payment","Other")</f>
        <v>Credit Payment</v>
      </c>
      <c r="P792" s="13" t="str">
        <f>IF(Sheet1!O792&gt;7,"Yes","No")</f>
        <v>No</v>
      </c>
    </row>
    <row r="793" spans="5:16">
      <c r="E793" s="13" t="str">
        <v>400</v>
      </c>
      <c r="F793" s="13" t="str">
        <v>4065</v>
      </c>
      <c r="G793" s="13" t="str">
        <v>80</v>
      </c>
      <c r="H793" s="13" t="str">
        <f>_xlfn.CONCAT(Sheet1!A793," --&gt; ",Sheet1!J793)</f>
        <v>400-80-4065 --&gt; 287.91</v>
      </c>
      <c r="I793" s="13" t="str">
        <f>_xlfn.CONCAT(Sheet1!C793,"_",TEXT(Sheet1!K793, "m/d/yyyy"))</f>
        <v>Naypyitaw_2/15/2019</v>
      </c>
      <c r="J793" s="13" t="str">
        <f>IF(Sheet1!I793=Sheet1!N793*0.05,"Valid","Error")</f>
        <v>Valid</v>
      </c>
      <c r="K793" s="13" t="str">
        <f>IF(Sheet1!N793=Sheet1!G793*Sheet1!H793,"True","False")</f>
        <v>True</v>
      </c>
      <c r="L793" s="13" t="b">
        <v>1</v>
      </c>
      <c r="M793" s="9" t="b">
        <f>ISNUMBER(Sheet1!J793)</f>
        <v>1</v>
      </c>
      <c r="N793" s="13" t="str">
        <f>IF(Sheet1!B793="A","Branch A",IF(Sheet1!B793="B","Branch B","Other Branch"))</f>
        <v>Other Branch</v>
      </c>
      <c r="O793" s="13" t="str">
        <f>IF(Sheet1!M793="Credit card","Credit Payment","Other")</f>
        <v>Credit Payment</v>
      </c>
      <c r="P793" s="13" t="str">
        <f>IF(Sheet1!O793&gt;7,"Yes","No")</f>
        <v>Yes</v>
      </c>
    </row>
    <row r="794" spans="5:16">
      <c r="E794" s="13" t="str">
        <v>744</v>
      </c>
      <c r="F794" s="13" t="str">
        <v>7898</v>
      </c>
      <c r="G794" s="13" t="str">
        <v>16</v>
      </c>
      <c r="H794" s="13" t="str">
        <f>_xlfn.CONCAT(Sheet1!A794," --&gt; ",Sheet1!J794)</f>
        <v>744-16-7898 --&gt; 1022.385</v>
      </c>
      <c r="I794" s="13" t="str">
        <f>_xlfn.CONCAT(Sheet1!C794,"_",TEXT(Sheet1!K794, "m/d/yyyy"))</f>
        <v>Mandalay_1/15/2019</v>
      </c>
      <c r="J794" s="13" t="str">
        <f>IF(Sheet1!I794=Sheet1!N794*0.05,"Valid","Error")</f>
        <v>Valid</v>
      </c>
      <c r="K794" s="13" t="str">
        <f>IF(Sheet1!N794=Sheet1!G794*Sheet1!H794,"True","False")</f>
        <v>True</v>
      </c>
      <c r="L794" s="13" t="b">
        <v>1</v>
      </c>
      <c r="M794" s="9" t="b">
        <f>ISNUMBER(Sheet1!J794)</f>
        <v>1</v>
      </c>
      <c r="N794" s="13" t="str">
        <f>IF(Sheet1!B794="A","Branch A",IF(Sheet1!B794="B","Branch B","Other Branch"))</f>
        <v>Branch B</v>
      </c>
      <c r="O794" s="13" t="str">
        <f>IF(Sheet1!M794="Credit card","Credit Payment","Other")</f>
        <v>Credit Payment</v>
      </c>
      <c r="P794" s="13" t="str">
        <f>IF(Sheet1!O794&gt;7,"Yes","No")</f>
        <v>No</v>
      </c>
    </row>
    <row r="795" spans="5:16">
      <c r="E795" s="13" t="str">
        <v>263</v>
      </c>
      <c r="F795" s="13" t="str">
        <v>5321</v>
      </c>
      <c r="G795" s="13" t="str">
        <v>12</v>
      </c>
      <c r="H795" s="13" t="str">
        <f>_xlfn.CONCAT(Sheet1!A795," --&gt; ",Sheet1!J795)</f>
        <v>263-12-5321 --&gt; 680.61</v>
      </c>
      <c r="I795" s="13" t="str">
        <f>_xlfn.CONCAT(Sheet1!C795,"_",TEXT(Sheet1!K795, "m/d/yyyy"))</f>
        <v>Yangon_2/27/2019</v>
      </c>
      <c r="J795" s="13" t="str">
        <f>IF(Sheet1!I795=Sheet1!N795*0.05,"Valid","Error")</f>
        <v>Valid</v>
      </c>
      <c r="K795" s="13" t="str">
        <f>IF(Sheet1!N795=Sheet1!G795*Sheet1!H795,"True","False")</f>
        <v>True</v>
      </c>
      <c r="L795" s="13" t="b">
        <v>1</v>
      </c>
      <c r="M795" s="9" t="b">
        <f>ISNUMBER(Sheet1!J795)</f>
        <v>1</v>
      </c>
      <c r="N795" s="13" t="str">
        <f>IF(Sheet1!B795="A","Branch A",IF(Sheet1!B795="B","Branch B","Other Branch"))</f>
        <v>Branch A</v>
      </c>
      <c r="O795" s="13" t="str">
        <f>IF(Sheet1!M795="Credit card","Credit Payment","Other")</f>
        <v>Credit Payment</v>
      </c>
      <c r="P795" s="13" t="str">
        <f>IF(Sheet1!O795&gt;7,"Yes","No")</f>
        <v>Yes</v>
      </c>
    </row>
    <row r="796" spans="5:16">
      <c r="E796" s="13" t="str">
        <v>702</v>
      </c>
      <c r="F796" s="13" t="str">
        <v>0487</v>
      </c>
      <c r="G796" s="13" t="str">
        <v>72</v>
      </c>
      <c r="H796" s="13" t="str">
        <f>_xlfn.CONCAT(Sheet1!A796," --&gt; ",Sheet1!J796)</f>
        <v>702-72-0487 --&gt; 97.881</v>
      </c>
      <c r="I796" s="13" t="str">
        <f>_xlfn.CONCAT(Sheet1!C796,"_",TEXT(Sheet1!K796, "m/d/yyyy"))</f>
        <v>Yangon_2/26/2019</v>
      </c>
      <c r="J796" s="13" t="str">
        <f>IF(Sheet1!I796=Sheet1!N796*0.05,"Valid","Error")</f>
        <v>Valid</v>
      </c>
      <c r="K796" s="13" t="str">
        <f>IF(Sheet1!N796=Sheet1!G796*Sheet1!H796,"True","False")</f>
        <v>True</v>
      </c>
      <c r="L796" s="13" t="b">
        <v>1</v>
      </c>
      <c r="M796" s="9" t="b">
        <f>ISNUMBER(Sheet1!J796)</f>
        <v>1</v>
      </c>
      <c r="N796" s="13" t="str">
        <f>IF(Sheet1!B796="A","Branch A",IF(Sheet1!B796="B","Branch B","Other Branch"))</f>
        <v>Branch A</v>
      </c>
      <c r="O796" s="13" t="str">
        <f>IF(Sheet1!M796="Credit card","Credit Payment","Other")</f>
        <v>Credit Payment</v>
      </c>
      <c r="P796" s="13" t="str">
        <f>IF(Sheet1!O796&gt;7,"Yes","No")</f>
        <v>No</v>
      </c>
    </row>
    <row r="797" spans="5:16">
      <c r="E797" s="13" t="str">
        <v>605</v>
      </c>
      <c r="F797" s="13" t="str">
        <v>1050</v>
      </c>
      <c r="G797" s="13" t="str">
        <v>83</v>
      </c>
      <c r="H797" s="13" t="str">
        <f>_xlfn.CONCAT(Sheet1!A797," --&gt; ",Sheet1!J797)</f>
        <v>605-83-1050 --&gt; 57.078</v>
      </c>
      <c r="I797" s="13" t="str">
        <f>_xlfn.CONCAT(Sheet1!C797,"_",TEXT(Sheet1!K797, "m/d/yyyy"))</f>
        <v>Mandalay_3/15/2019</v>
      </c>
      <c r="J797" s="13" t="str">
        <f>IF(Sheet1!I797=Sheet1!N797*0.05,"Valid","Error")</f>
        <v>Valid</v>
      </c>
      <c r="K797" s="13" t="str">
        <f>IF(Sheet1!N797=Sheet1!G797*Sheet1!H797,"True","False")</f>
        <v>True</v>
      </c>
      <c r="L797" s="13" t="b">
        <v>1</v>
      </c>
      <c r="M797" s="9" t="b">
        <f>ISNUMBER(Sheet1!J797)</f>
        <v>1</v>
      </c>
      <c r="N797" s="13" t="str">
        <f>IF(Sheet1!B797="A","Branch A",IF(Sheet1!B797="B","Branch B","Other Branch"))</f>
        <v>Branch B</v>
      </c>
      <c r="O797" s="13" t="str">
        <f>IF(Sheet1!M797="Credit card","Credit Payment","Other")</f>
        <v>Other</v>
      </c>
      <c r="P797" s="13" t="str">
        <f>IF(Sheet1!O797&gt;7,"Yes","No")</f>
        <v>No</v>
      </c>
    </row>
    <row r="798" spans="5:16">
      <c r="E798" s="13" t="str">
        <v>443</v>
      </c>
      <c r="F798" s="13" t="str">
        <v>9639</v>
      </c>
      <c r="G798" s="13" t="str">
        <v>60</v>
      </c>
      <c r="H798" s="13" t="str">
        <f>_xlfn.CONCAT(Sheet1!A798," --&gt; ",Sheet1!J798)</f>
        <v>443-60-9639 --&gt; 63.9135</v>
      </c>
      <c r="I798" s="13" t="str">
        <f>_xlfn.CONCAT(Sheet1!C798,"_",TEXT(Sheet1!K798, "m/d/yyyy"))</f>
        <v>Naypyitaw_1/24/2019</v>
      </c>
      <c r="J798" s="13" t="str">
        <f>IF(Sheet1!I798=Sheet1!N798*0.05,"Valid","Error")</f>
        <v>Valid</v>
      </c>
      <c r="K798" s="13" t="str">
        <f>IF(Sheet1!N798=Sheet1!G798*Sheet1!H798,"True","False")</f>
        <v>True</v>
      </c>
      <c r="L798" s="13" t="b">
        <v>1</v>
      </c>
      <c r="M798" s="9" t="b">
        <f>ISNUMBER(Sheet1!J798)</f>
        <v>1</v>
      </c>
      <c r="N798" s="13" t="str">
        <f>IF(Sheet1!B798="A","Branch A",IF(Sheet1!B798="B","Branch B","Other Branch"))</f>
        <v>Other Branch</v>
      </c>
      <c r="O798" s="13" t="str">
        <f>IF(Sheet1!M798="Credit card","Credit Payment","Other")</f>
        <v>Other</v>
      </c>
      <c r="P798" s="13" t="str">
        <f>IF(Sheet1!O798&gt;7,"Yes","No")</f>
        <v>No</v>
      </c>
    </row>
    <row r="799" spans="5:16">
      <c r="E799" s="13" t="str">
        <v>864</v>
      </c>
      <c r="F799" s="13" t="str">
        <v>7918</v>
      </c>
      <c r="G799" s="13" t="str">
        <v>24</v>
      </c>
      <c r="H799" s="13" t="str">
        <f>_xlfn.CONCAT(Sheet1!A799," --&gt; ",Sheet1!J799)</f>
        <v>864-24-7918 --&gt; 257.145</v>
      </c>
      <c r="I799" s="13" t="str">
        <f>_xlfn.CONCAT(Sheet1!C799,"_",TEXT(Sheet1!K799, "m/d/yyyy"))</f>
        <v>Yangon_2/22/2019</v>
      </c>
      <c r="J799" s="13" t="str">
        <f>IF(Sheet1!I799=Sheet1!N799*0.05,"Valid","Error")</f>
        <v>Valid</v>
      </c>
      <c r="K799" s="13" t="str">
        <f>IF(Sheet1!N799=Sheet1!G799*Sheet1!H799,"True","False")</f>
        <v>True</v>
      </c>
      <c r="L799" s="13" t="b">
        <v>1</v>
      </c>
      <c r="M799" s="9" t="b">
        <f>ISNUMBER(Sheet1!J799)</f>
        <v>1</v>
      </c>
      <c r="N799" s="13" t="str">
        <f>IF(Sheet1!B799="A","Branch A",IF(Sheet1!B799="B","Branch B","Other Branch"))</f>
        <v>Branch A</v>
      </c>
      <c r="O799" s="13" t="str">
        <f>IF(Sheet1!M799="Credit card","Credit Payment","Other")</f>
        <v>Other</v>
      </c>
      <c r="P799" s="13" t="str">
        <f>IF(Sheet1!O799&gt;7,"Yes","No")</f>
        <v>Yes</v>
      </c>
    </row>
    <row r="800" spans="5:16">
      <c r="E800" s="13" t="str">
        <v>359</v>
      </c>
      <c r="F800" s="13" t="str">
        <v>5395</v>
      </c>
      <c r="G800" s="13" t="str">
        <v>94</v>
      </c>
      <c r="H800" s="13" t="str">
        <f>_xlfn.CONCAT(Sheet1!A800," --&gt; ",Sheet1!J800)</f>
        <v>359-94-5395 --&gt; 97.419</v>
      </c>
      <c r="I800" s="13" t="str">
        <f>_xlfn.CONCAT(Sheet1!C800,"_",TEXT(Sheet1!K800, "m/d/yyyy"))</f>
        <v>Mandalay_3/15/2019</v>
      </c>
      <c r="J800" s="13" t="str">
        <f>IF(Sheet1!I800=Sheet1!N800*0.05,"Valid","Error")</f>
        <v>Valid</v>
      </c>
      <c r="K800" s="13" t="str">
        <f>IF(Sheet1!N800=Sheet1!G800*Sheet1!H800,"True","False")</f>
        <v>True</v>
      </c>
      <c r="L800" s="13" t="b">
        <v>1</v>
      </c>
      <c r="M800" s="9" t="b">
        <f>ISNUMBER(Sheet1!J800)</f>
        <v>1</v>
      </c>
      <c r="N800" s="13" t="str">
        <f>IF(Sheet1!B800="A","Branch A",IF(Sheet1!B800="B","Branch B","Other Branch"))</f>
        <v>Branch B</v>
      </c>
      <c r="O800" s="13" t="str">
        <f>IF(Sheet1!M800="Credit card","Credit Payment","Other")</f>
        <v>Credit Payment</v>
      </c>
      <c r="P800" s="13" t="str">
        <f>IF(Sheet1!O800&gt;7,"Yes","No")</f>
        <v>Yes</v>
      </c>
    </row>
    <row r="801" spans="5:16">
      <c r="E801" s="13" t="str">
        <v>401</v>
      </c>
      <c r="F801" s="13" t="str">
        <v>4232</v>
      </c>
      <c r="G801" s="13" t="str">
        <v>09</v>
      </c>
      <c r="H801" s="13" t="str">
        <f>_xlfn.CONCAT(Sheet1!A801," --&gt; ",Sheet1!J801)</f>
        <v>401-09-4232 --&gt; 455.1225</v>
      </c>
      <c r="I801" s="13" t="str">
        <f>_xlfn.CONCAT(Sheet1!C801,"_",TEXT(Sheet1!K801, "m/d/yyyy"))</f>
        <v>Naypyitaw_2/11/2019</v>
      </c>
      <c r="J801" s="13" t="str">
        <f>IF(Sheet1!I801=Sheet1!N801*0.05,"Valid","Error")</f>
        <v>Valid</v>
      </c>
      <c r="K801" s="13" t="str">
        <f>IF(Sheet1!N801=Sheet1!G801*Sheet1!H801,"True","False")</f>
        <v>True</v>
      </c>
      <c r="L801" s="13" t="b">
        <v>1</v>
      </c>
      <c r="M801" s="9" t="b">
        <f>ISNUMBER(Sheet1!J801)</f>
        <v>1</v>
      </c>
      <c r="N801" s="13" t="str">
        <f>IF(Sheet1!B801="A","Branch A",IF(Sheet1!B801="B","Branch B","Other Branch"))</f>
        <v>Other Branch</v>
      </c>
      <c r="O801" s="13" t="str">
        <f>IF(Sheet1!M801="Credit card","Credit Payment","Other")</f>
        <v>Other</v>
      </c>
      <c r="P801" s="13" t="str">
        <f>IF(Sheet1!O801&gt;7,"Yes","No")</f>
        <v>Yes</v>
      </c>
    </row>
    <row r="802" spans="5:16">
      <c r="E802" s="13" t="str">
        <v>751</v>
      </c>
      <c r="F802" s="13" t="str">
        <v>6198</v>
      </c>
      <c r="G802" s="13" t="str">
        <v>15</v>
      </c>
      <c r="H802" s="13" t="str">
        <f>_xlfn.CONCAT(Sheet1!A802," --&gt; ",Sheet1!J802)</f>
        <v>751-15-6198 --&gt; 144.963</v>
      </c>
      <c r="I802" s="13" t="str">
        <f>_xlfn.CONCAT(Sheet1!C802,"_",TEXT(Sheet1!K802, "m/d/yyyy"))</f>
        <v>Mandalay_1/12/2019</v>
      </c>
      <c r="J802" s="13" t="str">
        <f>IF(Sheet1!I802=Sheet1!N802*0.05,"Valid","Error")</f>
        <v>Valid</v>
      </c>
      <c r="K802" s="13" t="str">
        <f>IF(Sheet1!N802=Sheet1!G802*Sheet1!H802,"True","False")</f>
        <v>True</v>
      </c>
      <c r="L802" s="13" t="b">
        <v>1</v>
      </c>
      <c r="M802" s="9" t="b">
        <f>ISNUMBER(Sheet1!J802)</f>
        <v>1</v>
      </c>
      <c r="N802" s="13" t="str">
        <f>IF(Sheet1!B802="A","Branch A",IF(Sheet1!B802="B","Branch B","Other Branch"))</f>
        <v>Branch B</v>
      </c>
      <c r="O802" s="13" t="str">
        <f>IF(Sheet1!M802="Credit card","Credit Payment","Other")</f>
        <v>Other</v>
      </c>
      <c r="P802" s="13" t="str">
        <f>IF(Sheet1!O802&gt;7,"Yes","No")</f>
        <v>Yes</v>
      </c>
    </row>
    <row r="803" spans="5:16">
      <c r="E803" s="13" t="str">
        <v>324</v>
      </c>
      <c r="F803" s="13" t="str">
        <v>6833</v>
      </c>
      <c r="G803" s="13" t="str">
        <v>41</v>
      </c>
      <c r="H803" s="13" t="str">
        <f>_xlfn.CONCAT(Sheet1!A803," --&gt; ",Sheet1!J803)</f>
        <v>324-41-6833 --&gt; 253.68</v>
      </c>
      <c r="I803" s="13" t="str">
        <f>_xlfn.CONCAT(Sheet1!C803,"_",TEXT(Sheet1!K803, "m/d/yyyy"))</f>
        <v>Naypyitaw_3/3/2019</v>
      </c>
      <c r="J803" s="13" t="str">
        <f>IF(Sheet1!I803=Sheet1!N803*0.05,"Valid","Error")</f>
        <v>Valid</v>
      </c>
      <c r="K803" s="13" t="str">
        <f>IF(Sheet1!N803=Sheet1!G803*Sheet1!H803,"True","False")</f>
        <v>True</v>
      </c>
      <c r="L803" s="13" t="b">
        <v>1</v>
      </c>
      <c r="M803" s="9" t="b">
        <f>ISNUMBER(Sheet1!J803)</f>
        <v>1</v>
      </c>
      <c r="N803" s="13" t="str">
        <f>IF(Sheet1!B803="A","Branch A",IF(Sheet1!B803="B","Branch B","Other Branch"))</f>
        <v>Other Branch</v>
      </c>
      <c r="O803" s="13" t="str">
        <f>IF(Sheet1!M803="Credit card","Credit Payment","Other")</f>
        <v>Other</v>
      </c>
      <c r="P803" s="13" t="str">
        <f>IF(Sheet1!O803&gt;7,"Yes","No")</f>
        <v>No</v>
      </c>
    </row>
    <row r="804" spans="5:16">
      <c r="E804" s="13" t="str">
        <v>474</v>
      </c>
      <c r="F804" s="13" t="str">
        <v>8305</v>
      </c>
      <c r="G804" s="13" t="str">
        <v>33</v>
      </c>
      <c r="H804" s="13" t="str">
        <f>_xlfn.CONCAT(Sheet1!A804," --&gt; ",Sheet1!J804)</f>
        <v>474-33-8305 --&gt; 495.3165</v>
      </c>
      <c r="I804" s="13" t="str">
        <f>_xlfn.CONCAT(Sheet1!C804,"_",TEXT(Sheet1!K804, "m/d/yyyy"))</f>
        <v>Naypyitaw_3/23/2019</v>
      </c>
      <c r="J804" s="13" t="str">
        <f>IF(Sheet1!I804=Sheet1!N804*0.05,"Valid","Error")</f>
        <v>Valid</v>
      </c>
      <c r="K804" s="13" t="str">
        <f>IF(Sheet1!N804=Sheet1!G804*Sheet1!H804,"True","False")</f>
        <v>True</v>
      </c>
      <c r="L804" s="13" t="b">
        <v>1</v>
      </c>
      <c r="M804" s="9" t="b">
        <f>ISNUMBER(Sheet1!J804)</f>
        <v>1</v>
      </c>
      <c r="N804" s="13" t="str">
        <f>IF(Sheet1!B804="A","Branch A",IF(Sheet1!B804="B","Branch B","Other Branch"))</f>
        <v>Other Branch</v>
      </c>
      <c r="O804" s="13" t="str">
        <f>IF(Sheet1!M804="Credit card","Credit Payment","Other")</f>
        <v>Other</v>
      </c>
      <c r="P804" s="13" t="str">
        <f>IF(Sheet1!O804&gt;7,"Yes","No")</f>
        <v>No</v>
      </c>
    </row>
    <row r="805" spans="5:16">
      <c r="E805" s="13" t="str">
        <v>759</v>
      </c>
      <c r="F805" s="13" t="str">
        <v>9521</v>
      </c>
      <c r="G805" s="13" t="str">
        <v>29</v>
      </c>
      <c r="H805" s="13" t="str">
        <f>_xlfn.CONCAT(Sheet1!A805," --&gt; ",Sheet1!J805)</f>
        <v>759-29-9521 --&gt; 462.672</v>
      </c>
      <c r="I805" s="13" t="str">
        <f>_xlfn.CONCAT(Sheet1!C805,"_",TEXT(Sheet1!K805, "m/d/yyyy"))</f>
        <v>Yangon_3/4/2019</v>
      </c>
      <c r="J805" s="13" t="str">
        <f>IF(Sheet1!I805=Sheet1!N805*0.05,"Valid","Error")</f>
        <v>Valid</v>
      </c>
      <c r="K805" s="13" t="str">
        <f>IF(Sheet1!N805=Sheet1!G805*Sheet1!H805,"True","False")</f>
        <v>True</v>
      </c>
      <c r="L805" s="13" t="b">
        <v>1</v>
      </c>
      <c r="M805" s="9" t="b">
        <f>ISNUMBER(Sheet1!J805)</f>
        <v>1</v>
      </c>
      <c r="N805" s="13" t="str">
        <f>IF(Sheet1!B805="A","Branch A",IF(Sheet1!B805="B","Branch B","Other Branch"))</f>
        <v>Branch A</v>
      </c>
      <c r="O805" s="13" t="str">
        <f>IF(Sheet1!M805="Credit card","Credit Payment","Other")</f>
        <v>Other</v>
      </c>
      <c r="P805" s="13" t="str">
        <f>IF(Sheet1!O805&gt;7,"Yes","No")</f>
        <v>Yes</v>
      </c>
    </row>
    <row r="806" spans="5:16">
      <c r="E806" s="13" t="str">
        <v>831</v>
      </c>
      <c r="F806" s="13" t="str">
        <v>6575</v>
      </c>
      <c r="G806" s="13" t="str">
        <v>81</v>
      </c>
      <c r="H806" s="13" t="str">
        <f>_xlfn.CONCAT(Sheet1!A806," --&gt; ",Sheet1!J806)</f>
        <v>831-81-6575 --&gt; 714.3255</v>
      </c>
      <c r="I806" s="13" t="str">
        <f>_xlfn.CONCAT(Sheet1!C806,"_",TEXT(Sheet1!K806, "m/d/yyyy"))</f>
        <v>Mandalay_2/23/2019</v>
      </c>
      <c r="J806" s="13" t="str">
        <f>IF(Sheet1!I806=Sheet1!N806*0.05,"Valid","Error")</f>
        <v>Valid</v>
      </c>
      <c r="K806" s="13" t="str">
        <f>IF(Sheet1!N806=Sheet1!G806*Sheet1!H806,"True","False")</f>
        <v>True</v>
      </c>
      <c r="L806" s="13" t="b">
        <v>1</v>
      </c>
      <c r="M806" s="9" t="b">
        <f>ISNUMBER(Sheet1!J806)</f>
        <v>1</v>
      </c>
      <c r="N806" s="13" t="str">
        <f>IF(Sheet1!B806="A","Branch A",IF(Sheet1!B806="B","Branch B","Other Branch"))</f>
        <v>Branch B</v>
      </c>
      <c r="O806" s="13" t="str">
        <f>IF(Sheet1!M806="Credit card","Credit Payment","Other")</f>
        <v>Other</v>
      </c>
      <c r="P806" s="13" t="str">
        <f>IF(Sheet1!O806&gt;7,"Yes","No")</f>
        <v>Yes</v>
      </c>
    </row>
    <row r="807" spans="5:16">
      <c r="E807" s="13" t="str">
        <v>220</v>
      </c>
      <c r="F807" s="13" t="str">
        <v>6701</v>
      </c>
      <c r="G807" s="13" t="str">
        <v>68</v>
      </c>
      <c r="H807" s="13" t="str">
        <f>_xlfn.CONCAT(Sheet1!A807," --&gt; ",Sheet1!J807)</f>
        <v>220-68-6701 --&gt; 325.374</v>
      </c>
      <c r="I807" s="13" t="str">
        <f>_xlfn.CONCAT(Sheet1!C807,"_",TEXT(Sheet1!K807, "m/d/yyyy"))</f>
        <v>Yangon_3/17/2019</v>
      </c>
      <c r="J807" s="13" t="str">
        <f>IF(Sheet1!I807=Sheet1!N807*0.05,"Valid","Error")</f>
        <v>Valid</v>
      </c>
      <c r="K807" s="13" t="str">
        <f>IF(Sheet1!N807=Sheet1!G807*Sheet1!H807,"True","False")</f>
        <v>True</v>
      </c>
      <c r="L807" s="13" t="b">
        <v>1</v>
      </c>
      <c r="M807" s="9" t="b">
        <f>ISNUMBER(Sheet1!J807)</f>
        <v>1</v>
      </c>
      <c r="N807" s="13" t="str">
        <f>IF(Sheet1!B807="A","Branch A",IF(Sheet1!B807="B","Branch B","Other Branch"))</f>
        <v>Branch A</v>
      </c>
      <c r="O807" s="13" t="str">
        <f>IF(Sheet1!M807="Credit card","Credit Payment","Other")</f>
        <v>Other</v>
      </c>
      <c r="P807" s="13" t="str">
        <f>IF(Sheet1!O807&gt;7,"Yes","No")</f>
        <v>No</v>
      </c>
    </row>
    <row r="808" spans="5:16">
      <c r="E808" s="13" t="str">
        <v>618</v>
      </c>
      <c r="F808" s="13" t="str">
        <v>8551</v>
      </c>
      <c r="G808" s="13" t="str">
        <v>34</v>
      </c>
      <c r="H808" s="13" t="str">
        <f>_xlfn.CONCAT(Sheet1!A808," --&gt; ",Sheet1!J808)</f>
        <v>618-34-8551 --&gt; 195.678</v>
      </c>
      <c r="I808" s="13" t="str">
        <f>_xlfn.CONCAT(Sheet1!C808,"_",TEXT(Sheet1!K808, "m/d/yyyy"))</f>
        <v>Yangon_1/16/2019</v>
      </c>
      <c r="J808" s="13" t="str">
        <f>IF(Sheet1!I808=Sheet1!N808*0.05,"Valid","Error")</f>
        <v>Valid</v>
      </c>
      <c r="K808" s="13" t="str">
        <f>IF(Sheet1!N808=Sheet1!G808*Sheet1!H808,"True","False")</f>
        <v>True</v>
      </c>
      <c r="L808" s="13" t="b">
        <v>1</v>
      </c>
      <c r="M808" s="9" t="b">
        <f>ISNUMBER(Sheet1!J808)</f>
        <v>1</v>
      </c>
      <c r="N808" s="13" t="str">
        <f>IF(Sheet1!B808="A","Branch A",IF(Sheet1!B808="B","Branch B","Other Branch"))</f>
        <v>Branch A</v>
      </c>
      <c r="O808" s="13" t="str">
        <f>IF(Sheet1!M808="Credit card","Credit Payment","Other")</f>
        <v>Credit Payment</v>
      </c>
      <c r="P808" s="13" t="str">
        <f>IF(Sheet1!O808&gt;7,"Yes","No")</f>
        <v>Yes</v>
      </c>
    </row>
    <row r="809" spans="5:16">
      <c r="E809" s="13" t="str">
        <v>257</v>
      </c>
      <c r="F809" s="13" t="str">
        <v>7754</v>
      </c>
      <c r="G809" s="13" t="str">
        <v>60</v>
      </c>
      <c r="H809" s="13" t="str">
        <f>_xlfn.CONCAT(Sheet1!A809," --&gt; ",Sheet1!J809)</f>
        <v>257-60-7754 --&gt; 210.966</v>
      </c>
      <c r="I809" s="13" t="str">
        <f>_xlfn.CONCAT(Sheet1!C809,"_",TEXT(Sheet1!K809, "m/d/yyyy"))</f>
        <v>Yangon_1/8/2019</v>
      </c>
      <c r="J809" s="13" t="str">
        <f>IF(Sheet1!I809=Sheet1!N809*0.05,"Valid","Error")</f>
        <v>Valid</v>
      </c>
      <c r="K809" s="13" t="str">
        <f>IF(Sheet1!N809=Sheet1!G809*Sheet1!H809,"True","False")</f>
        <v>True</v>
      </c>
      <c r="L809" s="13" t="b">
        <v>1</v>
      </c>
      <c r="M809" s="9" t="b">
        <f>ISNUMBER(Sheet1!J809)</f>
        <v>1</v>
      </c>
      <c r="N809" s="13" t="str">
        <f>IF(Sheet1!B809="A","Branch A",IF(Sheet1!B809="B","Branch B","Other Branch"))</f>
        <v>Branch A</v>
      </c>
      <c r="O809" s="13" t="str">
        <f>IF(Sheet1!M809="Credit card","Credit Payment","Other")</f>
        <v>Other</v>
      </c>
      <c r="P809" s="13" t="str">
        <f>IF(Sheet1!O809&gt;7,"Yes","No")</f>
        <v>Yes</v>
      </c>
    </row>
    <row r="810" spans="5:16">
      <c r="E810" s="13" t="str">
        <v>559</v>
      </c>
      <c r="F810" s="13" t="str">
        <v>5987</v>
      </c>
      <c r="G810" s="13" t="str">
        <v>61</v>
      </c>
      <c r="H810" s="13" t="str">
        <f>_xlfn.CONCAT(Sheet1!A810," --&gt; ",Sheet1!J810)</f>
        <v>559-61-5987 --&gt; 18.6375</v>
      </c>
      <c r="I810" s="13" t="str">
        <f>_xlfn.CONCAT(Sheet1!C810,"_",TEXT(Sheet1!K810, "m/d/yyyy"))</f>
        <v>Mandalay_1/14/2019</v>
      </c>
      <c r="J810" s="13" t="str">
        <f>IF(Sheet1!I810=Sheet1!N810*0.05,"Valid","Error")</f>
        <v>Valid</v>
      </c>
      <c r="K810" s="13" t="str">
        <f>IF(Sheet1!N810=Sheet1!G810*Sheet1!H810,"True","False")</f>
        <v>True</v>
      </c>
      <c r="L810" s="13" t="b">
        <v>1</v>
      </c>
      <c r="M810" s="9" t="b">
        <f>ISNUMBER(Sheet1!J810)</f>
        <v>1</v>
      </c>
      <c r="N810" s="13" t="str">
        <f>IF(Sheet1!B810="A","Branch A",IF(Sheet1!B810="B","Branch B","Other Branch"))</f>
        <v>Branch B</v>
      </c>
      <c r="O810" s="13" t="str">
        <f>IF(Sheet1!M810="Credit card","Credit Payment","Other")</f>
        <v>Other</v>
      </c>
      <c r="P810" s="13" t="str">
        <f>IF(Sheet1!O810&gt;7,"Yes","No")</f>
        <v>Yes</v>
      </c>
    </row>
    <row r="811" spans="5:16">
      <c r="E811" s="13" t="str">
        <v>189</v>
      </c>
      <c r="F811" s="13" t="str">
        <v>2313</v>
      </c>
      <c r="G811" s="13" t="str">
        <v>55</v>
      </c>
      <c r="H811" s="13" t="str">
        <f>_xlfn.CONCAT(Sheet1!A811," --&gt; ",Sheet1!J811)</f>
        <v>189-55-2313 --&gt; 652.89</v>
      </c>
      <c r="I811" s="13" t="str">
        <f>_xlfn.CONCAT(Sheet1!C811,"_",TEXT(Sheet1!K811, "m/d/yyyy"))</f>
        <v>Naypyitaw_1/31/2019</v>
      </c>
      <c r="J811" s="13" t="str">
        <f>IF(Sheet1!I811=Sheet1!N811*0.05,"Valid","Error")</f>
        <v>Valid</v>
      </c>
      <c r="K811" s="13" t="str">
        <f>IF(Sheet1!N811=Sheet1!G811*Sheet1!H811,"True","False")</f>
        <v>True</v>
      </c>
      <c r="L811" s="13" t="b">
        <v>1</v>
      </c>
      <c r="M811" s="9" t="b">
        <f>ISNUMBER(Sheet1!J811)</f>
        <v>1</v>
      </c>
      <c r="N811" s="13" t="str">
        <f>IF(Sheet1!B811="A","Branch A",IF(Sheet1!B811="B","Branch B","Other Branch"))</f>
        <v>Other Branch</v>
      </c>
      <c r="O811" s="13" t="str">
        <f>IF(Sheet1!M811="Credit card","Credit Payment","Other")</f>
        <v>Other</v>
      </c>
      <c r="P811" s="13" t="str">
        <f>IF(Sheet1!O811&gt;7,"Yes","No")</f>
        <v>No</v>
      </c>
    </row>
    <row r="812" spans="5:16">
      <c r="E812" s="13" t="str">
        <v>565</v>
      </c>
      <c r="F812" s="13" t="str">
        <v>4567</v>
      </c>
      <c r="G812" s="13" t="str">
        <v>91</v>
      </c>
      <c r="H812" s="13" t="str">
        <f>_xlfn.CONCAT(Sheet1!A812," --&gt; ",Sheet1!J812)</f>
        <v>565-91-4567 --&gt; 90.3</v>
      </c>
      <c r="I812" s="13" t="str">
        <f>_xlfn.CONCAT(Sheet1!C812,"_",TEXT(Sheet1!K812, "m/d/yyyy"))</f>
        <v>Mandalay_3/15/2019</v>
      </c>
      <c r="J812" s="13" t="str">
        <f>IF(Sheet1!I812=Sheet1!N812*0.05,"Valid","Error")</f>
        <v>Valid</v>
      </c>
      <c r="K812" s="13" t="str">
        <f>IF(Sheet1!N812=Sheet1!G812*Sheet1!H812,"True","False")</f>
        <v>True</v>
      </c>
      <c r="L812" s="13" t="b">
        <v>1</v>
      </c>
      <c r="M812" s="9" t="b">
        <f>ISNUMBER(Sheet1!J812)</f>
        <v>1</v>
      </c>
      <c r="N812" s="13" t="str">
        <f>IF(Sheet1!B812="A","Branch A",IF(Sheet1!B812="B","Branch B","Other Branch"))</f>
        <v>Branch B</v>
      </c>
      <c r="O812" s="13" t="str">
        <f>IF(Sheet1!M812="Credit card","Credit Payment","Other")</f>
        <v>Other</v>
      </c>
      <c r="P812" s="13" t="str">
        <f>IF(Sheet1!O812&gt;7,"Yes","No")</f>
        <v>No</v>
      </c>
    </row>
    <row r="813" spans="5:16">
      <c r="E813" s="13" t="str">
        <v>380</v>
      </c>
      <c r="F813" s="13" t="str">
        <v>5336</v>
      </c>
      <c r="G813" s="13" t="str">
        <v>60</v>
      </c>
      <c r="H813" s="13" t="str">
        <f>_xlfn.CONCAT(Sheet1!A813," --&gt; ",Sheet1!J813)</f>
        <v>380-60-5336 --&gt; 422.73</v>
      </c>
      <c r="I813" s="13" t="str">
        <f>_xlfn.CONCAT(Sheet1!C813,"_",TEXT(Sheet1!K813, "m/d/yyyy"))</f>
        <v>Yangon_2/24/2019</v>
      </c>
      <c r="J813" s="13" t="str">
        <f>IF(Sheet1!I813=Sheet1!N813*0.05,"Valid","Error")</f>
        <v>Valid</v>
      </c>
      <c r="K813" s="13" t="str">
        <f>IF(Sheet1!N813=Sheet1!G813*Sheet1!H813,"True","False")</f>
        <v>True</v>
      </c>
      <c r="L813" s="13" t="b">
        <v>1</v>
      </c>
      <c r="M813" s="9" t="b">
        <f>ISNUMBER(Sheet1!J813)</f>
        <v>1</v>
      </c>
      <c r="N813" s="13" t="str">
        <f>IF(Sheet1!B813="A","Branch A",IF(Sheet1!B813="B","Branch B","Other Branch"))</f>
        <v>Branch A</v>
      </c>
      <c r="O813" s="13" t="str">
        <f>IF(Sheet1!M813="Credit card","Credit Payment","Other")</f>
        <v>Credit Payment</v>
      </c>
      <c r="P813" s="13" t="str">
        <f>IF(Sheet1!O813&gt;7,"Yes","No")</f>
        <v>No</v>
      </c>
    </row>
    <row r="814" spans="5:16">
      <c r="E814" s="13" t="str">
        <v>815</v>
      </c>
      <c r="F814" s="13" t="str">
        <v>6282</v>
      </c>
      <c r="G814" s="13" t="str">
        <v>04</v>
      </c>
      <c r="H814" s="13" t="str">
        <f>_xlfn.CONCAT(Sheet1!A814," --&gt; ",Sheet1!J814)</f>
        <v>815-04-6282 --&gt; 341.0925</v>
      </c>
      <c r="I814" s="13" t="str">
        <f>_xlfn.CONCAT(Sheet1!C814,"_",TEXT(Sheet1!K814, "m/d/yyyy"))</f>
        <v>Naypyitaw_2/8/2019</v>
      </c>
      <c r="J814" s="13" t="str">
        <f>IF(Sheet1!I814=Sheet1!N814*0.05,"Valid","Error")</f>
        <v>Valid</v>
      </c>
      <c r="K814" s="13" t="str">
        <f>IF(Sheet1!N814=Sheet1!G814*Sheet1!H814,"True","False")</f>
        <v>True</v>
      </c>
      <c r="L814" s="13" t="b">
        <v>1</v>
      </c>
      <c r="M814" s="9" t="b">
        <f>ISNUMBER(Sheet1!J814)</f>
        <v>1</v>
      </c>
      <c r="N814" s="13" t="str">
        <f>IF(Sheet1!B814="A","Branch A",IF(Sheet1!B814="B","Branch B","Other Branch"))</f>
        <v>Other Branch</v>
      </c>
      <c r="O814" s="13" t="str">
        <f>IF(Sheet1!M814="Credit card","Credit Payment","Other")</f>
        <v>Credit Payment</v>
      </c>
      <c r="P814" s="13" t="str">
        <f>IF(Sheet1!O814&gt;7,"Yes","No")</f>
        <v>No</v>
      </c>
    </row>
    <row r="815" spans="5:16">
      <c r="E815" s="13" t="str">
        <v>674</v>
      </c>
      <c r="F815" s="13" t="str">
        <v>6360</v>
      </c>
      <c r="G815" s="13" t="str">
        <v>56</v>
      </c>
      <c r="H815" s="13" t="str">
        <f>_xlfn.CONCAT(Sheet1!A815," --&gt; ",Sheet1!J815)</f>
        <v>674-56-6360 --&gt; 99.9075</v>
      </c>
      <c r="I815" s="13" t="str">
        <f>_xlfn.CONCAT(Sheet1!C815,"_",TEXT(Sheet1!K815, "m/d/yyyy"))</f>
        <v>Yangon_3/22/2019</v>
      </c>
      <c r="J815" s="13" t="str">
        <f>IF(Sheet1!I815=Sheet1!N815*0.05,"Valid","Error")</f>
        <v>Valid</v>
      </c>
      <c r="K815" s="13" t="str">
        <f>IF(Sheet1!N815=Sheet1!G815*Sheet1!H815,"True","False")</f>
        <v>True</v>
      </c>
      <c r="L815" s="13" t="b">
        <v>1</v>
      </c>
      <c r="M815" s="9" t="b">
        <f>ISNUMBER(Sheet1!J815)</f>
        <v>1</v>
      </c>
      <c r="N815" s="13" t="str">
        <f>IF(Sheet1!B815="A","Branch A",IF(Sheet1!B815="B","Branch B","Other Branch"))</f>
        <v>Branch A</v>
      </c>
      <c r="O815" s="13" t="str">
        <f>IF(Sheet1!M815="Credit card","Credit Payment","Other")</f>
        <v>Other</v>
      </c>
      <c r="P815" s="13" t="str">
        <f>IF(Sheet1!O815&gt;7,"Yes","No")</f>
        <v>No</v>
      </c>
    </row>
    <row r="816" spans="5:16">
      <c r="E816" s="13" t="str">
        <v>778</v>
      </c>
      <c r="F816" s="13" t="str">
        <v>2523</v>
      </c>
      <c r="G816" s="13" t="str">
        <v>34</v>
      </c>
      <c r="H816" s="13" t="str">
        <f>_xlfn.CONCAT(Sheet1!A816," --&gt; ",Sheet1!J816)</f>
        <v>778-34-2523 --&gt; 408.408</v>
      </c>
      <c r="I816" s="13" t="str">
        <f>_xlfn.CONCAT(Sheet1!C816,"_",TEXT(Sheet1!K816, "m/d/yyyy"))</f>
        <v>Yangon_1/24/2019</v>
      </c>
      <c r="J816" s="13" t="str">
        <f>IF(Sheet1!I816=Sheet1!N816*0.05,"Valid","Error")</f>
        <v>Valid</v>
      </c>
      <c r="K816" s="13" t="str">
        <f>IF(Sheet1!N816=Sheet1!G816*Sheet1!H816,"True","False")</f>
        <v>True</v>
      </c>
      <c r="L816" s="13" t="b">
        <v>1</v>
      </c>
      <c r="M816" s="9" t="b">
        <f>ISNUMBER(Sheet1!J816)</f>
        <v>1</v>
      </c>
      <c r="N816" s="13" t="str">
        <f>IF(Sheet1!B816="A","Branch A",IF(Sheet1!B816="B","Branch B","Other Branch"))</f>
        <v>Branch A</v>
      </c>
      <c r="O816" s="13" t="str">
        <f>IF(Sheet1!M816="Credit card","Credit Payment","Other")</f>
        <v>Other</v>
      </c>
      <c r="P816" s="13" t="str">
        <f>IF(Sheet1!O816&gt;7,"Yes","No")</f>
        <v>No</v>
      </c>
    </row>
    <row r="817" spans="5:16">
      <c r="E817" s="13" t="str">
        <v>499</v>
      </c>
      <c r="F817" s="13" t="str">
        <v>7781</v>
      </c>
      <c r="G817" s="13" t="str">
        <v>27</v>
      </c>
      <c r="H817" s="13" t="str">
        <f>_xlfn.CONCAT(Sheet1!A817," --&gt; ",Sheet1!J817)</f>
        <v>499-27-7781 --&gt; 446.964</v>
      </c>
      <c r="I817" s="13" t="str">
        <f>_xlfn.CONCAT(Sheet1!C817,"_",TEXT(Sheet1!K817, "m/d/yyyy"))</f>
        <v>Mandalay_3/14/2019</v>
      </c>
      <c r="J817" s="13" t="str">
        <f>IF(Sheet1!I817=Sheet1!N817*0.05,"Valid","Error")</f>
        <v>Valid</v>
      </c>
      <c r="K817" s="13" t="str">
        <f>IF(Sheet1!N817=Sheet1!G817*Sheet1!H817,"True","False")</f>
        <v>True</v>
      </c>
      <c r="L817" s="13" t="b">
        <v>1</v>
      </c>
      <c r="M817" s="9" t="b">
        <f>ISNUMBER(Sheet1!J817)</f>
        <v>1</v>
      </c>
      <c r="N817" s="13" t="str">
        <f>IF(Sheet1!B817="A","Branch A",IF(Sheet1!B817="B","Branch B","Other Branch"))</f>
        <v>Branch B</v>
      </c>
      <c r="O817" s="13" t="str">
        <f>IF(Sheet1!M817="Credit card","Credit Payment","Other")</f>
        <v>Other</v>
      </c>
      <c r="P817" s="13" t="str">
        <f>IF(Sheet1!O817&gt;7,"Yes","No")</f>
        <v>No</v>
      </c>
    </row>
    <row r="818" spans="5:16">
      <c r="E818" s="13" t="str">
        <v>477</v>
      </c>
      <c r="F818" s="13" t="str">
        <v>2456</v>
      </c>
      <c r="G818" s="13" t="str">
        <v>59</v>
      </c>
      <c r="H818" s="13" t="str">
        <f>_xlfn.CONCAT(Sheet1!A818," --&gt; ",Sheet1!J818)</f>
        <v>477-59-2456 --&gt; 333.984</v>
      </c>
      <c r="I818" s="13" t="str">
        <f>_xlfn.CONCAT(Sheet1!C818,"_",TEXT(Sheet1!K818, "m/d/yyyy"))</f>
        <v>Naypyitaw_1/23/2019</v>
      </c>
      <c r="J818" s="13" t="str">
        <f>IF(Sheet1!I818=Sheet1!N818*0.05,"Valid","Error")</f>
        <v>Valid</v>
      </c>
      <c r="K818" s="13" t="str">
        <f>IF(Sheet1!N818=Sheet1!G818*Sheet1!H818,"True","False")</f>
        <v>True</v>
      </c>
      <c r="L818" s="13" t="b">
        <v>1</v>
      </c>
      <c r="M818" s="9" t="b">
        <f>ISNUMBER(Sheet1!J818)</f>
        <v>1</v>
      </c>
      <c r="N818" s="13" t="str">
        <f>IF(Sheet1!B818="A","Branch A",IF(Sheet1!B818="B","Branch B","Other Branch"))</f>
        <v>Other Branch</v>
      </c>
      <c r="O818" s="13" t="str">
        <f>IF(Sheet1!M818="Credit card","Credit Payment","Other")</f>
        <v>Other</v>
      </c>
      <c r="P818" s="13" t="str">
        <f>IF(Sheet1!O818&gt;7,"Yes","No")</f>
        <v>Yes</v>
      </c>
    </row>
    <row r="819" spans="5:16">
      <c r="E819" s="13" t="str">
        <v>832</v>
      </c>
      <c r="F819" s="13" t="str">
        <v>6761</v>
      </c>
      <c r="G819" s="13" t="str">
        <v>51</v>
      </c>
      <c r="H819" s="13" t="str">
        <f>_xlfn.CONCAT(Sheet1!A819," --&gt; ",Sheet1!J819)</f>
        <v>832-51-6761 --&gt; 284.592</v>
      </c>
      <c r="I819" s="13" t="str">
        <f>_xlfn.CONCAT(Sheet1!C819,"_",TEXT(Sheet1!K819, "m/d/yyyy"))</f>
        <v>Yangon_1/19/2019</v>
      </c>
      <c r="J819" s="13" t="str">
        <f>IF(Sheet1!I819=Sheet1!N819*0.05,"Valid","Error")</f>
        <v>Valid</v>
      </c>
      <c r="K819" s="13" t="str">
        <f>IF(Sheet1!N819=Sheet1!G819*Sheet1!H819,"True","False")</f>
        <v>True</v>
      </c>
      <c r="L819" s="13" t="b">
        <v>1</v>
      </c>
      <c r="M819" s="9" t="b">
        <f>ISNUMBER(Sheet1!J819)</f>
        <v>1</v>
      </c>
      <c r="N819" s="13" t="str">
        <f>IF(Sheet1!B819="A","Branch A",IF(Sheet1!B819="B","Branch B","Other Branch"))</f>
        <v>Branch A</v>
      </c>
      <c r="O819" s="13" t="str">
        <f>IF(Sheet1!M819="Credit card","Credit Payment","Other")</f>
        <v>Other</v>
      </c>
      <c r="P819" s="13" t="str">
        <f>IF(Sheet1!O819&gt;7,"Yes","No")</f>
        <v>Yes</v>
      </c>
    </row>
    <row r="820" spans="5:16">
      <c r="E820" s="13" t="str">
        <v>869</v>
      </c>
      <c r="F820" s="13" t="str">
        <v>3082</v>
      </c>
      <c r="G820" s="13" t="str">
        <v>11</v>
      </c>
      <c r="H820" s="13" t="str">
        <f>_xlfn.CONCAT(Sheet1!A820," --&gt; ",Sheet1!J820)</f>
        <v>869-11-3082 --&gt; 403.872</v>
      </c>
      <c r="I820" s="13" t="str">
        <f>_xlfn.CONCAT(Sheet1!C820,"_",TEXT(Sheet1!K820, "m/d/yyyy"))</f>
        <v>Mandalay_1/27/2019</v>
      </c>
      <c r="J820" s="13" t="str">
        <f>IF(Sheet1!I820=Sheet1!N820*0.05,"Valid","Error")</f>
        <v>Valid</v>
      </c>
      <c r="K820" s="13" t="str">
        <f>IF(Sheet1!N820=Sheet1!G820*Sheet1!H820,"True","False")</f>
        <v>True</v>
      </c>
      <c r="L820" s="13" t="b">
        <v>1</v>
      </c>
      <c r="M820" s="9" t="b">
        <f>ISNUMBER(Sheet1!J820)</f>
        <v>1</v>
      </c>
      <c r="N820" s="13" t="str">
        <f>IF(Sheet1!B820="A","Branch A",IF(Sheet1!B820="B","Branch B","Other Branch"))</f>
        <v>Branch B</v>
      </c>
      <c r="O820" s="13" t="str">
        <f>IF(Sheet1!M820="Credit card","Credit Payment","Other")</f>
        <v>Credit Payment</v>
      </c>
      <c r="P820" s="13" t="str">
        <f>IF(Sheet1!O820&gt;7,"Yes","No")</f>
        <v>Yes</v>
      </c>
    </row>
    <row r="821" spans="5:16">
      <c r="E821" s="13" t="str">
        <v>190</v>
      </c>
      <c r="F821" s="13" t="str">
        <v>3964</v>
      </c>
      <c r="G821" s="13" t="str">
        <v>59</v>
      </c>
      <c r="H821" s="13" t="str">
        <f>_xlfn.CONCAT(Sheet1!A821," --&gt; ",Sheet1!J821)</f>
        <v>190-59-3964 --&gt; 247.59</v>
      </c>
      <c r="I821" s="13" t="str">
        <f>_xlfn.CONCAT(Sheet1!C821,"_",TEXT(Sheet1!K821, "m/d/yyyy"))</f>
        <v>Mandalay_2/3/2019</v>
      </c>
      <c r="J821" s="13" t="str">
        <f>IF(Sheet1!I821=Sheet1!N821*0.05,"Valid","Error")</f>
        <v>Valid</v>
      </c>
      <c r="K821" s="13" t="str">
        <f>IF(Sheet1!N821=Sheet1!G821*Sheet1!H821,"True","False")</f>
        <v>True</v>
      </c>
      <c r="L821" s="13" t="b">
        <v>1</v>
      </c>
      <c r="M821" s="9" t="b">
        <f>ISNUMBER(Sheet1!J821)</f>
        <v>1</v>
      </c>
      <c r="N821" s="13" t="str">
        <f>IF(Sheet1!B821="A","Branch A",IF(Sheet1!B821="B","Branch B","Other Branch"))</f>
        <v>Branch B</v>
      </c>
      <c r="O821" s="13" t="str">
        <f>IF(Sheet1!M821="Credit card","Credit Payment","Other")</f>
        <v>Credit Payment</v>
      </c>
      <c r="P821" s="13" t="str">
        <f>IF(Sheet1!O821&gt;7,"Yes","No")</f>
        <v>No</v>
      </c>
    </row>
    <row r="822" spans="5:16">
      <c r="E822" s="13" t="str">
        <v>366</v>
      </c>
      <c r="F822" s="13" t="str">
        <v>6862</v>
      </c>
      <c r="G822" s="13" t="str">
        <v>43</v>
      </c>
      <c r="H822" s="13" t="str">
        <f>_xlfn.CONCAT(Sheet1!A822," --&gt; ",Sheet1!J822)</f>
        <v>366-43-6862 --&gt; 222.138</v>
      </c>
      <c r="I822" s="13" t="str">
        <f>_xlfn.CONCAT(Sheet1!C822,"_",TEXT(Sheet1!K822, "m/d/yyyy"))</f>
        <v>Mandalay_3/25/2019</v>
      </c>
      <c r="J822" s="13" t="str">
        <f>IF(Sheet1!I822=Sheet1!N822*0.05,"Valid","Error")</f>
        <v>Valid</v>
      </c>
      <c r="K822" s="13" t="str">
        <f>IF(Sheet1!N822=Sheet1!G822*Sheet1!H822,"True","False")</f>
        <v>True</v>
      </c>
      <c r="L822" s="13" t="b">
        <v>1</v>
      </c>
      <c r="M822" s="9" t="b">
        <f>ISNUMBER(Sheet1!J822)</f>
        <v>1</v>
      </c>
      <c r="N822" s="13" t="str">
        <f>IF(Sheet1!B822="A","Branch A",IF(Sheet1!B822="B","Branch B","Other Branch"))</f>
        <v>Branch B</v>
      </c>
      <c r="O822" s="13" t="str">
        <f>IF(Sheet1!M822="Credit card","Credit Payment","Other")</f>
        <v>Other</v>
      </c>
      <c r="P822" s="13" t="str">
        <f>IF(Sheet1!O822&gt;7,"Yes","No")</f>
        <v>No</v>
      </c>
    </row>
    <row r="823" spans="5:16">
      <c r="E823" s="13" t="str">
        <v>186</v>
      </c>
      <c r="F823" s="13" t="str">
        <v>8965</v>
      </c>
      <c r="G823" s="13" t="str">
        <v>43</v>
      </c>
      <c r="H823" s="13" t="str">
        <f>_xlfn.CONCAT(Sheet1!A823," --&gt; ",Sheet1!J823)</f>
        <v>186-43-8965 --&gt; 100.128</v>
      </c>
      <c r="I823" s="13" t="str">
        <f>_xlfn.CONCAT(Sheet1!C823,"_",TEXT(Sheet1!K823, "m/d/yyyy"))</f>
        <v>Yangon_2/24/2019</v>
      </c>
      <c r="J823" s="13" t="str">
        <f>IF(Sheet1!I823=Sheet1!N823*0.05,"Valid","Error")</f>
        <v>Valid</v>
      </c>
      <c r="K823" s="13" t="str">
        <f>IF(Sheet1!N823=Sheet1!G823*Sheet1!H823,"True","False")</f>
        <v>True</v>
      </c>
      <c r="L823" s="13" t="b">
        <v>1</v>
      </c>
      <c r="M823" s="9" t="b">
        <f>ISNUMBER(Sheet1!J823)</f>
        <v>1</v>
      </c>
      <c r="N823" s="13" t="str">
        <f>IF(Sheet1!B823="A","Branch A",IF(Sheet1!B823="B","Branch B","Other Branch"))</f>
        <v>Branch A</v>
      </c>
      <c r="O823" s="13" t="str">
        <f>IF(Sheet1!M823="Credit card","Credit Payment","Other")</f>
        <v>Credit Payment</v>
      </c>
      <c r="P823" s="13" t="str">
        <f>IF(Sheet1!O823&gt;7,"Yes","No")</f>
        <v>No</v>
      </c>
    </row>
    <row r="824" spans="5:16">
      <c r="E824" s="13" t="str">
        <v>784</v>
      </c>
      <c r="F824" s="13" t="str">
        <v>9238</v>
      </c>
      <c r="G824" s="13" t="str">
        <v>21</v>
      </c>
      <c r="H824" s="13" t="str">
        <f>_xlfn.CONCAT(Sheet1!A824," --&gt; ",Sheet1!J824)</f>
        <v>784-21-9238 --&gt; 10.6785</v>
      </c>
      <c r="I824" s="13" t="str">
        <f>_xlfn.CONCAT(Sheet1!C824,"_",TEXT(Sheet1!K824, "m/d/yyyy"))</f>
        <v>Naypyitaw_2/7/2019</v>
      </c>
      <c r="J824" s="13" t="str">
        <f>IF(Sheet1!I824=Sheet1!N824*0.05,"Valid","Error")</f>
        <v>Valid</v>
      </c>
      <c r="K824" s="13" t="str">
        <f>IF(Sheet1!N824=Sheet1!G824*Sheet1!H824,"True","False")</f>
        <v>True</v>
      </c>
      <c r="L824" s="13" t="b">
        <v>1</v>
      </c>
      <c r="M824" s="9" t="b">
        <f>ISNUMBER(Sheet1!J824)</f>
        <v>1</v>
      </c>
      <c r="N824" s="13" t="str">
        <f>IF(Sheet1!B824="A","Branch A",IF(Sheet1!B824="B","Branch B","Other Branch"))</f>
        <v>Other Branch</v>
      </c>
      <c r="O824" s="13" t="str">
        <f>IF(Sheet1!M824="Credit card","Credit Payment","Other")</f>
        <v>Other</v>
      </c>
      <c r="P824" s="13" t="str">
        <f>IF(Sheet1!O824&gt;7,"Yes","No")</f>
        <v>No</v>
      </c>
    </row>
    <row r="825" spans="5:16">
      <c r="E825" s="13" t="str">
        <v>276</v>
      </c>
      <c r="F825" s="13" t="str">
        <v>6884</v>
      </c>
      <c r="G825" s="13" t="str">
        <v>75</v>
      </c>
      <c r="H825" s="13" t="str">
        <f>_xlfn.CONCAT(Sheet1!A825," --&gt; ",Sheet1!J825)</f>
        <v>276-75-6884 --&gt; 216.4365</v>
      </c>
      <c r="I825" s="13" t="str">
        <f>_xlfn.CONCAT(Sheet1!C825,"_",TEXT(Sheet1!K825, "m/d/yyyy"))</f>
        <v>Yangon_3/4/2019</v>
      </c>
      <c r="J825" s="13" t="str">
        <f>IF(Sheet1!I825=Sheet1!N825*0.05,"Valid","Error")</f>
        <v>Valid</v>
      </c>
      <c r="K825" s="13" t="str">
        <f>IF(Sheet1!N825=Sheet1!G825*Sheet1!H825,"True","False")</f>
        <v>True</v>
      </c>
      <c r="L825" s="13" t="b">
        <v>1</v>
      </c>
      <c r="M825" s="9" t="b">
        <f>ISNUMBER(Sheet1!J825)</f>
        <v>1</v>
      </c>
      <c r="N825" s="13" t="str">
        <f>IF(Sheet1!B825="A","Branch A",IF(Sheet1!B825="B","Branch B","Other Branch"))</f>
        <v>Branch A</v>
      </c>
      <c r="O825" s="13" t="str">
        <f>IF(Sheet1!M825="Credit card","Credit Payment","Other")</f>
        <v>Other</v>
      </c>
      <c r="P825" s="13" t="str">
        <f>IF(Sheet1!O825&gt;7,"Yes","No")</f>
        <v>Yes</v>
      </c>
    </row>
    <row r="826" spans="5:16">
      <c r="E826" s="13" t="str">
        <v>109</v>
      </c>
      <c r="F826" s="13" t="str">
        <v>4363</v>
      </c>
      <c r="G826" s="13" t="str">
        <v>86</v>
      </c>
      <c r="H826" s="13" t="str">
        <f>_xlfn.CONCAT(Sheet1!A826," --&gt; ",Sheet1!J826)</f>
        <v>109-86-4363 --&gt; 441.588</v>
      </c>
      <c r="I826" s="13" t="str">
        <f>_xlfn.CONCAT(Sheet1!C826,"_",TEXT(Sheet1!K826, "m/d/yyyy"))</f>
        <v>Mandalay_2/14/2019</v>
      </c>
      <c r="J826" s="13" t="str">
        <f>IF(Sheet1!I826=Sheet1!N826*0.05,"Valid","Error")</f>
        <v>Valid</v>
      </c>
      <c r="K826" s="13" t="str">
        <f>IF(Sheet1!N826=Sheet1!G826*Sheet1!H826,"True","False")</f>
        <v>True</v>
      </c>
      <c r="L826" s="13" t="b">
        <v>1</v>
      </c>
      <c r="M826" s="9" t="b">
        <f>ISNUMBER(Sheet1!J826)</f>
        <v>1</v>
      </c>
      <c r="N826" s="13" t="str">
        <f>IF(Sheet1!B826="A","Branch A",IF(Sheet1!B826="B","Branch B","Other Branch"))</f>
        <v>Branch B</v>
      </c>
      <c r="O826" s="13" t="str">
        <f>IF(Sheet1!M826="Credit card","Credit Payment","Other")</f>
        <v>Credit Payment</v>
      </c>
      <c r="P826" s="13" t="str">
        <f>IF(Sheet1!O826&gt;7,"Yes","No")</f>
        <v>No</v>
      </c>
    </row>
    <row r="827" spans="5:16">
      <c r="E827" s="13" t="str">
        <v>569</v>
      </c>
      <c r="F827" s="13" t="str">
        <v>2760</v>
      </c>
      <c r="G827" s="13" t="str">
        <v>76</v>
      </c>
      <c r="H827" s="13" t="str">
        <f>_xlfn.CONCAT(Sheet1!A827," --&gt; ",Sheet1!J827)</f>
        <v>569-76-2760 --&gt; 92.442</v>
      </c>
      <c r="I827" s="13" t="str">
        <f>_xlfn.CONCAT(Sheet1!C827,"_",TEXT(Sheet1!K827, "m/d/yyyy"))</f>
        <v>Yangon_1/29/2019</v>
      </c>
      <c r="J827" s="13" t="str">
        <f>IF(Sheet1!I827=Sheet1!N827*0.05,"Valid","Error")</f>
        <v>Valid</v>
      </c>
      <c r="K827" s="13" t="str">
        <f>IF(Sheet1!N827=Sheet1!G827*Sheet1!H827,"True","False")</f>
        <v>True</v>
      </c>
      <c r="L827" s="13" t="b">
        <v>1</v>
      </c>
      <c r="M827" s="9" t="b">
        <f>ISNUMBER(Sheet1!J827)</f>
        <v>1</v>
      </c>
      <c r="N827" s="13" t="str">
        <f>IF(Sheet1!B827="A","Branch A",IF(Sheet1!B827="B","Branch B","Other Branch"))</f>
        <v>Branch A</v>
      </c>
      <c r="O827" s="13" t="str">
        <f>IF(Sheet1!M827="Credit card","Credit Payment","Other")</f>
        <v>Credit Payment</v>
      </c>
      <c r="P827" s="13" t="str">
        <f>IF(Sheet1!O827&gt;7,"Yes","No")</f>
        <v>No</v>
      </c>
    </row>
    <row r="828" spans="5:16">
      <c r="E828" s="13" t="str">
        <v>222</v>
      </c>
      <c r="F828" s="13" t="str">
        <v>0244</v>
      </c>
      <c r="G828" s="13" t="str">
        <v>42</v>
      </c>
      <c r="H828" s="13" t="str">
        <f>_xlfn.CONCAT(Sheet1!A828," --&gt; ",Sheet1!J828)</f>
        <v>222-42-0244 --&gt; 681.4395</v>
      </c>
      <c r="I828" s="13" t="str">
        <f>_xlfn.CONCAT(Sheet1!C828,"_",TEXT(Sheet1!K828, "m/d/yyyy"))</f>
        <v>Mandalay_1/28/2019</v>
      </c>
      <c r="J828" s="13" t="str">
        <f>IF(Sheet1!I828=Sheet1!N828*0.05,"Valid","Error")</f>
        <v>Valid</v>
      </c>
      <c r="K828" s="13" t="str">
        <f>IF(Sheet1!N828=Sheet1!G828*Sheet1!H828,"True","False")</f>
        <v>True</v>
      </c>
      <c r="L828" s="13" t="b">
        <v>1</v>
      </c>
      <c r="M828" s="9" t="b">
        <f>ISNUMBER(Sheet1!J828)</f>
        <v>1</v>
      </c>
      <c r="N828" s="13" t="str">
        <f>IF(Sheet1!B828="A","Branch A",IF(Sheet1!B828="B","Branch B","Other Branch"))</f>
        <v>Branch B</v>
      </c>
      <c r="O828" s="13" t="str">
        <f>IF(Sheet1!M828="Credit card","Credit Payment","Other")</f>
        <v>Credit Payment</v>
      </c>
      <c r="P828" s="13" t="str">
        <f>IF(Sheet1!O828&gt;7,"Yes","No")</f>
        <v>Yes</v>
      </c>
    </row>
    <row r="829" spans="5:16">
      <c r="E829" s="13" t="str">
        <v>760</v>
      </c>
      <c r="F829" s="13" t="str">
        <v>9233</v>
      </c>
      <c r="G829" s="13" t="str">
        <v>53</v>
      </c>
      <c r="H829" s="13" t="str">
        <f>_xlfn.CONCAT(Sheet1!A829," --&gt; ",Sheet1!J829)</f>
        <v>760-53-9233 --&gt; 130.032</v>
      </c>
      <c r="I829" s="13" t="str">
        <f>_xlfn.CONCAT(Sheet1!C829,"_",TEXT(Sheet1!K829, "m/d/yyyy"))</f>
        <v>Yangon_3/26/2019</v>
      </c>
      <c r="J829" s="13" t="str">
        <f>IF(Sheet1!I829=Sheet1!N829*0.05,"Valid","Error")</f>
        <v>Valid</v>
      </c>
      <c r="K829" s="13" t="str">
        <f>IF(Sheet1!N829=Sheet1!G829*Sheet1!H829,"True","False")</f>
        <v>True</v>
      </c>
      <c r="L829" s="13" t="b">
        <v>1</v>
      </c>
      <c r="M829" s="9" t="b">
        <f>ISNUMBER(Sheet1!J829)</f>
        <v>1</v>
      </c>
      <c r="N829" s="13" t="str">
        <f>IF(Sheet1!B829="A","Branch A",IF(Sheet1!B829="B","Branch B","Other Branch"))</f>
        <v>Branch A</v>
      </c>
      <c r="O829" s="13" t="str">
        <f>IF(Sheet1!M829="Credit card","Credit Payment","Other")</f>
        <v>Credit Payment</v>
      </c>
      <c r="P829" s="13" t="str">
        <f>IF(Sheet1!O829&gt;7,"Yes","No")</f>
        <v>Yes</v>
      </c>
    </row>
    <row r="830" spans="5:16">
      <c r="E830" s="13" t="str">
        <v>538</v>
      </c>
      <c r="F830" s="13" t="str">
        <v>0304</v>
      </c>
      <c r="G830" s="13" t="str">
        <v>22</v>
      </c>
      <c r="H830" s="13" t="str">
        <f>_xlfn.CONCAT(Sheet1!A830," --&gt; ",Sheet1!J830)</f>
        <v>538-22-0304 --&gt; 681.975</v>
      </c>
      <c r="I830" s="13" t="str">
        <f>_xlfn.CONCAT(Sheet1!C830,"_",TEXT(Sheet1!K830, "m/d/yyyy"))</f>
        <v>Naypyitaw_3/24/2019</v>
      </c>
      <c r="J830" s="13" t="str">
        <f>IF(Sheet1!I830=Sheet1!N830*0.05,"Valid","Error")</f>
        <v>Valid</v>
      </c>
      <c r="K830" s="13" t="str">
        <f>IF(Sheet1!N830=Sheet1!G830*Sheet1!H830,"True","False")</f>
        <v>True</v>
      </c>
      <c r="L830" s="13" t="b">
        <v>1</v>
      </c>
      <c r="M830" s="9" t="b">
        <f>ISNUMBER(Sheet1!J830)</f>
        <v>1</v>
      </c>
      <c r="N830" s="13" t="str">
        <f>IF(Sheet1!B830="A","Branch A",IF(Sheet1!B830="B","Branch B","Other Branch"))</f>
        <v>Other Branch</v>
      </c>
      <c r="O830" s="13" t="str">
        <f>IF(Sheet1!M830="Credit card","Credit Payment","Other")</f>
        <v>Other</v>
      </c>
      <c r="P830" s="13" t="str">
        <f>IF(Sheet1!O830&gt;7,"Yes","No")</f>
        <v>No</v>
      </c>
    </row>
    <row r="831" spans="5:16">
      <c r="E831" s="13" t="str">
        <v>416</v>
      </c>
      <c r="F831" s="13" t="str">
        <v>9926</v>
      </c>
      <c r="G831" s="13" t="str">
        <v>17</v>
      </c>
      <c r="H831" s="13" t="str">
        <f>_xlfn.CONCAT(Sheet1!A831," --&gt; ",Sheet1!J831)</f>
        <v>416-17-9926 --&gt; 779.31</v>
      </c>
      <c r="I831" s="13" t="str">
        <f>_xlfn.CONCAT(Sheet1!C831,"_",TEXT(Sheet1!K831, "m/d/yyyy"))</f>
        <v>Yangon_1/1/2019</v>
      </c>
      <c r="J831" s="13" t="str">
        <f>IF(Sheet1!I831=Sheet1!N831*0.05,"Valid","Error")</f>
        <v>Valid</v>
      </c>
      <c r="K831" s="13" t="str">
        <f>IF(Sheet1!N831=Sheet1!G831*Sheet1!H831,"True","False")</f>
        <v>True</v>
      </c>
      <c r="L831" s="13" t="b">
        <v>1</v>
      </c>
      <c r="M831" s="9" t="b">
        <f>ISNUMBER(Sheet1!J831)</f>
        <v>1</v>
      </c>
      <c r="N831" s="13" t="str">
        <f>IF(Sheet1!B831="A","Branch A",IF(Sheet1!B831="B","Branch B","Other Branch"))</f>
        <v>Branch A</v>
      </c>
      <c r="O831" s="13" t="str">
        <f>IF(Sheet1!M831="Credit card","Credit Payment","Other")</f>
        <v>Credit Payment</v>
      </c>
      <c r="P831" s="13" t="str">
        <f>IF(Sheet1!O831&gt;7,"Yes","No")</f>
        <v>No</v>
      </c>
    </row>
    <row r="832" spans="5:16">
      <c r="E832" s="13" t="str">
        <v>237</v>
      </c>
      <c r="F832" s="13" t="str">
        <v>6163</v>
      </c>
      <c r="G832" s="13" t="str">
        <v>44</v>
      </c>
      <c r="H832" s="13" t="str">
        <f>_xlfn.CONCAT(Sheet1!A832," --&gt; ",Sheet1!J832)</f>
        <v>237-44-6163 --&gt; 88.704</v>
      </c>
      <c r="I832" s="13" t="str">
        <f>_xlfn.CONCAT(Sheet1!C832,"_",TEXT(Sheet1!K832, "m/d/yyyy"))</f>
        <v>Yangon_1/24/2019</v>
      </c>
      <c r="J832" s="13" t="str">
        <f>IF(Sheet1!I832=Sheet1!N832*0.05,"Valid","Error")</f>
        <v>Valid</v>
      </c>
      <c r="K832" s="13" t="str">
        <f>IF(Sheet1!N832=Sheet1!G832*Sheet1!H832,"True","False")</f>
        <v>True</v>
      </c>
      <c r="L832" s="13" t="b">
        <v>1</v>
      </c>
      <c r="M832" s="9" t="b">
        <f>ISNUMBER(Sheet1!J832)</f>
        <v>1</v>
      </c>
      <c r="N832" s="13" t="str">
        <f>IF(Sheet1!B832="A","Branch A",IF(Sheet1!B832="B","Branch B","Other Branch"))</f>
        <v>Branch A</v>
      </c>
      <c r="O832" s="13" t="str">
        <f>IF(Sheet1!M832="Credit card","Credit Payment","Other")</f>
        <v>Other</v>
      </c>
      <c r="P832" s="13" t="str">
        <f>IF(Sheet1!O832&gt;7,"Yes","No")</f>
        <v>Yes</v>
      </c>
    </row>
    <row r="833" spans="5:16">
      <c r="E833" s="13" t="str">
        <v>636</v>
      </c>
      <c r="F833" s="13" t="str">
        <v>0325</v>
      </c>
      <c r="G833" s="13" t="str">
        <v>17</v>
      </c>
      <c r="H833" s="13" t="str">
        <f>_xlfn.CONCAT(Sheet1!A833," --&gt; ",Sheet1!J833)</f>
        <v>636-17-0325 --&gt; 262.794</v>
      </c>
      <c r="I833" s="13" t="str">
        <f>_xlfn.CONCAT(Sheet1!C833,"_",TEXT(Sheet1!K833, "m/d/yyyy"))</f>
        <v>Mandalay_2/25/2019</v>
      </c>
      <c r="J833" s="13" t="str">
        <f>IF(Sheet1!I833=Sheet1!N833*0.05,"Valid","Error")</f>
        <v>Valid</v>
      </c>
      <c r="K833" s="13" t="str">
        <f>IF(Sheet1!N833=Sheet1!G833*Sheet1!H833,"True","False")</f>
        <v>True</v>
      </c>
      <c r="L833" s="13" t="b">
        <v>1</v>
      </c>
      <c r="M833" s="9" t="b">
        <f>ISNUMBER(Sheet1!J833)</f>
        <v>1</v>
      </c>
      <c r="N833" s="13" t="str">
        <f>IF(Sheet1!B833="A","Branch A",IF(Sheet1!B833="B","Branch B","Other Branch"))</f>
        <v>Branch B</v>
      </c>
      <c r="O833" s="13" t="str">
        <f>IF(Sheet1!M833="Credit card","Credit Payment","Other")</f>
        <v>Other</v>
      </c>
      <c r="P833" s="13" t="str">
        <f>IF(Sheet1!O833&gt;7,"Yes","No")</f>
        <v>Yes</v>
      </c>
    </row>
    <row r="834" spans="5:16">
      <c r="E834" s="13" t="str">
        <v>343</v>
      </c>
      <c r="F834" s="13" t="str">
        <v>9322</v>
      </c>
      <c r="G834" s="13" t="str">
        <v>75</v>
      </c>
      <c r="H834" s="13" t="str">
        <f>_xlfn.CONCAT(Sheet1!A834," --&gt; ",Sheet1!J834)</f>
        <v>343-75-9322 --&gt; 99.54</v>
      </c>
      <c r="I834" s="13" t="str">
        <f>_xlfn.CONCAT(Sheet1!C834,"_",TEXT(Sheet1!K834, "m/d/yyyy"))</f>
        <v>Mandalay_1/9/2019</v>
      </c>
      <c r="J834" s="13" t="str">
        <f>IF(Sheet1!I834=Sheet1!N834*0.05,"Valid","Error")</f>
        <v>Valid</v>
      </c>
      <c r="K834" s="13" t="str">
        <f>IF(Sheet1!N834=Sheet1!G834*Sheet1!H834,"True","False")</f>
        <v>True</v>
      </c>
      <c r="L834" s="13" t="b">
        <v>1</v>
      </c>
      <c r="M834" s="9" t="b">
        <f>ISNUMBER(Sheet1!J834)</f>
        <v>1</v>
      </c>
      <c r="N834" s="13" t="str">
        <f>IF(Sheet1!B834="A","Branch A",IF(Sheet1!B834="B","Branch B","Other Branch"))</f>
        <v>Branch B</v>
      </c>
      <c r="O834" s="13" t="str">
        <f>IF(Sheet1!M834="Credit card","Credit Payment","Other")</f>
        <v>Other</v>
      </c>
      <c r="P834" s="13" t="str">
        <f>IF(Sheet1!O834&gt;7,"Yes","No")</f>
        <v>No</v>
      </c>
    </row>
    <row r="835" spans="5:16">
      <c r="E835" s="13" t="str">
        <v>528</v>
      </c>
      <c r="F835" s="13" t="str">
        <v>9470</v>
      </c>
      <c r="G835" s="13" t="str">
        <v>14</v>
      </c>
      <c r="H835" s="13" t="str">
        <f>_xlfn.CONCAT(Sheet1!A835," --&gt; ",Sheet1!J835)</f>
        <v>528-14-9470 --&gt; 95.865</v>
      </c>
      <c r="I835" s="13" t="str">
        <f>_xlfn.CONCAT(Sheet1!C835,"_",TEXT(Sheet1!K835, "m/d/yyyy"))</f>
        <v>Yangon_2/14/2019</v>
      </c>
      <c r="J835" s="13" t="str">
        <f>IF(Sheet1!I835=Sheet1!N835*0.05,"Valid","Error")</f>
        <v>Valid</v>
      </c>
      <c r="K835" s="13" t="str">
        <f>IF(Sheet1!N835=Sheet1!G835*Sheet1!H835,"True","False")</f>
        <v>True</v>
      </c>
      <c r="L835" s="13" t="b">
        <v>1</v>
      </c>
      <c r="M835" s="9" t="b">
        <f>ISNUMBER(Sheet1!J835)</f>
        <v>1</v>
      </c>
      <c r="N835" s="13" t="str">
        <f>IF(Sheet1!B835="A","Branch A",IF(Sheet1!B835="B","Branch B","Other Branch"))</f>
        <v>Branch A</v>
      </c>
      <c r="O835" s="13" t="str">
        <f>IF(Sheet1!M835="Credit card","Credit Payment","Other")</f>
        <v>Other</v>
      </c>
      <c r="P835" s="13" t="str">
        <f>IF(Sheet1!O835&gt;7,"Yes","No")</f>
        <v>Yes</v>
      </c>
    </row>
    <row r="836" spans="5:16">
      <c r="E836" s="13" t="str">
        <v>427</v>
      </c>
      <c r="F836" s="13" t="str">
        <v>9297</v>
      </c>
      <c r="G836" s="13" t="str">
        <v>45</v>
      </c>
      <c r="H836" s="13" t="str">
        <f>_xlfn.CONCAT(Sheet1!A836," --&gt; ",Sheet1!J836)</f>
        <v>427-45-9297 --&gt; 299.3655</v>
      </c>
      <c r="I836" s="13" t="str">
        <f>_xlfn.CONCAT(Sheet1!C836,"_",TEXT(Sheet1!K836, "m/d/yyyy"))</f>
        <v>Mandalay_3/12/2019</v>
      </c>
      <c r="J836" s="13" t="str">
        <f>IF(Sheet1!I836=Sheet1!N836*0.05,"Valid","Error")</f>
        <v>Valid</v>
      </c>
      <c r="K836" s="13" t="str">
        <f>IF(Sheet1!N836=Sheet1!G836*Sheet1!H836,"True","False")</f>
        <v>True</v>
      </c>
      <c r="L836" s="13" t="b">
        <v>1</v>
      </c>
      <c r="M836" s="9" t="b">
        <f>ISNUMBER(Sheet1!J836)</f>
        <v>1</v>
      </c>
      <c r="N836" s="13" t="str">
        <f>IF(Sheet1!B836="A","Branch A",IF(Sheet1!B836="B","Branch B","Other Branch"))</f>
        <v>Branch B</v>
      </c>
      <c r="O836" s="13" t="str">
        <f>IF(Sheet1!M836="Credit card","Credit Payment","Other")</f>
        <v>Other</v>
      </c>
      <c r="P836" s="13" t="str">
        <f>IF(Sheet1!O836&gt;7,"Yes","No")</f>
        <v>No</v>
      </c>
    </row>
    <row r="837" spans="5:16">
      <c r="E837" s="13" t="str">
        <v>807</v>
      </c>
      <c r="F837" s="13" t="str">
        <v>3742</v>
      </c>
      <c r="G837" s="13" t="str">
        <v>34</v>
      </c>
      <c r="H837" s="13" t="str">
        <f>_xlfn.CONCAT(Sheet1!A837," --&gt; ",Sheet1!J837)</f>
        <v>807-34-3742 --&gt; 54.999</v>
      </c>
      <c r="I837" s="13" t="str">
        <f>_xlfn.CONCAT(Sheet1!C837,"_",TEXT(Sheet1!K837, "m/d/yyyy"))</f>
        <v>Yangon_3/26/2019</v>
      </c>
      <c r="J837" s="13" t="str">
        <f>IF(Sheet1!I837=Sheet1!N837*0.05,"Valid","Error")</f>
        <v>Valid</v>
      </c>
      <c r="K837" s="13" t="str">
        <f>IF(Sheet1!N837=Sheet1!G837*Sheet1!H837,"True","False")</f>
        <v>True</v>
      </c>
      <c r="L837" s="13" t="b">
        <v>1</v>
      </c>
      <c r="M837" s="9" t="b">
        <f>ISNUMBER(Sheet1!J837)</f>
        <v>1</v>
      </c>
      <c r="N837" s="13" t="str">
        <f>IF(Sheet1!B837="A","Branch A",IF(Sheet1!B837="B","Branch B","Other Branch"))</f>
        <v>Branch A</v>
      </c>
      <c r="O837" s="13" t="str">
        <f>IF(Sheet1!M837="Credit card","Credit Payment","Other")</f>
        <v>Other</v>
      </c>
      <c r="P837" s="13" t="str">
        <f>IF(Sheet1!O837&gt;7,"Yes","No")</f>
        <v>No</v>
      </c>
    </row>
    <row r="838" spans="5:16">
      <c r="E838" s="13" t="str">
        <v>288</v>
      </c>
      <c r="F838" s="13" t="str">
        <v>1085</v>
      </c>
      <c r="G838" s="13" t="str">
        <v>62</v>
      </c>
      <c r="H838" s="13" t="str">
        <f>_xlfn.CONCAT(Sheet1!A838," --&gt; ",Sheet1!J838)</f>
        <v>288-62-1085 --&gt; 202.335</v>
      </c>
      <c r="I838" s="13" t="str">
        <f>_xlfn.CONCAT(Sheet1!C838,"_",TEXT(Sheet1!K838, "m/d/yyyy"))</f>
        <v>Yangon_1/9/2019</v>
      </c>
      <c r="J838" s="13" t="str">
        <f>IF(Sheet1!I838=Sheet1!N838*0.05,"Valid","Error")</f>
        <v>Valid</v>
      </c>
      <c r="K838" s="13" t="str">
        <f>IF(Sheet1!N838=Sheet1!G838*Sheet1!H838,"True","False")</f>
        <v>True</v>
      </c>
      <c r="L838" s="13" t="b">
        <v>1</v>
      </c>
      <c r="M838" s="9" t="b">
        <f>ISNUMBER(Sheet1!J838)</f>
        <v>1</v>
      </c>
      <c r="N838" s="13" t="str">
        <f>IF(Sheet1!B838="A","Branch A",IF(Sheet1!B838="B","Branch B","Other Branch"))</f>
        <v>Branch A</v>
      </c>
      <c r="O838" s="13" t="str">
        <f>IF(Sheet1!M838="Credit card","Credit Payment","Other")</f>
        <v>Other</v>
      </c>
      <c r="P838" s="13" t="str">
        <f>IF(Sheet1!O838&gt;7,"Yes","No")</f>
        <v>No</v>
      </c>
    </row>
    <row r="839" spans="5:16">
      <c r="E839" s="13" t="str">
        <v>670</v>
      </c>
      <c r="F839" s="13" t="str">
        <v>7306</v>
      </c>
      <c r="G839" s="13" t="str">
        <v>71</v>
      </c>
      <c r="H839" s="13" t="str">
        <f>_xlfn.CONCAT(Sheet1!A839," --&gt; ",Sheet1!J839)</f>
        <v>670-71-7306 --&gt; 281.169</v>
      </c>
      <c r="I839" s="13" t="str">
        <f>_xlfn.CONCAT(Sheet1!C839,"_",TEXT(Sheet1!K839, "m/d/yyyy"))</f>
        <v>Mandalay_1/2/2019</v>
      </c>
      <c r="J839" s="13" t="str">
        <f>IF(Sheet1!I839=Sheet1!N839*0.05,"Valid","Error")</f>
        <v>Valid</v>
      </c>
      <c r="K839" s="13" t="str">
        <f>IF(Sheet1!N839=Sheet1!G839*Sheet1!H839,"True","False")</f>
        <v>True</v>
      </c>
      <c r="L839" s="13" t="b">
        <v>1</v>
      </c>
      <c r="M839" s="9" t="b">
        <f>ISNUMBER(Sheet1!J839)</f>
        <v>1</v>
      </c>
      <c r="N839" s="13" t="str">
        <f>IF(Sheet1!B839="A","Branch A",IF(Sheet1!B839="B","Branch B","Other Branch"))</f>
        <v>Branch B</v>
      </c>
      <c r="O839" s="13" t="str">
        <f>IF(Sheet1!M839="Credit card","Credit Payment","Other")</f>
        <v>Credit Payment</v>
      </c>
      <c r="P839" s="13" t="str">
        <f>IF(Sheet1!O839&gt;7,"Yes","No")</f>
        <v>No</v>
      </c>
    </row>
    <row r="840" spans="5:16">
      <c r="E840" s="13" t="str">
        <v>660</v>
      </c>
      <c r="F840" s="13" t="str">
        <v>7083</v>
      </c>
      <c r="G840" s="13" t="str">
        <v>29</v>
      </c>
      <c r="H840" s="13" t="str">
        <f>_xlfn.CONCAT(Sheet1!A840," --&gt; ",Sheet1!J840)</f>
        <v>660-29-7083 --&gt; 586.635</v>
      </c>
      <c r="I840" s="13" t="str">
        <f>_xlfn.CONCAT(Sheet1!C840,"_",TEXT(Sheet1!K840, "m/d/yyyy"))</f>
        <v>Naypyitaw_1/15/2019</v>
      </c>
      <c r="J840" s="13" t="str">
        <f>IF(Sheet1!I840=Sheet1!N840*0.05,"Valid","Error")</f>
        <v>Valid</v>
      </c>
      <c r="K840" s="13" t="str">
        <f>IF(Sheet1!N840=Sheet1!G840*Sheet1!H840,"True","False")</f>
        <v>True</v>
      </c>
      <c r="L840" s="13" t="b">
        <v>1</v>
      </c>
      <c r="M840" s="9" t="b">
        <f>ISNUMBER(Sheet1!J840)</f>
        <v>1</v>
      </c>
      <c r="N840" s="13" t="str">
        <f>IF(Sheet1!B840="A","Branch A",IF(Sheet1!B840="B","Branch B","Other Branch"))</f>
        <v>Other Branch</v>
      </c>
      <c r="O840" s="13" t="str">
        <f>IF(Sheet1!M840="Credit card","Credit Payment","Other")</f>
        <v>Other</v>
      </c>
      <c r="P840" s="13" t="str">
        <f>IF(Sheet1!O840&gt;7,"Yes","No")</f>
        <v>No</v>
      </c>
    </row>
    <row r="841" spans="5:16">
      <c r="E841" s="13" t="str">
        <v>271</v>
      </c>
      <c r="F841" s="13" t="str">
        <v>8740</v>
      </c>
      <c r="G841" s="13" t="str">
        <v>77</v>
      </c>
      <c r="H841" s="13" t="str">
        <f>_xlfn.CONCAT(Sheet1!A841," --&gt; ",Sheet1!J841)</f>
        <v>271-77-8740 --&gt; 184.086</v>
      </c>
      <c r="I841" s="13" t="str">
        <f>_xlfn.CONCAT(Sheet1!C841,"_",TEXT(Sheet1!K841, "m/d/yyyy"))</f>
        <v>Naypyitaw_1/1/2019</v>
      </c>
      <c r="J841" s="13" t="str">
        <f>IF(Sheet1!I841=Sheet1!N841*0.05,"Valid","Error")</f>
        <v>Valid</v>
      </c>
      <c r="K841" s="13" t="str">
        <f>IF(Sheet1!N841=Sheet1!G841*Sheet1!H841,"True","False")</f>
        <v>True</v>
      </c>
      <c r="L841" s="13" t="b">
        <v>1</v>
      </c>
      <c r="M841" s="9" t="b">
        <f>ISNUMBER(Sheet1!J841)</f>
        <v>1</v>
      </c>
      <c r="N841" s="13" t="str">
        <f>IF(Sheet1!B841="A","Branch A",IF(Sheet1!B841="B","Branch B","Other Branch"))</f>
        <v>Other Branch</v>
      </c>
      <c r="O841" s="13" t="str">
        <f>IF(Sheet1!M841="Credit card","Credit Payment","Other")</f>
        <v>Other</v>
      </c>
      <c r="P841" s="13" t="str">
        <f>IF(Sheet1!O841&gt;7,"Yes","No")</f>
        <v>No</v>
      </c>
    </row>
    <row r="842" spans="5:16">
      <c r="E842" s="13" t="str">
        <v>497</v>
      </c>
      <c r="F842" s="13" t="str">
        <v>0989</v>
      </c>
      <c r="G842" s="13" t="str">
        <v>36</v>
      </c>
      <c r="H842" s="13" t="str">
        <f>_xlfn.CONCAT(Sheet1!A842," --&gt; ",Sheet1!J842)</f>
        <v>497-36-0989 --&gt; 163.611</v>
      </c>
      <c r="I842" s="13" t="str">
        <f>_xlfn.CONCAT(Sheet1!C842,"_",TEXT(Sheet1!K842, "m/d/yyyy"))</f>
        <v>Yangon_2/15/2019</v>
      </c>
      <c r="J842" s="13" t="str">
        <f>IF(Sheet1!I842=Sheet1!N842*0.05,"Valid","Error")</f>
        <v>Valid</v>
      </c>
      <c r="K842" s="13" t="str">
        <f>IF(Sheet1!N842=Sheet1!G842*Sheet1!H842,"True","False")</f>
        <v>True</v>
      </c>
      <c r="L842" s="13" t="b">
        <v>1</v>
      </c>
      <c r="M842" s="9" t="b">
        <f>ISNUMBER(Sheet1!J842)</f>
        <v>1</v>
      </c>
      <c r="N842" s="13" t="str">
        <f>IF(Sheet1!B842="A","Branch A",IF(Sheet1!B842="B","Branch B","Other Branch"))</f>
        <v>Branch A</v>
      </c>
      <c r="O842" s="13" t="str">
        <f>IF(Sheet1!M842="Credit card","Credit Payment","Other")</f>
        <v>Other</v>
      </c>
      <c r="P842" s="13" t="str">
        <f>IF(Sheet1!O842&gt;7,"Yes","No")</f>
        <v>Yes</v>
      </c>
    </row>
    <row r="843" spans="5:16">
      <c r="E843" s="13" t="str">
        <v>291</v>
      </c>
      <c r="F843" s="13" t="str">
        <v>1384</v>
      </c>
      <c r="G843" s="13" t="str">
        <v>59</v>
      </c>
      <c r="H843" s="13" t="str">
        <f>_xlfn.CONCAT(Sheet1!A843," --&gt; ",Sheet1!J843)</f>
        <v>291-59-1384 --&gt; 63.315</v>
      </c>
      <c r="I843" s="13" t="str">
        <f>_xlfn.CONCAT(Sheet1!C843,"_",TEXT(Sheet1!K843, "m/d/yyyy"))</f>
        <v>Mandalay_2/28/2019</v>
      </c>
      <c r="J843" s="13" t="str">
        <f>IF(Sheet1!I843=Sheet1!N843*0.05,"Valid","Error")</f>
        <v>Valid</v>
      </c>
      <c r="K843" s="13" t="str">
        <f>IF(Sheet1!N843=Sheet1!G843*Sheet1!H843,"True","False")</f>
        <v>True</v>
      </c>
      <c r="L843" s="13" t="b">
        <v>1</v>
      </c>
      <c r="M843" s="9" t="b">
        <f>ISNUMBER(Sheet1!J843)</f>
        <v>1</v>
      </c>
      <c r="N843" s="13" t="str">
        <f>IF(Sheet1!B843="A","Branch A",IF(Sheet1!B843="B","Branch B","Other Branch"))</f>
        <v>Branch B</v>
      </c>
      <c r="O843" s="13" t="str">
        <f>IF(Sheet1!M843="Credit card","Credit Payment","Other")</f>
        <v>Other</v>
      </c>
      <c r="P843" s="13" t="str">
        <f>IF(Sheet1!O843&gt;7,"Yes","No")</f>
        <v>No</v>
      </c>
    </row>
    <row r="844" spans="5:16">
      <c r="E844" s="13" t="str">
        <v>860</v>
      </c>
      <c r="F844" s="13" t="str">
        <v>6466</v>
      </c>
      <c r="G844" s="13" t="str">
        <v>73</v>
      </c>
      <c r="H844" s="13" t="str">
        <f>_xlfn.CONCAT(Sheet1!A844," --&gt; ",Sheet1!J844)</f>
        <v>860-73-6466 --&gt; 82.887</v>
      </c>
      <c r="I844" s="13" t="str">
        <f>_xlfn.CONCAT(Sheet1!C844,"_",TEXT(Sheet1!K844, "m/d/yyyy"))</f>
        <v>Yangon_3/2/2019</v>
      </c>
      <c r="J844" s="13" t="str">
        <f>IF(Sheet1!I844=Sheet1!N844*0.05,"Valid","Error")</f>
        <v>Valid</v>
      </c>
      <c r="K844" s="13" t="str">
        <f>IF(Sheet1!N844=Sheet1!G844*Sheet1!H844,"True","False")</f>
        <v>True</v>
      </c>
      <c r="L844" s="13" t="b">
        <v>1</v>
      </c>
      <c r="M844" s="9" t="b">
        <f>ISNUMBER(Sheet1!J844)</f>
        <v>1</v>
      </c>
      <c r="N844" s="13" t="str">
        <f>IF(Sheet1!B844="A","Branch A",IF(Sheet1!B844="B","Branch B","Other Branch"))</f>
        <v>Branch A</v>
      </c>
      <c r="O844" s="13" t="str">
        <f>IF(Sheet1!M844="Credit card","Credit Payment","Other")</f>
        <v>Credit Payment</v>
      </c>
      <c r="P844" s="13" t="str">
        <f>IF(Sheet1!O844&gt;7,"Yes","No")</f>
        <v>No</v>
      </c>
    </row>
    <row r="845" spans="5:16">
      <c r="E845" s="13" t="str">
        <v>549</v>
      </c>
      <c r="F845" s="13" t="str">
        <v>9016</v>
      </c>
      <c r="G845" s="13" t="str">
        <v>23</v>
      </c>
      <c r="H845" s="13" t="str">
        <f>_xlfn.CONCAT(Sheet1!A845," --&gt; ",Sheet1!J845)</f>
        <v>549-23-9016 --&gt; 31.227</v>
      </c>
      <c r="I845" s="13" t="str">
        <f>_xlfn.CONCAT(Sheet1!C845,"_",TEXT(Sheet1!K845, "m/d/yyyy"))</f>
        <v>Naypyitaw_2/13/2019</v>
      </c>
      <c r="J845" s="13" t="str">
        <f>IF(Sheet1!I845=Sheet1!N845*0.05,"Valid","Error")</f>
        <v>Valid</v>
      </c>
      <c r="K845" s="13" t="str">
        <f>IF(Sheet1!N845=Sheet1!G845*Sheet1!H845,"True","False")</f>
        <v>True</v>
      </c>
      <c r="L845" s="13" t="b">
        <v>1</v>
      </c>
      <c r="M845" s="9" t="b">
        <f>ISNUMBER(Sheet1!J845)</f>
        <v>1</v>
      </c>
      <c r="N845" s="13" t="str">
        <f>IF(Sheet1!B845="A","Branch A",IF(Sheet1!B845="B","Branch B","Other Branch"))</f>
        <v>Other Branch</v>
      </c>
      <c r="O845" s="13" t="str">
        <f>IF(Sheet1!M845="Credit card","Credit Payment","Other")</f>
        <v>Credit Payment</v>
      </c>
      <c r="P845" s="13" t="str">
        <f>IF(Sheet1!O845&gt;7,"Yes","No")</f>
        <v>Yes</v>
      </c>
    </row>
    <row r="846" spans="5:16">
      <c r="E846" s="13" t="str">
        <v>896</v>
      </c>
      <c r="F846" s="13" t="str">
        <v>0956</v>
      </c>
      <c r="G846" s="13" t="str">
        <v>34</v>
      </c>
      <c r="H846" s="13" t="str">
        <f>_xlfn.CONCAT(Sheet1!A846," --&gt; ",Sheet1!J846)</f>
        <v>896-34-0956 --&gt; 22.386</v>
      </c>
      <c r="I846" s="13" t="str">
        <f>_xlfn.CONCAT(Sheet1!C846,"_",TEXT(Sheet1!K846, "m/d/yyyy"))</f>
        <v>Yangon_1/26/2019</v>
      </c>
      <c r="J846" s="13" t="str">
        <f>IF(Sheet1!I846=Sheet1!N846*0.05,"Valid","Error")</f>
        <v>Valid</v>
      </c>
      <c r="K846" s="13" t="str">
        <f>IF(Sheet1!N846=Sheet1!G846*Sheet1!H846,"True","False")</f>
        <v>True</v>
      </c>
      <c r="L846" s="13" t="b">
        <v>1</v>
      </c>
      <c r="M846" s="9" t="b">
        <f>ISNUMBER(Sheet1!J846)</f>
        <v>1</v>
      </c>
      <c r="N846" s="13" t="str">
        <f>IF(Sheet1!B846="A","Branch A",IF(Sheet1!B846="B","Branch B","Other Branch"))</f>
        <v>Branch A</v>
      </c>
      <c r="O846" s="13" t="str">
        <f>IF(Sheet1!M846="Credit card","Credit Payment","Other")</f>
        <v>Other</v>
      </c>
      <c r="P846" s="13" t="str">
        <f>IF(Sheet1!O846&gt;7,"Yes","No")</f>
        <v>No</v>
      </c>
    </row>
    <row r="847" spans="5:16">
      <c r="E847" s="13" t="str">
        <v>804</v>
      </c>
      <c r="F847" s="13" t="str">
        <v>3935</v>
      </c>
      <c r="G847" s="13" t="str">
        <v>38</v>
      </c>
      <c r="H847" s="13" t="str">
        <f>_xlfn.CONCAT(Sheet1!A847," --&gt; ",Sheet1!J847)</f>
        <v>804-38-3935 --&gt; 295.407</v>
      </c>
      <c r="I847" s="13" t="str">
        <f>_xlfn.CONCAT(Sheet1!C847,"_",TEXT(Sheet1!K847, "m/d/yyyy"))</f>
        <v>Yangon_1/30/2019</v>
      </c>
      <c r="J847" s="13" t="str">
        <f>IF(Sheet1!I847=Sheet1!N847*0.05,"Valid","Error")</f>
        <v>Valid</v>
      </c>
      <c r="K847" s="13" t="str">
        <f>IF(Sheet1!N847=Sheet1!G847*Sheet1!H847,"True","False")</f>
        <v>True</v>
      </c>
      <c r="L847" s="13" t="b">
        <v>1</v>
      </c>
      <c r="M847" s="9" t="b">
        <f>ISNUMBER(Sheet1!J847)</f>
        <v>1</v>
      </c>
      <c r="N847" s="13" t="str">
        <f>IF(Sheet1!B847="A","Branch A",IF(Sheet1!B847="B","Branch B","Other Branch"))</f>
        <v>Branch A</v>
      </c>
      <c r="O847" s="13" t="str">
        <f>IF(Sheet1!M847="Credit card","Credit Payment","Other")</f>
        <v>Credit Payment</v>
      </c>
      <c r="P847" s="13" t="str">
        <f>IF(Sheet1!O847&gt;7,"Yes","No")</f>
        <v>No</v>
      </c>
    </row>
    <row r="848" spans="5:16">
      <c r="E848" s="13" t="str">
        <v>585</v>
      </c>
      <c r="F848" s="13" t="str">
        <v>0249</v>
      </c>
      <c r="G848" s="13" t="str">
        <v>90</v>
      </c>
      <c r="H848" s="13" t="str">
        <f>_xlfn.CONCAT(Sheet1!A848," --&gt; ",Sheet1!J848)</f>
        <v>585-90-0249 --&gt; 76.923</v>
      </c>
      <c r="I848" s="13" t="str">
        <f>_xlfn.CONCAT(Sheet1!C848,"_",TEXT(Sheet1!K848, "m/d/yyyy"))</f>
        <v>Yangon_1/27/2019</v>
      </c>
      <c r="J848" s="13" t="str">
        <f>IF(Sheet1!I848=Sheet1!N848*0.05,"Valid","Error")</f>
        <v>Valid</v>
      </c>
      <c r="K848" s="13" t="str">
        <f>IF(Sheet1!N848=Sheet1!G848*Sheet1!H848,"True","False")</f>
        <v>True</v>
      </c>
      <c r="L848" s="13" t="b">
        <v>1</v>
      </c>
      <c r="M848" s="9" t="b">
        <f>ISNUMBER(Sheet1!J848)</f>
        <v>1</v>
      </c>
      <c r="N848" s="13" t="str">
        <f>IF(Sheet1!B848="A","Branch A",IF(Sheet1!B848="B","Branch B","Other Branch"))</f>
        <v>Branch A</v>
      </c>
      <c r="O848" s="13" t="str">
        <f>IF(Sheet1!M848="Credit card","Credit Payment","Other")</f>
        <v>Other</v>
      </c>
      <c r="P848" s="13" t="str">
        <f>IF(Sheet1!O848&gt;7,"Yes","No")</f>
        <v>Yes</v>
      </c>
    </row>
    <row r="849" spans="5:16">
      <c r="E849" s="13" t="str">
        <v>862</v>
      </c>
      <c r="F849" s="13" t="str">
        <v>5914</v>
      </c>
      <c r="G849" s="13" t="str">
        <v>29</v>
      </c>
      <c r="H849" s="13" t="str">
        <f>_xlfn.CONCAT(Sheet1!A849," --&gt; ",Sheet1!J849)</f>
        <v>862-29-5914 --&gt; 23.499</v>
      </c>
      <c r="I849" s="13" t="str">
        <f>_xlfn.CONCAT(Sheet1!C849,"_",TEXT(Sheet1!K849, "m/d/yyyy"))</f>
        <v>Naypyitaw_1/30/2019</v>
      </c>
      <c r="J849" s="13" t="str">
        <f>IF(Sheet1!I849=Sheet1!N849*0.05,"Valid","Error")</f>
        <v>Valid</v>
      </c>
      <c r="K849" s="13" t="str">
        <f>IF(Sheet1!N849=Sheet1!G849*Sheet1!H849,"True","False")</f>
        <v>True</v>
      </c>
      <c r="L849" s="13" t="b">
        <v>1</v>
      </c>
      <c r="M849" s="9" t="b">
        <f>ISNUMBER(Sheet1!J849)</f>
        <v>1</v>
      </c>
      <c r="N849" s="13" t="str">
        <f>IF(Sheet1!B849="A","Branch A",IF(Sheet1!B849="B","Branch B","Other Branch"))</f>
        <v>Other Branch</v>
      </c>
      <c r="O849" s="13" t="str">
        <f>IF(Sheet1!M849="Credit card","Credit Payment","Other")</f>
        <v>Credit Payment</v>
      </c>
      <c r="P849" s="13" t="str">
        <f>IF(Sheet1!O849&gt;7,"Yes","No")</f>
        <v>Yes</v>
      </c>
    </row>
    <row r="850" spans="5:16">
      <c r="E850" s="13" t="str">
        <v>845</v>
      </c>
      <c r="F850" s="13" t="str">
        <v>6841</v>
      </c>
      <c r="G850" s="13" t="str">
        <v>94</v>
      </c>
      <c r="H850" s="13" t="str">
        <f>_xlfn.CONCAT(Sheet1!A850," --&gt; ",Sheet1!J850)</f>
        <v>845-94-6841 --&gt; 688.716</v>
      </c>
      <c r="I850" s="13" t="str">
        <f>_xlfn.CONCAT(Sheet1!C850,"_",TEXT(Sheet1!K850, "m/d/yyyy"))</f>
        <v>Naypyitaw_1/8/2019</v>
      </c>
      <c r="J850" s="13" t="str">
        <f>IF(Sheet1!I850=Sheet1!N850*0.05,"Valid","Error")</f>
        <v>Valid</v>
      </c>
      <c r="K850" s="13" t="str">
        <f>IF(Sheet1!N850=Sheet1!G850*Sheet1!H850,"True","False")</f>
        <v>True</v>
      </c>
      <c r="L850" s="13" t="b">
        <v>1</v>
      </c>
      <c r="M850" s="9" t="b">
        <f>ISNUMBER(Sheet1!J850)</f>
        <v>1</v>
      </c>
      <c r="N850" s="13" t="str">
        <f>IF(Sheet1!B850="A","Branch A",IF(Sheet1!B850="B","Branch B","Other Branch"))</f>
        <v>Other Branch</v>
      </c>
      <c r="O850" s="13" t="str">
        <f>IF(Sheet1!M850="Credit card","Credit Payment","Other")</f>
        <v>Other</v>
      </c>
      <c r="P850" s="13" t="str">
        <f>IF(Sheet1!O850&gt;7,"Yes","No")</f>
        <v>No</v>
      </c>
    </row>
    <row r="851" spans="5:16">
      <c r="E851" s="13" t="str">
        <v>125</v>
      </c>
      <c r="F851" s="13" t="str">
        <v>2293</v>
      </c>
      <c r="G851" s="13" t="str">
        <v>45</v>
      </c>
      <c r="H851" s="13" t="str">
        <f>_xlfn.CONCAT(Sheet1!A851," --&gt; ",Sheet1!J851)</f>
        <v>125-45-2293 --&gt; 624.33</v>
      </c>
      <c r="I851" s="13" t="str">
        <f>_xlfn.CONCAT(Sheet1!C851,"_",TEXT(Sheet1!K851, "m/d/yyyy"))</f>
        <v>Yangon_1/19/2019</v>
      </c>
      <c r="J851" s="13" t="str">
        <f>IF(Sheet1!I851=Sheet1!N851*0.05,"Valid","Error")</f>
        <v>Valid</v>
      </c>
      <c r="K851" s="13" t="str">
        <f>IF(Sheet1!N851=Sheet1!G851*Sheet1!H851,"True","False")</f>
        <v>True</v>
      </c>
      <c r="L851" s="13" t="b">
        <v>1</v>
      </c>
      <c r="M851" s="9" t="b">
        <f>ISNUMBER(Sheet1!J851)</f>
        <v>1</v>
      </c>
      <c r="N851" s="13" t="str">
        <f>IF(Sheet1!B851="A","Branch A",IF(Sheet1!B851="B","Branch B","Other Branch"))</f>
        <v>Branch A</v>
      </c>
      <c r="O851" s="13" t="str">
        <f>IF(Sheet1!M851="Credit card","Credit Payment","Other")</f>
        <v>Other</v>
      </c>
      <c r="P851" s="13" t="str">
        <f>IF(Sheet1!O851&gt;7,"Yes","No")</f>
        <v>No</v>
      </c>
    </row>
    <row r="852" spans="5:16">
      <c r="E852" s="13" t="str">
        <v>843</v>
      </c>
      <c r="F852" s="13" t="str">
        <v>4724</v>
      </c>
      <c r="G852" s="13" t="str">
        <v>73</v>
      </c>
      <c r="H852" s="13" t="str">
        <f>_xlfn.CONCAT(Sheet1!A852," --&gt; ",Sheet1!J852)</f>
        <v>843-73-4724 --&gt; 77.805</v>
      </c>
      <c r="I852" s="13" t="str">
        <f>_xlfn.CONCAT(Sheet1!C852,"_",TEXT(Sheet1!K852, "m/d/yyyy"))</f>
        <v>Yangon_1/25/2019</v>
      </c>
      <c r="J852" s="13" t="str">
        <f>IF(Sheet1!I852=Sheet1!N852*0.05,"Valid","Error")</f>
        <v>Valid</v>
      </c>
      <c r="K852" s="13" t="str">
        <f>IF(Sheet1!N852=Sheet1!G852*Sheet1!H852,"True","False")</f>
        <v>True</v>
      </c>
      <c r="L852" s="13" t="b">
        <v>1</v>
      </c>
      <c r="M852" s="9" t="b">
        <f>ISNUMBER(Sheet1!J852)</f>
        <v>1</v>
      </c>
      <c r="N852" s="13" t="str">
        <f>IF(Sheet1!B852="A","Branch A",IF(Sheet1!B852="B","Branch B","Other Branch"))</f>
        <v>Branch A</v>
      </c>
      <c r="O852" s="13" t="str">
        <f>IF(Sheet1!M852="Credit card","Credit Payment","Other")</f>
        <v>Other</v>
      </c>
      <c r="P852" s="13" t="str">
        <f>IF(Sheet1!O852&gt;7,"Yes","No")</f>
        <v>Yes</v>
      </c>
    </row>
    <row r="853" spans="5:16">
      <c r="E853" s="13" t="str">
        <v>409</v>
      </c>
      <c r="F853" s="13" t="str">
        <v>9708</v>
      </c>
      <c r="G853" s="13" t="str">
        <v>33</v>
      </c>
      <c r="H853" s="13" t="str">
        <f>_xlfn.CONCAT(Sheet1!A853," --&gt; ",Sheet1!J853)</f>
        <v>409-33-9708 --&gt; 206.808</v>
      </c>
      <c r="I853" s="13" t="str">
        <f>_xlfn.CONCAT(Sheet1!C853,"_",TEXT(Sheet1!K853, "m/d/yyyy"))</f>
        <v>Yangon_2/19/2019</v>
      </c>
      <c r="J853" s="13" t="str">
        <f>IF(Sheet1!I853=Sheet1!N853*0.05,"Valid","Error")</f>
        <v>Valid</v>
      </c>
      <c r="K853" s="13" t="str">
        <f>IF(Sheet1!N853=Sheet1!G853*Sheet1!H853,"True","False")</f>
        <v>True</v>
      </c>
      <c r="L853" s="13" t="b">
        <v>1</v>
      </c>
      <c r="M853" s="9" t="b">
        <f>ISNUMBER(Sheet1!J853)</f>
        <v>1</v>
      </c>
      <c r="N853" s="13" t="str">
        <f>IF(Sheet1!B853="A","Branch A",IF(Sheet1!B853="B","Branch B","Other Branch"))</f>
        <v>Branch A</v>
      </c>
      <c r="O853" s="13" t="str">
        <f>IF(Sheet1!M853="Credit card","Credit Payment","Other")</f>
        <v>Other</v>
      </c>
      <c r="P853" s="13" t="str">
        <f>IF(Sheet1!O853&gt;7,"Yes","No")</f>
        <v>Yes</v>
      </c>
    </row>
    <row r="854" spans="5:16">
      <c r="E854" s="13" t="str">
        <v>658</v>
      </c>
      <c r="F854" s="13" t="str">
        <v>3967</v>
      </c>
      <c r="G854" s="13" t="str">
        <v>66</v>
      </c>
      <c r="H854" s="13" t="str">
        <f>_xlfn.CONCAT(Sheet1!A854," --&gt; ",Sheet1!J854)</f>
        <v>658-66-3967 --&gt; 390.9465</v>
      </c>
      <c r="I854" s="13" t="str">
        <f>_xlfn.CONCAT(Sheet1!C854,"_",TEXT(Sheet1!K854, "m/d/yyyy"))</f>
        <v>Naypyitaw_1/14/2019</v>
      </c>
      <c r="J854" s="13" t="str">
        <f>IF(Sheet1!I854=Sheet1!N854*0.05,"Valid","Error")</f>
        <v>Valid</v>
      </c>
      <c r="K854" s="13" t="str">
        <f>IF(Sheet1!N854=Sheet1!G854*Sheet1!H854,"True","False")</f>
        <v>True</v>
      </c>
      <c r="L854" s="13" t="b">
        <v>1</v>
      </c>
      <c r="M854" s="9" t="b">
        <f>ISNUMBER(Sheet1!J854)</f>
        <v>1</v>
      </c>
      <c r="N854" s="13" t="str">
        <f>IF(Sheet1!B854="A","Branch A",IF(Sheet1!B854="B","Branch B","Other Branch"))</f>
        <v>Other Branch</v>
      </c>
      <c r="O854" s="13" t="str">
        <f>IF(Sheet1!M854="Credit card","Credit Payment","Other")</f>
        <v>Other</v>
      </c>
      <c r="P854" s="13" t="str">
        <f>IF(Sheet1!O854&gt;7,"Yes","No")</f>
        <v>No</v>
      </c>
    </row>
    <row r="855" spans="5:16">
      <c r="E855" s="13" t="str">
        <v>866</v>
      </c>
      <c r="F855" s="13" t="str">
        <v>2814</v>
      </c>
      <c r="G855" s="13" t="str">
        <v>70</v>
      </c>
      <c r="H855" s="13" t="str">
        <f>_xlfn.CONCAT(Sheet1!A855," --&gt; ",Sheet1!J855)</f>
        <v>866-70-2814 --&gt; 554.295</v>
      </c>
      <c r="I855" s="13" t="str">
        <f>_xlfn.CONCAT(Sheet1!C855,"_",TEXT(Sheet1!K855, "m/d/yyyy"))</f>
        <v>Mandalay_2/25/2019</v>
      </c>
      <c r="J855" s="13" t="str">
        <f>IF(Sheet1!I855=Sheet1!N855*0.05,"Valid","Error")</f>
        <v>Valid</v>
      </c>
      <c r="K855" s="13" t="str">
        <f>IF(Sheet1!N855=Sheet1!G855*Sheet1!H855,"True","False")</f>
        <v>True</v>
      </c>
      <c r="L855" s="13" t="b">
        <v>1</v>
      </c>
      <c r="M855" s="9" t="b">
        <f>ISNUMBER(Sheet1!J855)</f>
        <v>1</v>
      </c>
      <c r="N855" s="13" t="str">
        <f>IF(Sheet1!B855="A","Branch A",IF(Sheet1!B855="B","Branch B","Other Branch"))</f>
        <v>Branch B</v>
      </c>
      <c r="O855" s="13" t="str">
        <f>IF(Sheet1!M855="Credit card","Credit Payment","Other")</f>
        <v>Other</v>
      </c>
      <c r="P855" s="13" t="str">
        <f>IF(Sheet1!O855&gt;7,"Yes","No")</f>
        <v>Yes</v>
      </c>
    </row>
    <row r="856" spans="5:16">
      <c r="E856" s="13" t="str">
        <v>160</v>
      </c>
      <c r="F856" s="13" t="str">
        <v>2687</v>
      </c>
      <c r="G856" s="13" t="str">
        <v>22</v>
      </c>
      <c r="H856" s="13" t="str">
        <f>_xlfn.CONCAT(Sheet1!A856," --&gt; ",Sheet1!J856)</f>
        <v>160-22-2687 --&gt; 503.7375</v>
      </c>
      <c r="I856" s="13" t="str">
        <f>_xlfn.CONCAT(Sheet1!C856,"_",TEXT(Sheet1!K856, "m/d/yyyy"))</f>
        <v>Yangon_1/23/2019</v>
      </c>
      <c r="J856" s="13" t="str">
        <f>IF(Sheet1!I856=Sheet1!N856*0.05,"Valid","Error")</f>
        <v>Valid</v>
      </c>
      <c r="K856" s="13" t="str">
        <f>IF(Sheet1!N856=Sheet1!G856*Sheet1!H856,"True","False")</f>
        <v>True</v>
      </c>
      <c r="L856" s="13" t="b">
        <v>1</v>
      </c>
      <c r="M856" s="9" t="b">
        <f>ISNUMBER(Sheet1!J856)</f>
        <v>1</v>
      </c>
      <c r="N856" s="13" t="str">
        <f>IF(Sheet1!B856="A","Branch A",IF(Sheet1!B856="B","Branch B","Other Branch"))</f>
        <v>Branch A</v>
      </c>
      <c r="O856" s="13" t="str">
        <f>IF(Sheet1!M856="Credit card","Credit Payment","Other")</f>
        <v>Other</v>
      </c>
      <c r="P856" s="13" t="str">
        <f>IF(Sheet1!O856&gt;7,"Yes","No")</f>
        <v>Yes</v>
      </c>
    </row>
    <row r="857" spans="5:16">
      <c r="E857" s="13" t="str">
        <v>895</v>
      </c>
      <c r="F857" s="13" t="str">
        <v>6665</v>
      </c>
      <c r="G857" s="13" t="str">
        <v>03</v>
      </c>
      <c r="H857" s="13" t="str">
        <f>_xlfn.CONCAT(Sheet1!A857," --&gt; ",Sheet1!J857)</f>
        <v>895-03-6665 --&gt; 345.0195</v>
      </c>
      <c r="I857" s="13" t="str">
        <f>_xlfn.CONCAT(Sheet1!C857,"_",TEXT(Sheet1!K857, "m/d/yyyy"))</f>
        <v>Mandalay_2/16/2019</v>
      </c>
      <c r="J857" s="13" t="str">
        <f>IF(Sheet1!I857=Sheet1!N857*0.05,"Valid","Error")</f>
        <v>Valid</v>
      </c>
      <c r="K857" s="13" t="str">
        <f>IF(Sheet1!N857=Sheet1!G857*Sheet1!H857,"True","False")</f>
        <v>True</v>
      </c>
      <c r="L857" s="13" t="b">
        <v>1</v>
      </c>
      <c r="M857" s="9" t="b">
        <f>ISNUMBER(Sheet1!J857)</f>
        <v>1</v>
      </c>
      <c r="N857" s="13" t="str">
        <f>IF(Sheet1!B857="A","Branch A",IF(Sheet1!B857="B","Branch B","Other Branch"))</f>
        <v>Branch B</v>
      </c>
      <c r="O857" s="13" t="str">
        <f>IF(Sheet1!M857="Credit card","Credit Payment","Other")</f>
        <v>Other</v>
      </c>
      <c r="P857" s="13" t="str">
        <f>IF(Sheet1!O857&gt;7,"Yes","No")</f>
        <v>No</v>
      </c>
    </row>
    <row r="858" spans="5:16">
      <c r="E858" s="13" t="str">
        <v>770</v>
      </c>
      <c r="F858" s="13" t="str">
        <v>8960</v>
      </c>
      <c r="G858" s="13" t="str">
        <v>42</v>
      </c>
      <c r="H858" s="13" t="str">
        <f>_xlfn.CONCAT(Sheet1!A858," --&gt; ",Sheet1!J858)</f>
        <v>770-42-8960 --&gt; 177.408</v>
      </c>
      <c r="I858" s="13" t="str">
        <f>_xlfn.CONCAT(Sheet1!C858,"_",TEXT(Sheet1!K858, "m/d/yyyy"))</f>
        <v>Mandalay_1/1/2019</v>
      </c>
      <c r="J858" s="13" t="str">
        <f>IF(Sheet1!I858=Sheet1!N858*0.05,"Valid","Error")</f>
        <v>Valid</v>
      </c>
      <c r="K858" s="13" t="str">
        <f>IF(Sheet1!N858=Sheet1!G858*Sheet1!H858,"True","False")</f>
        <v>True</v>
      </c>
      <c r="L858" s="13" t="b">
        <v>1</v>
      </c>
      <c r="M858" s="9" t="b">
        <f>ISNUMBER(Sheet1!J858)</f>
        <v>1</v>
      </c>
      <c r="N858" s="13" t="str">
        <f>IF(Sheet1!B858="A","Branch A",IF(Sheet1!B858="B","Branch B","Other Branch"))</f>
        <v>Branch B</v>
      </c>
      <c r="O858" s="13" t="str">
        <f>IF(Sheet1!M858="Credit card","Credit Payment","Other")</f>
        <v>Other</v>
      </c>
      <c r="P858" s="13" t="str">
        <f>IF(Sheet1!O858&gt;7,"Yes","No")</f>
        <v>No</v>
      </c>
    </row>
    <row r="859" spans="5:16">
      <c r="E859" s="13" t="str">
        <v>748</v>
      </c>
      <c r="F859" s="13" t="str">
        <v>2862</v>
      </c>
      <c r="G859" s="13" t="str">
        <v>45</v>
      </c>
      <c r="H859" s="13" t="str">
        <f>_xlfn.CONCAT(Sheet1!A859," --&gt; ",Sheet1!J859)</f>
        <v>748-45-2862 --&gt; 118.902</v>
      </c>
      <c r="I859" s="13" t="str">
        <f>_xlfn.CONCAT(Sheet1!C859,"_",TEXT(Sheet1!K859, "m/d/yyyy"))</f>
        <v>Yangon_3/7/2019</v>
      </c>
      <c r="J859" s="13" t="str">
        <f>IF(Sheet1!I859=Sheet1!N859*0.05,"Valid","Error")</f>
        <v>Valid</v>
      </c>
      <c r="K859" s="13" t="str">
        <f>IF(Sheet1!N859=Sheet1!G859*Sheet1!H859,"True","False")</f>
        <v>True</v>
      </c>
      <c r="L859" s="13" t="b">
        <v>1</v>
      </c>
      <c r="M859" s="9" t="b">
        <f>ISNUMBER(Sheet1!J859)</f>
        <v>1</v>
      </c>
      <c r="N859" s="13" t="str">
        <f>IF(Sheet1!B859="A","Branch A",IF(Sheet1!B859="B","Branch B","Other Branch"))</f>
        <v>Branch A</v>
      </c>
      <c r="O859" s="13" t="str">
        <f>IF(Sheet1!M859="Credit card","Credit Payment","Other")</f>
        <v>Other</v>
      </c>
      <c r="P859" s="13" t="str">
        <f>IF(Sheet1!O859&gt;7,"Yes","No")</f>
        <v>Yes</v>
      </c>
    </row>
    <row r="860" spans="5:16">
      <c r="E860" s="13" t="str">
        <v>234</v>
      </c>
      <c r="F860" s="13" t="str">
        <v>2483</v>
      </c>
      <c r="G860" s="13" t="str">
        <v>36</v>
      </c>
      <c r="H860" s="13" t="str">
        <f>_xlfn.CONCAT(Sheet1!A860," --&gt; ",Sheet1!J860)</f>
        <v>234-36-2483 --&gt; 362.817</v>
      </c>
      <c r="I860" s="13" t="str">
        <f>_xlfn.CONCAT(Sheet1!C860,"_",TEXT(Sheet1!K860, "m/d/yyyy"))</f>
        <v>Mandalay_2/15/2019</v>
      </c>
      <c r="J860" s="13" t="str">
        <f>IF(Sheet1!I860=Sheet1!N860*0.05,"Valid","Error")</f>
        <v>Valid</v>
      </c>
      <c r="K860" s="13" t="str">
        <f>IF(Sheet1!N860=Sheet1!G860*Sheet1!H860,"True","False")</f>
        <v>True</v>
      </c>
      <c r="L860" s="13" t="b">
        <v>1</v>
      </c>
      <c r="M860" s="9" t="b">
        <f>ISNUMBER(Sheet1!J860)</f>
        <v>1</v>
      </c>
      <c r="N860" s="13" t="str">
        <f>IF(Sheet1!B860="A","Branch A",IF(Sheet1!B860="B","Branch B","Other Branch"))</f>
        <v>Branch B</v>
      </c>
      <c r="O860" s="13" t="str">
        <f>IF(Sheet1!M860="Credit card","Credit Payment","Other")</f>
        <v>Other</v>
      </c>
      <c r="P860" s="13" t="str">
        <f>IF(Sheet1!O860&gt;7,"Yes","No")</f>
        <v>No</v>
      </c>
    </row>
    <row r="861" spans="5:16">
      <c r="E861" s="13" t="str">
        <v>316</v>
      </c>
      <c r="F861" s="13" t="str">
        <v>3011</v>
      </c>
      <c r="G861" s="13" t="str">
        <v>66</v>
      </c>
      <c r="H861" s="13" t="str">
        <f>_xlfn.CONCAT(Sheet1!A861," --&gt; ",Sheet1!J861)</f>
        <v>316-66-3011 --&gt; 450.1035</v>
      </c>
      <c r="I861" s="13" t="str">
        <f>_xlfn.CONCAT(Sheet1!C861,"_",TEXT(Sheet1!K861, "m/d/yyyy"))</f>
        <v>Yangon_1/23/2019</v>
      </c>
      <c r="J861" s="13" t="str">
        <f>IF(Sheet1!I861=Sheet1!N861*0.05,"Valid","Error")</f>
        <v>Valid</v>
      </c>
      <c r="K861" s="13" t="str">
        <f>IF(Sheet1!N861=Sheet1!G861*Sheet1!H861,"True","False")</f>
        <v>True</v>
      </c>
      <c r="L861" s="13" t="b">
        <v>1</v>
      </c>
      <c r="M861" s="9" t="b">
        <f>ISNUMBER(Sheet1!J861)</f>
        <v>1</v>
      </c>
      <c r="N861" s="13" t="str">
        <f>IF(Sheet1!B861="A","Branch A",IF(Sheet1!B861="B","Branch B","Other Branch"))</f>
        <v>Branch A</v>
      </c>
      <c r="O861" s="13" t="str">
        <f>IF(Sheet1!M861="Credit card","Credit Payment","Other")</f>
        <v>Other</v>
      </c>
      <c r="P861" s="13" t="str">
        <f>IF(Sheet1!O861&gt;7,"Yes","No")</f>
        <v>No</v>
      </c>
    </row>
    <row r="862" spans="5:16">
      <c r="E862" s="13" t="str">
        <v>848</v>
      </c>
      <c r="F862" s="13" t="str">
        <v>6252</v>
      </c>
      <c r="G862" s="13" t="str">
        <v>95</v>
      </c>
      <c r="H862" s="13" t="str">
        <f>_xlfn.CONCAT(Sheet1!A862," --&gt; ",Sheet1!J862)</f>
        <v>848-95-6252 --&gt; 90.5835</v>
      </c>
      <c r="I862" s="13" t="str">
        <f>_xlfn.CONCAT(Sheet1!C862,"_",TEXT(Sheet1!K862, "m/d/yyyy"))</f>
        <v>Naypyitaw_2/20/2019</v>
      </c>
      <c r="J862" s="13" t="str">
        <f>IF(Sheet1!I862=Sheet1!N862*0.05,"Valid","Error")</f>
        <v>Valid</v>
      </c>
      <c r="K862" s="13" t="str">
        <f>IF(Sheet1!N862=Sheet1!G862*Sheet1!H862,"True","False")</f>
        <v>True</v>
      </c>
      <c r="L862" s="13" t="b">
        <v>1</v>
      </c>
      <c r="M862" s="9" t="b">
        <f>ISNUMBER(Sheet1!J862)</f>
        <v>1</v>
      </c>
      <c r="N862" s="13" t="str">
        <f>IF(Sheet1!B862="A","Branch A",IF(Sheet1!B862="B","Branch B","Other Branch"))</f>
        <v>Other Branch</v>
      </c>
      <c r="O862" s="13" t="str">
        <f>IF(Sheet1!M862="Credit card","Credit Payment","Other")</f>
        <v>Other</v>
      </c>
      <c r="P862" s="13" t="str">
        <f>IF(Sheet1!O862&gt;7,"Yes","No")</f>
        <v>No</v>
      </c>
    </row>
    <row r="863" spans="5:16">
      <c r="E863" s="13" t="str">
        <v>840</v>
      </c>
      <c r="F863" s="13" t="str">
        <v>5966</v>
      </c>
      <c r="G863" s="13" t="str">
        <v>76</v>
      </c>
      <c r="H863" s="13" t="str">
        <f>_xlfn.CONCAT(Sheet1!A863," --&gt; ",Sheet1!J863)</f>
        <v>840-76-5966 --&gt; 26.796</v>
      </c>
      <c r="I863" s="13" t="str">
        <f>_xlfn.CONCAT(Sheet1!C863,"_",TEXT(Sheet1!K863, "m/d/yyyy"))</f>
        <v>Yangon_1/8/2019</v>
      </c>
      <c r="J863" s="13" t="str">
        <f>IF(Sheet1!I863=Sheet1!N863*0.05,"Valid","Error")</f>
        <v>Valid</v>
      </c>
      <c r="K863" s="13" t="str">
        <f>IF(Sheet1!N863=Sheet1!G863*Sheet1!H863,"True","False")</f>
        <v>True</v>
      </c>
      <c r="L863" s="13" t="b">
        <v>1</v>
      </c>
      <c r="M863" s="9" t="b">
        <f>ISNUMBER(Sheet1!J863)</f>
        <v>1</v>
      </c>
      <c r="N863" s="13" t="str">
        <f>IF(Sheet1!B863="A","Branch A",IF(Sheet1!B863="B","Branch B","Other Branch"))</f>
        <v>Branch A</v>
      </c>
      <c r="O863" s="13" t="str">
        <f>IF(Sheet1!M863="Credit card","Credit Payment","Other")</f>
        <v>Other</v>
      </c>
      <c r="P863" s="13" t="str">
        <f>IF(Sheet1!O863&gt;7,"Yes","No")</f>
        <v>Yes</v>
      </c>
    </row>
    <row r="864" spans="5:16">
      <c r="E864" s="13" t="str">
        <v>152</v>
      </c>
      <c r="F864" s="13" t="str">
        <v>4217</v>
      </c>
      <c r="G864" s="13" t="str">
        <v>03</v>
      </c>
      <c r="H864" s="13" t="str">
        <f>_xlfn.CONCAT(Sheet1!A864," --&gt; ",Sheet1!J864)</f>
        <v>152-03-4217 --&gt; 106.596</v>
      </c>
      <c r="I864" s="13" t="str">
        <f>_xlfn.CONCAT(Sheet1!C864,"_",TEXT(Sheet1!K864, "m/d/yyyy"))</f>
        <v>Mandalay_3/17/2019</v>
      </c>
      <c r="J864" s="13" t="str">
        <f>IF(Sheet1!I864=Sheet1!N864*0.05,"Valid","Error")</f>
        <v>Valid</v>
      </c>
      <c r="K864" s="13" t="str">
        <f>IF(Sheet1!N864=Sheet1!G864*Sheet1!H864,"True","False")</f>
        <v>True</v>
      </c>
      <c r="L864" s="13" t="b">
        <v>1</v>
      </c>
      <c r="M864" s="9" t="b">
        <f>ISNUMBER(Sheet1!J864)</f>
        <v>1</v>
      </c>
      <c r="N864" s="13" t="str">
        <f>IF(Sheet1!B864="A","Branch A",IF(Sheet1!B864="B","Branch B","Other Branch"))</f>
        <v>Branch B</v>
      </c>
      <c r="O864" s="13" t="str">
        <f>IF(Sheet1!M864="Credit card","Credit Payment","Other")</f>
        <v>Credit Payment</v>
      </c>
      <c r="P864" s="13" t="str">
        <f>IF(Sheet1!O864&gt;7,"Yes","No")</f>
        <v>No</v>
      </c>
    </row>
    <row r="865" spans="5:16">
      <c r="E865" s="13" t="str">
        <v>533</v>
      </c>
      <c r="F865" s="13" t="str">
        <v>5566</v>
      </c>
      <c r="G865" s="13" t="str">
        <v>66</v>
      </c>
      <c r="H865" s="13" t="str">
        <f>_xlfn.CONCAT(Sheet1!A865," --&gt; ",Sheet1!J865)</f>
        <v>533-66-5566 --&gt; 375.3645</v>
      </c>
      <c r="I865" s="13" t="str">
        <f>_xlfn.CONCAT(Sheet1!C865,"_",TEXT(Sheet1!K865, "m/d/yyyy"))</f>
        <v>Mandalay_1/12/2019</v>
      </c>
      <c r="J865" s="13" t="str">
        <f>IF(Sheet1!I865=Sheet1!N865*0.05,"Valid","Error")</f>
        <v>Valid</v>
      </c>
      <c r="K865" s="13" t="str">
        <f>IF(Sheet1!N865=Sheet1!G865*Sheet1!H865,"True","False")</f>
        <v>True</v>
      </c>
      <c r="L865" s="13" t="b">
        <v>1</v>
      </c>
      <c r="M865" s="9" t="b">
        <f>ISNUMBER(Sheet1!J865)</f>
        <v>1</v>
      </c>
      <c r="N865" s="13" t="str">
        <f>IF(Sheet1!B865="A","Branch A",IF(Sheet1!B865="B","Branch B","Other Branch"))</f>
        <v>Branch B</v>
      </c>
      <c r="O865" s="13" t="str">
        <f>IF(Sheet1!M865="Credit card","Credit Payment","Other")</f>
        <v>Other</v>
      </c>
      <c r="P865" s="13" t="str">
        <f>IF(Sheet1!O865&gt;7,"Yes","No")</f>
        <v>No</v>
      </c>
    </row>
    <row r="866" spans="5:16">
      <c r="E866" s="13" t="str">
        <v>124</v>
      </c>
      <c r="F866" s="13" t="str">
        <v>1458</v>
      </c>
      <c r="G866" s="13" t="str">
        <v>31</v>
      </c>
      <c r="H866" s="13" t="str">
        <f>_xlfn.CONCAT(Sheet1!A866," --&gt; ",Sheet1!J866)</f>
        <v>124-31-1458 --&gt; 250.7085</v>
      </c>
      <c r="I866" s="13" t="str">
        <f>_xlfn.CONCAT(Sheet1!C866,"_",TEXT(Sheet1!K866, "m/d/yyyy"))</f>
        <v>Yangon_1/8/2019</v>
      </c>
      <c r="J866" s="13" t="str">
        <f>IF(Sheet1!I866=Sheet1!N866*0.05,"Valid","Error")</f>
        <v>Valid</v>
      </c>
      <c r="K866" s="13" t="str">
        <f>IF(Sheet1!N866=Sheet1!G866*Sheet1!H866,"True","False")</f>
        <v>True</v>
      </c>
      <c r="L866" s="13" t="b">
        <v>1</v>
      </c>
      <c r="M866" s="9" t="b">
        <f>ISNUMBER(Sheet1!J866)</f>
        <v>1</v>
      </c>
      <c r="N866" s="13" t="str">
        <f>IF(Sheet1!B866="A","Branch A",IF(Sheet1!B866="B","Branch B","Other Branch"))</f>
        <v>Branch A</v>
      </c>
      <c r="O866" s="13" t="str">
        <f>IF(Sheet1!M866="Credit card","Credit Payment","Other")</f>
        <v>Other</v>
      </c>
      <c r="P866" s="13" t="str">
        <f>IF(Sheet1!O866&gt;7,"Yes","No")</f>
        <v>No</v>
      </c>
    </row>
    <row r="867" spans="5:16">
      <c r="E867" s="13" t="str">
        <v>176</v>
      </c>
      <c r="F867" s="13" t="str">
        <v>1170</v>
      </c>
      <c r="G867" s="13" t="str">
        <v>78</v>
      </c>
      <c r="H867" s="13" t="str">
        <f>_xlfn.CONCAT(Sheet1!A867," --&gt; ",Sheet1!J867)</f>
        <v>176-78-1170 --&gt; 106.5015</v>
      </c>
      <c r="I867" s="13" t="str">
        <f>_xlfn.CONCAT(Sheet1!C867,"_",TEXT(Sheet1!K867, "m/d/yyyy"))</f>
        <v>Naypyitaw_1/26/2019</v>
      </c>
      <c r="J867" s="13" t="str">
        <f>IF(Sheet1!I867=Sheet1!N867*0.05,"Valid","Error")</f>
        <v>Valid</v>
      </c>
      <c r="K867" s="13" t="str">
        <f>IF(Sheet1!N867=Sheet1!G867*Sheet1!H867,"True","False")</f>
        <v>True</v>
      </c>
      <c r="L867" s="13" t="b">
        <v>1</v>
      </c>
      <c r="M867" s="9" t="b">
        <f>ISNUMBER(Sheet1!J867)</f>
        <v>1</v>
      </c>
      <c r="N867" s="13" t="str">
        <f>IF(Sheet1!B867="A","Branch A",IF(Sheet1!B867="B","Branch B","Other Branch"))</f>
        <v>Other Branch</v>
      </c>
      <c r="O867" s="13" t="str">
        <f>IF(Sheet1!M867="Credit card","Credit Payment","Other")</f>
        <v>Other</v>
      </c>
      <c r="P867" s="13" t="str">
        <f>IF(Sheet1!O867&gt;7,"Yes","No")</f>
        <v>Yes</v>
      </c>
    </row>
    <row r="868" spans="5:16">
      <c r="E868" s="13" t="str">
        <v>361</v>
      </c>
      <c r="F868" s="13" t="str">
        <v>0574</v>
      </c>
      <c r="G868" s="13" t="str">
        <v>59</v>
      </c>
      <c r="H868" s="13" t="str">
        <f>_xlfn.CONCAT(Sheet1!A868," --&gt; ",Sheet1!J868)</f>
        <v>361-59-0574 --&gt; 760.452</v>
      </c>
      <c r="I868" s="13" t="str">
        <f>_xlfn.CONCAT(Sheet1!C868,"_",TEXT(Sheet1!K868, "m/d/yyyy"))</f>
        <v>Mandalay_3/15/2019</v>
      </c>
      <c r="J868" s="13" t="str">
        <f>IF(Sheet1!I868=Sheet1!N868*0.05,"Valid","Error")</f>
        <v>Valid</v>
      </c>
      <c r="K868" s="13" t="str">
        <f>IF(Sheet1!N868=Sheet1!G868*Sheet1!H868,"True","False")</f>
        <v>True</v>
      </c>
      <c r="L868" s="13" t="b">
        <v>1</v>
      </c>
      <c r="M868" s="9" t="b">
        <f>ISNUMBER(Sheet1!J868)</f>
        <v>1</v>
      </c>
      <c r="N868" s="13" t="str">
        <f>IF(Sheet1!B868="A","Branch A",IF(Sheet1!B868="B","Branch B","Other Branch"))</f>
        <v>Branch B</v>
      </c>
      <c r="O868" s="13" t="str">
        <f>IF(Sheet1!M868="Credit card","Credit Payment","Other")</f>
        <v>Credit Payment</v>
      </c>
      <c r="P868" s="13" t="str">
        <f>IF(Sheet1!O868&gt;7,"Yes","No")</f>
        <v>No</v>
      </c>
    </row>
    <row r="869" spans="5:16">
      <c r="E869" s="13" t="str">
        <v>101</v>
      </c>
      <c r="F869" s="13" t="str">
        <v>4070</v>
      </c>
      <c r="G869" s="13" t="str">
        <v>81</v>
      </c>
      <c r="H869" s="13" t="str">
        <f>_xlfn.CONCAT(Sheet1!A869," --&gt; ",Sheet1!J869)</f>
        <v>101-81-4070 --&gt; 131.922</v>
      </c>
      <c r="I869" s="13" t="str">
        <f>_xlfn.CONCAT(Sheet1!C869,"_",TEXT(Sheet1!K869, "m/d/yyyy"))</f>
        <v>Naypyitaw_1/17/2019</v>
      </c>
      <c r="J869" s="13" t="str">
        <f>IF(Sheet1!I869=Sheet1!N869*0.05,"Valid","Error")</f>
        <v>Valid</v>
      </c>
      <c r="K869" s="13" t="str">
        <f>IF(Sheet1!N869=Sheet1!G869*Sheet1!H869,"True","False")</f>
        <v>True</v>
      </c>
      <c r="L869" s="13" t="b">
        <v>1</v>
      </c>
      <c r="M869" s="9" t="b">
        <f>ISNUMBER(Sheet1!J869)</f>
        <v>1</v>
      </c>
      <c r="N869" s="13" t="str">
        <f>IF(Sheet1!B869="A","Branch A",IF(Sheet1!B869="B","Branch B","Other Branch"))</f>
        <v>Other Branch</v>
      </c>
      <c r="O869" s="13" t="str">
        <f>IF(Sheet1!M869="Credit card","Credit Payment","Other")</f>
        <v>Other</v>
      </c>
      <c r="P869" s="13" t="str">
        <f>IF(Sheet1!O869&gt;7,"Yes","No")</f>
        <v>No</v>
      </c>
    </row>
    <row r="870" spans="5:16">
      <c r="E870" s="13" t="str">
        <v>631</v>
      </c>
      <c r="F870" s="13" t="str">
        <v>1880</v>
      </c>
      <c r="G870" s="13" t="str">
        <v>34</v>
      </c>
      <c r="H870" s="13" t="str">
        <f>_xlfn.CONCAT(Sheet1!A870," --&gt; ",Sheet1!J870)</f>
        <v>631-34-1880 --&gt; 76.5765</v>
      </c>
      <c r="I870" s="13" t="str">
        <f>_xlfn.CONCAT(Sheet1!C870,"_",TEXT(Sheet1!K870, "m/d/yyyy"))</f>
        <v>Naypyitaw_1/8/2019</v>
      </c>
      <c r="J870" s="13" t="str">
        <f>IF(Sheet1!I870=Sheet1!N870*0.05,"Valid","Error")</f>
        <v>Valid</v>
      </c>
      <c r="K870" s="13" t="str">
        <f>IF(Sheet1!N870=Sheet1!G870*Sheet1!H870,"True","False")</f>
        <v>True</v>
      </c>
      <c r="L870" s="13" t="b">
        <v>1</v>
      </c>
      <c r="M870" s="9" t="b">
        <f>ISNUMBER(Sheet1!J870)</f>
        <v>1</v>
      </c>
      <c r="N870" s="13" t="str">
        <f>IF(Sheet1!B870="A","Branch A",IF(Sheet1!B870="B","Branch B","Other Branch"))</f>
        <v>Other Branch</v>
      </c>
      <c r="O870" s="13" t="str">
        <f>IF(Sheet1!M870="Credit card","Credit Payment","Other")</f>
        <v>Credit Payment</v>
      </c>
      <c r="P870" s="13" t="str">
        <f>IF(Sheet1!O870&gt;7,"Yes","No")</f>
        <v>No</v>
      </c>
    </row>
    <row r="871" spans="5:16">
      <c r="E871" s="13" t="str">
        <v>852</v>
      </c>
      <c r="F871" s="13" t="str">
        <v>2749</v>
      </c>
      <c r="G871" s="13" t="str">
        <v>82</v>
      </c>
      <c r="H871" s="13" t="str">
        <f>_xlfn.CONCAT(Sheet1!A871," --&gt; ",Sheet1!J871)</f>
        <v>852-82-2749 --&gt; 271.278</v>
      </c>
      <c r="I871" s="13" t="str">
        <f>_xlfn.CONCAT(Sheet1!C871,"_",TEXT(Sheet1!K871, "m/d/yyyy"))</f>
        <v>Yangon_1/6/2019</v>
      </c>
      <c r="J871" s="13" t="str">
        <f>IF(Sheet1!I871=Sheet1!N871*0.05,"Valid","Error")</f>
        <v>Valid</v>
      </c>
      <c r="K871" s="13" t="str">
        <f>IF(Sheet1!N871=Sheet1!G871*Sheet1!H871,"True","False")</f>
        <v>True</v>
      </c>
      <c r="L871" s="13" t="b">
        <v>1</v>
      </c>
      <c r="M871" s="9" t="b">
        <f>ISNUMBER(Sheet1!J871)</f>
        <v>1</v>
      </c>
      <c r="N871" s="13" t="str">
        <f>IF(Sheet1!B871="A","Branch A",IF(Sheet1!B871="B","Branch B","Other Branch"))</f>
        <v>Branch A</v>
      </c>
      <c r="O871" s="13" t="str">
        <f>IF(Sheet1!M871="Credit card","Credit Payment","Other")</f>
        <v>Other</v>
      </c>
      <c r="P871" s="13" t="str">
        <f>IF(Sheet1!O871&gt;7,"Yes","No")</f>
        <v>Yes</v>
      </c>
    </row>
    <row r="872" spans="5:16">
      <c r="E872" s="13" t="str">
        <v>873</v>
      </c>
      <c r="F872" s="13" t="str">
        <v>6353</v>
      </c>
      <c r="G872" s="13" t="str">
        <v>14</v>
      </c>
      <c r="H872" s="13" t="str">
        <f>_xlfn.CONCAT(Sheet1!A872," --&gt; ",Sheet1!J872)</f>
        <v>873-14-6353 --&gt; 182.427</v>
      </c>
      <c r="I872" s="13" t="str">
        <f>_xlfn.CONCAT(Sheet1!C872,"_",TEXT(Sheet1!K872, "m/d/yyyy"))</f>
        <v>Yangon_2/16/2019</v>
      </c>
      <c r="J872" s="13" t="str">
        <f>IF(Sheet1!I872=Sheet1!N872*0.05,"Valid","Error")</f>
        <v>Valid</v>
      </c>
      <c r="K872" s="13" t="str">
        <f>IF(Sheet1!N872=Sheet1!G872*Sheet1!H872,"True","False")</f>
        <v>True</v>
      </c>
      <c r="L872" s="13" t="b">
        <v>1</v>
      </c>
      <c r="M872" s="9" t="b">
        <f>ISNUMBER(Sheet1!J872)</f>
        <v>1</v>
      </c>
      <c r="N872" s="13" t="str">
        <f>IF(Sheet1!B872="A","Branch A",IF(Sheet1!B872="B","Branch B","Other Branch"))</f>
        <v>Branch A</v>
      </c>
      <c r="O872" s="13" t="str">
        <f>IF(Sheet1!M872="Credit card","Credit Payment","Other")</f>
        <v>Credit Payment</v>
      </c>
      <c r="P872" s="13" t="str">
        <f>IF(Sheet1!O872&gt;7,"Yes","No")</f>
        <v>Yes</v>
      </c>
    </row>
    <row r="873" spans="5:16">
      <c r="E873" s="13" t="str">
        <v>584</v>
      </c>
      <c r="F873" s="13" t="str">
        <v>4073</v>
      </c>
      <c r="G873" s="13" t="str">
        <v>66</v>
      </c>
      <c r="H873" s="13" t="str">
        <f>_xlfn.CONCAT(Sheet1!A873," --&gt; ",Sheet1!J873)</f>
        <v>584-66-4073 --&gt; 59.325</v>
      </c>
      <c r="I873" s="13" t="str">
        <f>_xlfn.CONCAT(Sheet1!C873,"_",TEXT(Sheet1!K873, "m/d/yyyy"))</f>
        <v>Naypyitaw_3/13/2019</v>
      </c>
      <c r="J873" s="13" t="str">
        <f>IF(Sheet1!I873=Sheet1!N873*0.05,"Valid","Error")</f>
        <v>Valid</v>
      </c>
      <c r="K873" s="13" t="str">
        <f>IF(Sheet1!N873=Sheet1!G873*Sheet1!H873,"True","False")</f>
        <v>True</v>
      </c>
      <c r="L873" s="13" t="b">
        <v>1</v>
      </c>
      <c r="M873" s="9" t="b">
        <f>ISNUMBER(Sheet1!J873)</f>
        <v>1</v>
      </c>
      <c r="N873" s="13" t="str">
        <f>IF(Sheet1!B873="A","Branch A",IF(Sheet1!B873="B","Branch B","Other Branch"))</f>
        <v>Other Branch</v>
      </c>
      <c r="O873" s="13" t="str">
        <f>IF(Sheet1!M873="Credit card","Credit Payment","Other")</f>
        <v>Other</v>
      </c>
      <c r="P873" s="13" t="str">
        <f>IF(Sheet1!O873&gt;7,"Yes","No")</f>
        <v>Yes</v>
      </c>
    </row>
    <row r="874" spans="5:16">
      <c r="E874" s="13" t="str">
        <v>544</v>
      </c>
      <c r="F874" s="13" t="str">
        <v>9589</v>
      </c>
      <c r="G874" s="13" t="str">
        <v>55</v>
      </c>
      <c r="H874" s="13" t="str">
        <f>_xlfn.CONCAT(Sheet1!A874," --&gt; ",Sheet1!J874)</f>
        <v>544-55-9589 --&gt; 225.015</v>
      </c>
      <c r="I874" s="13" t="str">
        <f>_xlfn.CONCAT(Sheet1!C874,"_",TEXT(Sheet1!K874, "m/d/yyyy"))</f>
        <v>Mandalay_1/28/2019</v>
      </c>
      <c r="J874" s="13" t="str">
        <f>IF(Sheet1!I874=Sheet1!N874*0.05,"Valid","Error")</f>
        <v>Valid</v>
      </c>
      <c r="K874" s="13" t="str">
        <f>IF(Sheet1!N874=Sheet1!G874*Sheet1!H874,"True","False")</f>
        <v>True</v>
      </c>
      <c r="L874" s="13" t="b">
        <v>1</v>
      </c>
      <c r="M874" s="9" t="b">
        <f>ISNUMBER(Sheet1!J874)</f>
        <v>1</v>
      </c>
      <c r="N874" s="13" t="str">
        <f>IF(Sheet1!B874="A","Branch A",IF(Sheet1!B874="B","Branch B","Other Branch"))</f>
        <v>Branch B</v>
      </c>
      <c r="O874" s="13" t="str">
        <f>IF(Sheet1!M874="Credit card","Credit Payment","Other")</f>
        <v>Other</v>
      </c>
      <c r="P874" s="13" t="str">
        <f>IF(Sheet1!O874&gt;7,"Yes","No")</f>
        <v>No</v>
      </c>
    </row>
    <row r="875" spans="5:16">
      <c r="E875" s="13" t="str">
        <v>166</v>
      </c>
      <c r="F875" s="13" t="str">
        <v>2553</v>
      </c>
      <c r="G875" s="13" t="str">
        <v>19</v>
      </c>
      <c r="H875" s="13" t="str">
        <f>_xlfn.CONCAT(Sheet1!A875," --&gt; ",Sheet1!J875)</f>
        <v>166-19-2553 --&gt; 561.078</v>
      </c>
      <c r="I875" s="13" t="str">
        <f>_xlfn.CONCAT(Sheet1!C875,"_",TEXT(Sheet1!K875, "m/d/yyyy"))</f>
        <v>Yangon_1/18/2019</v>
      </c>
      <c r="J875" s="13" t="str">
        <f>IF(Sheet1!I875=Sheet1!N875*0.05,"Valid","Error")</f>
        <v>Valid</v>
      </c>
      <c r="K875" s="13" t="str">
        <f>IF(Sheet1!N875=Sheet1!G875*Sheet1!H875,"True","False")</f>
        <v>True</v>
      </c>
      <c r="L875" s="13" t="b">
        <v>1</v>
      </c>
      <c r="M875" s="9" t="b">
        <f>ISNUMBER(Sheet1!J875)</f>
        <v>1</v>
      </c>
      <c r="N875" s="13" t="str">
        <f>IF(Sheet1!B875="A","Branch A",IF(Sheet1!B875="B","Branch B","Other Branch"))</f>
        <v>Branch A</v>
      </c>
      <c r="O875" s="13" t="str">
        <f>IF(Sheet1!M875="Credit card","Credit Payment","Other")</f>
        <v>Other</v>
      </c>
      <c r="P875" s="13" t="str">
        <f>IF(Sheet1!O875&gt;7,"Yes","No")</f>
        <v>Yes</v>
      </c>
    </row>
    <row r="876" spans="5:16">
      <c r="E876" s="13" t="str">
        <v>737</v>
      </c>
      <c r="F876" s="13" t="str">
        <v>5876</v>
      </c>
      <c r="G876" s="13" t="str">
        <v>88</v>
      </c>
      <c r="H876" s="13" t="str">
        <f>_xlfn.CONCAT(Sheet1!A876," --&gt; ",Sheet1!J876)</f>
        <v>737-88-5876 --&gt; 97.818</v>
      </c>
      <c r="I876" s="13" t="str">
        <f>_xlfn.CONCAT(Sheet1!C876,"_",TEXT(Sheet1!K876, "m/d/yyyy"))</f>
        <v>Yangon_3/19/2019</v>
      </c>
      <c r="J876" s="13" t="str">
        <f>IF(Sheet1!I876=Sheet1!N876*0.05,"Valid","Error")</f>
        <v>Valid</v>
      </c>
      <c r="K876" s="13" t="str">
        <f>IF(Sheet1!N876=Sheet1!G876*Sheet1!H876,"True","False")</f>
        <v>True</v>
      </c>
      <c r="L876" s="13" t="b">
        <v>1</v>
      </c>
      <c r="M876" s="9" t="b">
        <f>ISNUMBER(Sheet1!J876)</f>
        <v>1</v>
      </c>
      <c r="N876" s="13" t="str">
        <f>IF(Sheet1!B876="A","Branch A",IF(Sheet1!B876="B","Branch B","Other Branch"))</f>
        <v>Branch A</v>
      </c>
      <c r="O876" s="13" t="str">
        <f>IF(Sheet1!M876="Credit card","Credit Payment","Other")</f>
        <v>Credit Payment</v>
      </c>
      <c r="P876" s="13" t="str">
        <f>IF(Sheet1!O876&gt;7,"Yes","No")</f>
        <v>No</v>
      </c>
    </row>
    <row r="877" spans="5:16">
      <c r="E877" s="13" t="str">
        <v>154</v>
      </c>
      <c r="F877" s="13" t="str">
        <v>7367</v>
      </c>
      <c r="G877" s="13" t="str">
        <v>87</v>
      </c>
      <c r="H877" s="13" t="str">
        <f>_xlfn.CONCAT(Sheet1!A877," --&gt; ",Sheet1!J877)</f>
        <v>154-87-7367 --&gt; 548.184</v>
      </c>
      <c r="I877" s="13" t="str">
        <f>_xlfn.CONCAT(Sheet1!C877,"_",TEXT(Sheet1!K877, "m/d/yyyy"))</f>
        <v>Naypyitaw_3/15/2019</v>
      </c>
      <c r="J877" s="13" t="str">
        <f>IF(Sheet1!I877=Sheet1!N877*0.05,"Valid","Error")</f>
        <v>Valid</v>
      </c>
      <c r="K877" s="13" t="str">
        <f>IF(Sheet1!N877=Sheet1!G877*Sheet1!H877,"True","False")</f>
        <v>True</v>
      </c>
      <c r="L877" s="13" t="b">
        <v>1</v>
      </c>
      <c r="M877" s="9" t="b">
        <f>ISNUMBER(Sheet1!J877)</f>
        <v>1</v>
      </c>
      <c r="N877" s="13" t="str">
        <f>IF(Sheet1!B877="A","Branch A",IF(Sheet1!B877="B","Branch B","Other Branch"))</f>
        <v>Other Branch</v>
      </c>
      <c r="O877" s="13" t="str">
        <f>IF(Sheet1!M877="Credit card","Credit Payment","Other")</f>
        <v>Other</v>
      </c>
      <c r="P877" s="13" t="str">
        <f>IF(Sheet1!O877&gt;7,"Yes","No")</f>
        <v>No</v>
      </c>
    </row>
    <row r="878" spans="5:16">
      <c r="E878" s="13" t="str">
        <v>885</v>
      </c>
      <c r="F878" s="13" t="str">
        <v>0389</v>
      </c>
      <c r="G878" s="13" t="str">
        <v>56</v>
      </c>
      <c r="H878" s="13" t="str">
        <f>_xlfn.CONCAT(Sheet1!A878," --&gt; ",Sheet1!J878)</f>
        <v>885-56-0389 --&gt; 54.9675</v>
      </c>
      <c r="I878" s="13" t="str">
        <f>_xlfn.CONCAT(Sheet1!C878,"_",TEXT(Sheet1!K878, "m/d/yyyy"))</f>
        <v>Naypyitaw_2/12/2019</v>
      </c>
      <c r="J878" s="13" t="str">
        <f>IF(Sheet1!I878=Sheet1!N878*0.05,"Valid","Error")</f>
        <v>Valid</v>
      </c>
      <c r="K878" s="13" t="str">
        <f>IF(Sheet1!N878=Sheet1!G878*Sheet1!H878,"True","False")</f>
        <v>True</v>
      </c>
      <c r="L878" s="13" t="b">
        <v>1</v>
      </c>
      <c r="M878" s="9" t="b">
        <f>ISNUMBER(Sheet1!J878)</f>
        <v>1</v>
      </c>
      <c r="N878" s="13" t="str">
        <f>IF(Sheet1!B878="A","Branch A",IF(Sheet1!B878="B","Branch B","Other Branch"))</f>
        <v>Other Branch</v>
      </c>
      <c r="O878" s="13" t="str">
        <f>IF(Sheet1!M878="Credit card","Credit Payment","Other")</f>
        <v>Other</v>
      </c>
      <c r="P878" s="13" t="str">
        <f>IF(Sheet1!O878&gt;7,"Yes","No")</f>
        <v>No</v>
      </c>
    </row>
    <row r="879" spans="5:16">
      <c r="E879" s="13" t="str">
        <v>608</v>
      </c>
      <c r="F879" s="13" t="str">
        <v>3804</v>
      </c>
      <c r="G879" s="13" t="str">
        <v>05</v>
      </c>
      <c r="H879" s="13" t="str">
        <f>_xlfn.CONCAT(Sheet1!A879," --&gt; ",Sheet1!J879)</f>
        <v>608-05-3804 --&gt; 41.7375</v>
      </c>
      <c r="I879" s="13" t="str">
        <f>_xlfn.CONCAT(Sheet1!C879,"_",TEXT(Sheet1!K879, "m/d/yyyy"))</f>
        <v>Mandalay_2/25/2019</v>
      </c>
      <c r="J879" s="13" t="str">
        <f>IF(Sheet1!I879=Sheet1!N879*0.05,"Valid","Error")</f>
        <v>Valid</v>
      </c>
      <c r="K879" s="13" t="str">
        <f>IF(Sheet1!N879=Sheet1!G879*Sheet1!H879,"True","False")</f>
        <v>True</v>
      </c>
      <c r="L879" s="13" t="b">
        <v>1</v>
      </c>
      <c r="M879" s="9" t="b">
        <f>ISNUMBER(Sheet1!J879)</f>
        <v>1</v>
      </c>
      <c r="N879" s="13" t="str">
        <f>IF(Sheet1!B879="A","Branch A",IF(Sheet1!B879="B","Branch B","Other Branch"))</f>
        <v>Branch B</v>
      </c>
      <c r="O879" s="13" t="str">
        <f>IF(Sheet1!M879="Credit card","Credit Payment","Other")</f>
        <v>Other</v>
      </c>
      <c r="P879" s="13" t="str">
        <f>IF(Sheet1!O879&gt;7,"Yes","No")</f>
        <v>No</v>
      </c>
    </row>
    <row r="880" spans="5:16">
      <c r="E880" s="13" t="str">
        <v>448</v>
      </c>
      <c r="F880" s="13" t="str">
        <v>3783</v>
      </c>
      <c r="G880" s="13" t="str">
        <v>61</v>
      </c>
      <c r="H880" s="13" t="str">
        <f>_xlfn.CONCAT(Sheet1!A880," --&gt; ",Sheet1!J880)</f>
        <v>448-61-3783 --&gt; 756.168</v>
      </c>
      <c r="I880" s="13" t="str">
        <f>_xlfn.CONCAT(Sheet1!C880,"_",TEXT(Sheet1!K880, "m/d/yyyy"))</f>
        <v>Yangon_3/21/2019</v>
      </c>
      <c r="J880" s="13" t="str">
        <f>IF(Sheet1!I880=Sheet1!N880*0.05,"Valid","Error")</f>
        <v>Valid</v>
      </c>
      <c r="K880" s="13" t="str">
        <f>IF(Sheet1!N880=Sheet1!G880*Sheet1!H880,"True","False")</f>
        <v>True</v>
      </c>
      <c r="L880" s="13" t="b">
        <v>1</v>
      </c>
      <c r="M880" s="9" t="b">
        <f>ISNUMBER(Sheet1!J880)</f>
        <v>1</v>
      </c>
      <c r="N880" s="13" t="str">
        <f>IF(Sheet1!B880="A","Branch A",IF(Sheet1!B880="B","Branch B","Other Branch"))</f>
        <v>Branch A</v>
      </c>
      <c r="O880" s="13" t="str">
        <f>IF(Sheet1!M880="Credit card","Credit Payment","Other")</f>
        <v>Credit Payment</v>
      </c>
      <c r="P880" s="13" t="str">
        <f>IF(Sheet1!O880&gt;7,"Yes","No")</f>
        <v>No</v>
      </c>
    </row>
    <row r="881" spans="5:16">
      <c r="E881" s="13" t="str">
        <v>761</v>
      </c>
      <c r="F881" s="13" t="str">
        <v>0439</v>
      </c>
      <c r="G881" s="13" t="str">
        <v>49</v>
      </c>
      <c r="H881" s="13" t="str">
        <f>_xlfn.CONCAT(Sheet1!A881," --&gt; ",Sheet1!J881)</f>
        <v>761-49-0439 --&gt; 101.64</v>
      </c>
      <c r="I881" s="13" t="str">
        <f>_xlfn.CONCAT(Sheet1!C881,"_",TEXT(Sheet1!K881, "m/d/yyyy"))</f>
        <v>Mandalay_1/19/2019</v>
      </c>
      <c r="J881" s="13" t="str">
        <f>IF(Sheet1!I881=Sheet1!N881*0.05,"Valid","Error")</f>
        <v>Valid</v>
      </c>
      <c r="K881" s="13" t="str">
        <f>IF(Sheet1!N881=Sheet1!G881*Sheet1!H881,"True","False")</f>
        <v>True</v>
      </c>
      <c r="L881" s="13" t="b">
        <v>1</v>
      </c>
      <c r="M881" s="9" t="b">
        <f>ISNUMBER(Sheet1!J881)</f>
        <v>1</v>
      </c>
      <c r="N881" s="13" t="str">
        <f>IF(Sheet1!B881="A","Branch A",IF(Sheet1!B881="B","Branch B","Other Branch"))</f>
        <v>Branch B</v>
      </c>
      <c r="O881" s="13" t="str">
        <f>IF(Sheet1!M881="Credit card","Credit Payment","Other")</f>
        <v>Other</v>
      </c>
      <c r="P881" s="13" t="str">
        <f>IF(Sheet1!O881&gt;7,"Yes","No")</f>
        <v>Yes</v>
      </c>
    </row>
    <row r="882" spans="5:16">
      <c r="E882" s="13" t="str">
        <v>490</v>
      </c>
      <c r="F882" s="13" t="str">
        <v>0021</v>
      </c>
      <c r="G882" s="13" t="str">
        <v>95</v>
      </c>
      <c r="H882" s="13" t="str">
        <f>_xlfn.CONCAT(Sheet1!A882," --&gt; ",Sheet1!J882)</f>
        <v>490-95-0021 --&gt; 348.705</v>
      </c>
      <c r="I882" s="13" t="str">
        <f>_xlfn.CONCAT(Sheet1!C882,"_",TEXT(Sheet1!K882, "m/d/yyyy"))</f>
        <v>Mandalay_1/8/2019</v>
      </c>
      <c r="J882" s="13" t="str">
        <f>IF(Sheet1!I882=Sheet1!N882*0.05,"Valid","Error")</f>
        <v>Valid</v>
      </c>
      <c r="K882" s="13" t="str">
        <f>IF(Sheet1!N882=Sheet1!G882*Sheet1!H882,"True","False")</f>
        <v>True</v>
      </c>
      <c r="L882" s="13" t="b">
        <v>1</v>
      </c>
      <c r="M882" s="9" t="b">
        <f>ISNUMBER(Sheet1!J882)</f>
        <v>1</v>
      </c>
      <c r="N882" s="13" t="str">
        <f>IF(Sheet1!B882="A","Branch A",IF(Sheet1!B882="B","Branch B","Other Branch"))</f>
        <v>Branch B</v>
      </c>
      <c r="O882" s="13" t="str">
        <f>IF(Sheet1!M882="Credit card","Credit Payment","Other")</f>
        <v>Other</v>
      </c>
      <c r="P882" s="13" t="str">
        <f>IF(Sheet1!O882&gt;7,"Yes","No")</f>
        <v>No</v>
      </c>
    </row>
    <row r="883" spans="5:16">
      <c r="E883" s="13" t="str">
        <v>115</v>
      </c>
      <c r="F883" s="13" t="str">
        <v>7388</v>
      </c>
      <c r="G883" s="13" t="str">
        <v>38</v>
      </c>
      <c r="H883" s="13" t="str">
        <f>_xlfn.CONCAT(Sheet1!A883," --&gt; ",Sheet1!J883)</f>
        <v>115-38-7388 --&gt; 85.512</v>
      </c>
      <c r="I883" s="13" t="str">
        <f>_xlfn.CONCAT(Sheet1!C883,"_",TEXT(Sheet1!K883, "m/d/yyyy"))</f>
        <v>Naypyitaw_3/30/2019</v>
      </c>
      <c r="J883" s="13" t="str">
        <f>IF(Sheet1!I883=Sheet1!N883*0.05,"Valid","Error")</f>
        <v>Valid</v>
      </c>
      <c r="K883" s="13" t="str">
        <f>IF(Sheet1!N883=Sheet1!G883*Sheet1!H883,"True","False")</f>
        <v>True</v>
      </c>
      <c r="L883" s="13" t="b">
        <v>1</v>
      </c>
      <c r="M883" s="9" t="b">
        <f>ISNUMBER(Sheet1!J883)</f>
        <v>1</v>
      </c>
      <c r="N883" s="13" t="str">
        <f>IF(Sheet1!B883="A","Branch A",IF(Sheet1!B883="B","Branch B","Other Branch"))</f>
        <v>Other Branch</v>
      </c>
      <c r="O883" s="13" t="str">
        <f>IF(Sheet1!M883="Credit card","Credit Payment","Other")</f>
        <v>Credit Payment</v>
      </c>
      <c r="P883" s="13" t="str">
        <f>IF(Sheet1!O883&gt;7,"Yes","No")</f>
        <v>Yes</v>
      </c>
    </row>
    <row r="884" spans="5:16">
      <c r="E884" s="13" t="str">
        <v>311</v>
      </c>
      <c r="F884" s="13" t="str">
        <v>6971</v>
      </c>
      <c r="G884" s="13" t="str">
        <v>13</v>
      </c>
      <c r="H884" s="13" t="str">
        <f>_xlfn.CONCAT(Sheet1!A884," --&gt; ",Sheet1!J884)</f>
        <v>311-13-6971 --&gt; 335.895</v>
      </c>
      <c r="I884" s="13" t="str">
        <f>_xlfn.CONCAT(Sheet1!C884,"_",TEXT(Sheet1!K884, "m/d/yyyy"))</f>
        <v>Mandalay_2/20/2019</v>
      </c>
      <c r="J884" s="13" t="str">
        <f>IF(Sheet1!I884=Sheet1!N884*0.05,"Valid","Error")</f>
        <v>Valid</v>
      </c>
      <c r="K884" s="13" t="str">
        <f>IF(Sheet1!N884=Sheet1!G884*Sheet1!H884,"True","False")</f>
        <v>True</v>
      </c>
      <c r="L884" s="13" t="b">
        <v>1</v>
      </c>
      <c r="M884" s="9" t="b">
        <f>ISNUMBER(Sheet1!J884)</f>
        <v>1</v>
      </c>
      <c r="N884" s="13" t="str">
        <f>IF(Sheet1!B884="A","Branch A",IF(Sheet1!B884="B","Branch B","Other Branch"))</f>
        <v>Branch B</v>
      </c>
      <c r="O884" s="13" t="str">
        <f>IF(Sheet1!M884="Credit card","Credit Payment","Other")</f>
        <v>Credit Payment</v>
      </c>
      <c r="P884" s="13" t="str">
        <f>IF(Sheet1!O884&gt;7,"Yes","No")</f>
        <v>Yes</v>
      </c>
    </row>
    <row r="885" spans="5:16">
      <c r="E885" s="13" t="str">
        <v>291</v>
      </c>
      <c r="F885" s="13" t="str">
        <v>6563</v>
      </c>
      <c r="G885" s="13" t="str">
        <v>55</v>
      </c>
      <c r="H885" s="13" t="str">
        <f>_xlfn.CONCAT(Sheet1!A885," --&gt; ",Sheet1!J885)</f>
        <v>291-55-6563 --&gt; 216.846</v>
      </c>
      <c r="I885" s="13" t="str">
        <f>_xlfn.CONCAT(Sheet1!C885,"_",TEXT(Sheet1!K885, "m/d/yyyy"))</f>
        <v>Yangon_3/30/2019</v>
      </c>
      <c r="J885" s="13" t="str">
        <f>IF(Sheet1!I885=Sheet1!N885*0.05,"Valid","Error")</f>
        <v>Valid</v>
      </c>
      <c r="K885" s="13" t="str">
        <f>IF(Sheet1!N885=Sheet1!G885*Sheet1!H885,"True","False")</f>
        <v>True</v>
      </c>
      <c r="L885" s="13" t="b">
        <v>1</v>
      </c>
      <c r="M885" s="9" t="b">
        <f>ISNUMBER(Sheet1!J885)</f>
        <v>1</v>
      </c>
      <c r="N885" s="13" t="str">
        <f>IF(Sheet1!B885="A","Branch A",IF(Sheet1!B885="B","Branch B","Other Branch"))</f>
        <v>Branch A</v>
      </c>
      <c r="O885" s="13" t="str">
        <f>IF(Sheet1!M885="Credit card","Credit Payment","Other")</f>
        <v>Other</v>
      </c>
      <c r="P885" s="13" t="str">
        <f>IF(Sheet1!O885&gt;7,"Yes","No")</f>
        <v>Yes</v>
      </c>
    </row>
    <row r="886" spans="5:16">
      <c r="E886" s="13" t="str">
        <v>548</v>
      </c>
      <c r="F886" s="13" t="str">
        <v>3156</v>
      </c>
      <c r="G886" s="13" t="str">
        <v>48</v>
      </c>
      <c r="H886" s="13" t="str">
        <f>_xlfn.CONCAT(Sheet1!A886," --&gt; ",Sheet1!J886)</f>
        <v>548-48-3156 --&gt; 175.014</v>
      </c>
      <c r="I886" s="13" t="str">
        <f>_xlfn.CONCAT(Sheet1!C886,"_",TEXT(Sheet1!K886, "m/d/yyyy"))</f>
        <v>Yangon_3/19/2019</v>
      </c>
      <c r="J886" s="13" t="str">
        <f>IF(Sheet1!I886=Sheet1!N886*0.05,"Valid","Error")</f>
        <v>Valid</v>
      </c>
      <c r="K886" s="13" t="str">
        <f>IF(Sheet1!N886=Sheet1!G886*Sheet1!H886,"True","False")</f>
        <v>True</v>
      </c>
      <c r="L886" s="13" t="b">
        <v>1</v>
      </c>
      <c r="M886" s="9" t="b">
        <f>ISNUMBER(Sheet1!J886)</f>
        <v>1</v>
      </c>
      <c r="N886" s="13" t="str">
        <f>IF(Sheet1!B886="A","Branch A",IF(Sheet1!B886="B","Branch B","Other Branch"))</f>
        <v>Branch A</v>
      </c>
      <c r="O886" s="13" t="str">
        <f>IF(Sheet1!M886="Credit card","Credit Payment","Other")</f>
        <v>Other</v>
      </c>
      <c r="P886" s="13" t="str">
        <f>IF(Sheet1!O886&gt;7,"Yes","No")</f>
        <v>Yes</v>
      </c>
    </row>
    <row r="887" spans="5:16">
      <c r="E887" s="13" t="str">
        <v>460</v>
      </c>
      <c r="F887" s="13" t="str">
        <v>5834</v>
      </c>
      <c r="G887" s="13" t="str">
        <v>93</v>
      </c>
      <c r="H887" s="13" t="str">
        <f>_xlfn.CONCAT(Sheet1!A887," --&gt; ",Sheet1!J887)</f>
        <v>460-93-5834 --&gt; 335.013</v>
      </c>
      <c r="I887" s="13" t="str">
        <f>_xlfn.CONCAT(Sheet1!C887,"_",TEXT(Sheet1!K887, "m/d/yyyy"))</f>
        <v>Yangon_1/13/2019</v>
      </c>
      <c r="J887" s="13" t="str">
        <f>IF(Sheet1!I887=Sheet1!N887*0.05,"Valid","Error")</f>
        <v>Valid</v>
      </c>
      <c r="K887" s="13" t="str">
        <f>IF(Sheet1!N887=Sheet1!G887*Sheet1!H887,"True","False")</f>
        <v>True</v>
      </c>
      <c r="L887" s="13" t="b">
        <v>1</v>
      </c>
      <c r="M887" s="9" t="b">
        <f>ISNUMBER(Sheet1!J887)</f>
        <v>1</v>
      </c>
      <c r="N887" s="13" t="str">
        <f>IF(Sheet1!B887="A","Branch A",IF(Sheet1!B887="B","Branch B","Other Branch"))</f>
        <v>Branch A</v>
      </c>
      <c r="O887" s="13" t="str">
        <f>IF(Sheet1!M887="Credit card","Credit Payment","Other")</f>
        <v>Other</v>
      </c>
      <c r="P887" s="13" t="str">
        <f>IF(Sheet1!O887&gt;7,"Yes","No")</f>
        <v>No</v>
      </c>
    </row>
    <row r="888" spans="5:16">
      <c r="E888" s="13" t="str">
        <v>325</v>
      </c>
      <c r="F888" s="13" t="str">
        <v>4209</v>
      </c>
      <c r="G888" s="13" t="str">
        <v>89</v>
      </c>
      <c r="H888" s="13" t="str">
        <f>_xlfn.CONCAT(Sheet1!A888," --&gt; ",Sheet1!J888)</f>
        <v>325-89-4209 --&gt; 92.295</v>
      </c>
      <c r="I888" s="13" t="str">
        <f>_xlfn.CONCAT(Sheet1!C888,"_",TEXT(Sheet1!K888, "m/d/yyyy"))</f>
        <v>Yangon_2/5/2019</v>
      </c>
      <c r="J888" s="13" t="str">
        <f>IF(Sheet1!I888=Sheet1!N888*0.05,"Valid","Error")</f>
        <v>Valid</v>
      </c>
      <c r="K888" s="13" t="str">
        <f>IF(Sheet1!N888=Sheet1!G888*Sheet1!H888,"True","False")</f>
        <v>True</v>
      </c>
      <c r="L888" s="13" t="b">
        <v>1</v>
      </c>
      <c r="M888" s="9" t="b">
        <f>ISNUMBER(Sheet1!J888)</f>
        <v>1</v>
      </c>
      <c r="N888" s="13" t="str">
        <f>IF(Sheet1!B888="A","Branch A",IF(Sheet1!B888="B","Branch B","Other Branch"))</f>
        <v>Branch A</v>
      </c>
      <c r="O888" s="13" t="str">
        <f>IF(Sheet1!M888="Credit card","Credit Payment","Other")</f>
        <v>Other</v>
      </c>
      <c r="P888" s="13" t="str">
        <f>IF(Sheet1!O888&gt;7,"Yes","No")</f>
        <v>No</v>
      </c>
    </row>
    <row r="889" spans="5:16">
      <c r="E889" s="13" t="str">
        <v>884</v>
      </c>
      <c r="F889" s="13" t="str">
        <v>6021</v>
      </c>
      <c r="G889" s="13" t="str">
        <v>80</v>
      </c>
      <c r="H889" s="13" t="str">
        <f>_xlfn.CONCAT(Sheet1!A889," --&gt; ",Sheet1!J889)</f>
        <v>884-80-6021 --&gt; 771.435</v>
      </c>
      <c r="I889" s="13" t="str">
        <f>_xlfn.CONCAT(Sheet1!C889,"_",TEXT(Sheet1!K889, "m/d/yyyy"))</f>
        <v>Yangon_3/23/2019</v>
      </c>
      <c r="J889" s="13" t="str">
        <f>IF(Sheet1!I889=Sheet1!N889*0.05,"Valid","Error")</f>
        <v>Valid</v>
      </c>
      <c r="K889" s="13" t="str">
        <f>IF(Sheet1!N889=Sheet1!G889*Sheet1!H889,"True","False")</f>
        <v>True</v>
      </c>
      <c r="L889" s="13" t="b">
        <v>1</v>
      </c>
      <c r="M889" s="9" t="b">
        <f>ISNUMBER(Sheet1!J889)</f>
        <v>1</v>
      </c>
      <c r="N889" s="13" t="str">
        <f>IF(Sheet1!B889="A","Branch A",IF(Sheet1!B889="B","Branch B","Other Branch"))</f>
        <v>Branch A</v>
      </c>
      <c r="O889" s="13" t="str">
        <f>IF(Sheet1!M889="Credit card","Credit Payment","Other")</f>
        <v>Other</v>
      </c>
      <c r="P889" s="13" t="str">
        <f>IF(Sheet1!O889&gt;7,"Yes","No")</f>
        <v>Yes</v>
      </c>
    </row>
    <row r="890" spans="5:16">
      <c r="E890" s="13" t="str">
        <v>137</v>
      </c>
      <c r="F890" s="13" t="str">
        <v>8729</v>
      </c>
      <c r="G890" s="13" t="str">
        <v>74</v>
      </c>
      <c r="H890" s="13" t="str">
        <f>_xlfn.CONCAT(Sheet1!A890," --&gt; ",Sheet1!J890)</f>
        <v>137-74-8729 --&gt; 102.396</v>
      </c>
      <c r="I890" s="13" t="str">
        <f>_xlfn.CONCAT(Sheet1!C890,"_",TEXT(Sheet1!K890, "m/d/yyyy"))</f>
        <v>Naypyitaw_3/13/2019</v>
      </c>
      <c r="J890" s="13" t="str">
        <f>IF(Sheet1!I890=Sheet1!N890*0.05,"Valid","Error")</f>
        <v>Valid</v>
      </c>
      <c r="K890" s="13" t="str">
        <f>IF(Sheet1!N890=Sheet1!G890*Sheet1!H890,"True","False")</f>
        <v>True</v>
      </c>
      <c r="L890" s="13" t="b">
        <v>1</v>
      </c>
      <c r="M890" s="9" t="b">
        <f>ISNUMBER(Sheet1!J890)</f>
        <v>1</v>
      </c>
      <c r="N890" s="13" t="str">
        <f>IF(Sheet1!B890="A","Branch A",IF(Sheet1!B890="B","Branch B","Other Branch"))</f>
        <v>Other Branch</v>
      </c>
      <c r="O890" s="13" t="str">
        <f>IF(Sheet1!M890="Credit card","Credit Payment","Other")</f>
        <v>Other</v>
      </c>
      <c r="P890" s="13" t="str">
        <f>IF(Sheet1!O890&gt;7,"Yes","No")</f>
        <v>No</v>
      </c>
    </row>
    <row r="891" spans="5:16">
      <c r="E891" s="13" t="str">
        <v>880</v>
      </c>
      <c r="F891" s="13" t="str">
        <v>5796</v>
      </c>
      <c r="G891" s="13" t="str">
        <v>46</v>
      </c>
      <c r="H891" s="13" t="str">
        <f>_xlfn.CONCAT(Sheet1!A891," --&gt; ",Sheet1!J891)</f>
        <v>880-46-5796 --&gt; 807.66</v>
      </c>
      <c r="I891" s="13" t="str">
        <f>_xlfn.CONCAT(Sheet1!C891,"_",TEXT(Sheet1!K891, "m/d/yyyy"))</f>
        <v>Yangon_3/17/2019</v>
      </c>
      <c r="J891" s="13" t="str">
        <f>IF(Sheet1!I891=Sheet1!N891*0.05,"Valid","Error")</f>
        <v>Valid</v>
      </c>
      <c r="K891" s="13" t="str">
        <f>IF(Sheet1!N891=Sheet1!G891*Sheet1!H891,"True","False")</f>
        <v>True</v>
      </c>
      <c r="L891" s="13" t="b">
        <v>1</v>
      </c>
      <c r="M891" s="9" t="b">
        <f>ISNUMBER(Sheet1!J891)</f>
        <v>1</v>
      </c>
      <c r="N891" s="13" t="str">
        <f>IF(Sheet1!B891="A","Branch A",IF(Sheet1!B891="B","Branch B","Other Branch"))</f>
        <v>Branch A</v>
      </c>
      <c r="O891" s="13" t="str">
        <f>IF(Sheet1!M891="Credit card","Credit Payment","Other")</f>
        <v>Other</v>
      </c>
      <c r="P891" s="13" t="str">
        <f>IF(Sheet1!O891&gt;7,"Yes","No")</f>
        <v>No</v>
      </c>
    </row>
    <row r="892" spans="5:16">
      <c r="E892" s="13" t="str">
        <v>389</v>
      </c>
      <c r="F892" s="13" t="str">
        <v>2397</v>
      </c>
      <c r="G892" s="13" t="str">
        <v>70</v>
      </c>
      <c r="H892" s="13" t="str">
        <f>_xlfn.CONCAT(Sheet1!A892," --&gt; ",Sheet1!J892)</f>
        <v>389-70-2397 --&gt; 439.215</v>
      </c>
      <c r="I892" s="13" t="str">
        <f>_xlfn.CONCAT(Sheet1!C892,"_",TEXT(Sheet1!K892, "m/d/yyyy"))</f>
        <v>Naypyitaw_2/21/2019</v>
      </c>
      <c r="J892" s="13" t="str">
        <f>IF(Sheet1!I892=Sheet1!N892*0.05,"Valid","Error")</f>
        <v>Valid</v>
      </c>
      <c r="K892" s="13" t="str">
        <f>IF(Sheet1!N892=Sheet1!G892*Sheet1!H892,"True","False")</f>
        <v>True</v>
      </c>
      <c r="L892" s="13" t="b">
        <v>1</v>
      </c>
      <c r="M892" s="9" t="b">
        <f>ISNUMBER(Sheet1!J892)</f>
        <v>1</v>
      </c>
      <c r="N892" s="13" t="str">
        <f>IF(Sheet1!B892="A","Branch A",IF(Sheet1!B892="B","Branch B","Other Branch"))</f>
        <v>Other Branch</v>
      </c>
      <c r="O892" s="13" t="str">
        <f>IF(Sheet1!M892="Credit card","Credit Payment","Other")</f>
        <v>Other</v>
      </c>
      <c r="P892" s="13" t="str">
        <f>IF(Sheet1!O892&gt;7,"Yes","No")</f>
        <v>Yes</v>
      </c>
    </row>
    <row r="893" spans="5:16">
      <c r="E893" s="13" t="str">
        <v>114</v>
      </c>
      <c r="F893" s="13" t="str">
        <v>5271</v>
      </c>
      <c r="G893" s="13" t="str">
        <v>35</v>
      </c>
      <c r="H893" s="13" t="str">
        <f>_xlfn.CONCAT(Sheet1!A893," --&gt; ",Sheet1!J893)</f>
        <v>114-35-5271 --&gt; 486.444</v>
      </c>
      <c r="I893" s="13" t="str">
        <f>_xlfn.CONCAT(Sheet1!C893,"_",TEXT(Sheet1!K893, "m/d/yyyy"))</f>
        <v>Mandalay_2/7/2019</v>
      </c>
      <c r="J893" s="13" t="str">
        <f>IF(Sheet1!I893=Sheet1!N893*0.05,"Valid","Error")</f>
        <v>Valid</v>
      </c>
      <c r="K893" s="13" t="str">
        <f>IF(Sheet1!N893=Sheet1!G893*Sheet1!H893,"True","False")</f>
        <v>True</v>
      </c>
      <c r="L893" s="13" t="b">
        <v>1</v>
      </c>
      <c r="M893" s="9" t="b">
        <f>ISNUMBER(Sheet1!J893)</f>
        <v>1</v>
      </c>
      <c r="N893" s="13" t="str">
        <f>IF(Sheet1!B893="A","Branch A",IF(Sheet1!B893="B","Branch B","Other Branch"))</f>
        <v>Branch B</v>
      </c>
      <c r="O893" s="13" t="str">
        <f>IF(Sheet1!M893="Credit card","Credit Payment","Other")</f>
        <v>Other</v>
      </c>
      <c r="P893" s="13" t="str">
        <f>IF(Sheet1!O893&gt;7,"Yes","No")</f>
        <v>Yes</v>
      </c>
    </row>
    <row r="894" spans="5:16">
      <c r="E894" s="13" t="str">
        <v>607</v>
      </c>
      <c r="F894" s="13" t="str">
        <v>6216</v>
      </c>
      <c r="G894" s="13" t="str">
        <v>76</v>
      </c>
      <c r="H894" s="13" t="str">
        <f>_xlfn.CONCAT(Sheet1!A894," --&gt; ",Sheet1!J894)</f>
        <v>607-76-6216 --&gt; 485.5725</v>
      </c>
      <c r="I894" s="13" t="str">
        <f>_xlfn.CONCAT(Sheet1!C894,"_",TEXT(Sheet1!K894, "m/d/yyyy"))</f>
        <v>Naypyitaw_3/2/2019</v>
      </c>
      <c r="J894" s="13" t="str">
        <f>IF(Sheet1!I894=Sheet1!N894*0.05,"Valid","Error")</f>
        <v>Valid</v>
      </c>
      <c r="K894" s="13" t="str">
        <f>IF(Sheet1!N894=Sheet1!G894*Sheet1!H894,"True","False")</f>
        <v>True</v>
      </c>
      <c r="L894" s="13" t="b">
        <v>1</v>
      </c>
      <c r="M894" s="9" t="b">
        <f>ISNUMBER(Sheet1!J894)</f>
        <v>1</v>
      </c>
      <c r="N894" s="13" t="str">
        <f>IF(Sheet1!B894="A","Branch A",IF(Sheet1!B894="B","Branch B","Other Branch"))</f>
        <v>Other Branch</v>
      </c>
      <c r="O894" s="13" t="str">
        <f>IF(Sheet1!M894="Credit card","Credit Payment","Other")</f>
        <v>Credit Payment</v>
      </c>
      <c r="P894" s="13" t="str">
        <f>IF(Sheet1!O894&gt;7,"Yes","No")</f>
        <v>Yes</v>
      </c>
    </row>
    <row r="895" spans="5:16">
      <c r="E895" s="13" t="str">
        <v>715</v>
      </c>
      <c r="F895" s="13" t="str">
        <v>1673</v>
      </c>
      <c r="G895" s="13" t="str">
        <v>20</v>
      </c>
      <c r="H895" s="13" t="str">
        <f>_xlfn.CONCAT(Sheet1!A895," --&gt; ",Sheet1!J895)</f>
        <v>715-20-1673 --&gt; 148.995</v>
      </c>
      <c r="I895" s="13" t="str">
        <f>_xlfn.CONCAT(Sheet1!C895,"_",TEXT(Sheet1!K895, "m/d/yyyy"))</f>
        <v>Mandalay_3/6/2019</v>
      </c>
      <c r="J895" s="13" t="str">
        <f>IF(Sheet1!I895=Sheet1!N895*0.05,"Valid","Error")</f>
        <v>Valid</v>
      </c>
      <c r="K895" s="13" t="str">
        <f>IF(Sheet1!N895=Sheet1!G895*Sheet1!H895,"True","False")</f>
        <v>True</v>
      </c>
      <c r="L895" s="13" t="b">
        <v>1</v>
      </c>
      <c r="M895" s="9" t="b">
        <f>ISNUMBER(Sheet1!J895)</f>
        <v>1</v>
      </c>
      <c r="N895" s="13" t="str">
        <f>IF(Sheet1!B895="A","Branch A",IF(Sheet1!B895="B","Branch B","Other Branch"))</f>
        <v>Branch B</v>
      </c>
      <c r="O895" s="13" t="str">
        <f>IF(Sheet1!M895="Credit card","Credit Payment","Other")</f>
        <v>Other</v>
      </c>
      <c r="P895" s="13" t="str">
        <f>IF(Sheet1!O895&gt;7,"Yes","No")</f>
        <v>Yes</v>
      </c>
    </row>
    <row r="896" spans="5:16">
      <c r="E896" s="13" t="str">
        <v>811</v>
      </c>
      <c r="F896" s="13" t="str">
        <v>1094</v>
      </c>
      <c r="G896" s="13" t="str">
        <v>35</v>
      </c>
      <c r="H896" s="13" t="str">
        <f>_xlfn.CONCAT(Sheet1!A896," --&gt; ",Sheet1!J896)</f>
        <v>811-35-1094 --&gt; 317.835</v>
      </c>
      <c r="I896" s="13" t="str">
        <f>_xlfn.CONCAT(Sheet1!C896,"_",TEXT(Sheet1!K896, "m/d/yyyy"))</f>
        <v>Mandalay_2/6/2019</v>
      </c>
      <c r="J896" s="13" t="str">
        <f>IF(Sheet1!I896=Sheet1!N896*0.05,"Valid","Error")</f>
        <v>Valid</v>
      </c>
      <c r="K896" s="13" t="str">
        <f>IF(Sheet1!N896=Sheet1!G896*Sheet1!H896,"True","False")</f>
        <v>True</v>
      </c>
      <c r="L896" s="13" t="b">
        <v>1</v>
      </c>
      <c r="M896" s="9" t="b">
        <f>ISNUMBER(Sheet1!J896)</f>
        <v>1</v>
      </c>
      <c r="N896" s="13" t="str">
        <f>IF(Sheet1!B896="A","Branch A",IF(Sheet1!B896="B","Branch B","Other Branch"))</f>
        <v>Branch B</v>
      </c>
      <c r="O896" s="13" t="str">
        <f>IF(Sheet1!M896="Credit card","Credit Payment","Other")</f>
        <v>Credit Payment</v>
      </c>
      <c r="P896" s="13" t="str">
        <f>IF(Sheet1!O896&gt;7,"Yes","No")</f>
        <v>Yes</v>
      </c>
    </row>
    <row r="897" spans="5:16">
      <c r="E897" s="13" t="str">
        <v>699</v>
      </c>
      <c r="F897" s="13" t="str">
        <v>1972</v>
      </c>
      <c r="G897" s="13" t="str">
        <v>88</v>
      </c>
      <c r="H897" s="13" t="str">
        <f>_xlfn.CONCAT(Sheet1!A897," --&gt; ",Sheet1!J897)</f>
        <v>699-88-1972 --&gt; 832.944</v>
      </c>
      <c r="I897" s="13" t="str">
        <f>_xlfn.CONCAT(Sheet1!C897,"_",TEXT(Sheet1!K897, "m/d/yyyy"))</f>
        <v>Mandalay_1/28/2019</v>
      </c>
      <c r="J897" s="13" t="str">
        <f>IF(Sheet1!I897=Sheet1!N897*0.05,"Valid","Error")</f>
        <v>Valid</v>
      </c>
      <c r="K897" s="13" t="str">
        <f>IF(Sheet1!N897=Sheet1!G897*Sheet1!H897,"True","False")</f>
        <v>True</v>
      </c>
      <c r="L897" s="13" t="b">
        <v>1</v>
      </c>
      <c r="M897" s="9" t="b">
        <f>ISNUMBER(Sheet1!J897)</f>
        <v>1</v>
      </c>
      <c r="N897" s="13" t="str">
        <f>IF(Sheet1!B897="A","Branch A",IF(Sheet1!B897="B","Branch B","Other Branch"))</f>
        <v>Branch B</v>
      </c>
      <c r="O897" s="13" t="str">
        <f>IF(Sheet1!M897="Credit card","Credit Payment","Other")</f>
        <v>Credit Payment</v>
      </c>
      <c r="P897" s="13" t="str">
        <f>IF(Sheet1!O897&gt;7,"Yes","No")</f>
        <v>No</v>
      </c>
    </row>
    <row r="898" spans="5:16">
      <c r="E898" s="13" t="str">
        <v>781</v>
      </c>
      <c r="F898" s="13" t="str">
        <v>8059</v>
      </c>
      <c r="G898" s="13" t="str">
        <v>84</v>
      </c>
      <c r="H898" s="13" t="str">
        <f>_xlfn.CONCAT(Sheet1!A898," --&gt; ",Sheet1!J898)</f>
        <v>781-84-8059 --&gt; 446.439</v>
      </c>
      <c r="I898" s="13" t="str">
        <f>_xlfn.CONCAT(Sheet1!C898,"_",TEXT(Sheet1!K898, "m/d/yyyy"))</f>
        <v>Naypyitaw_1/18/2019</v>
      </c>
      <c r="J898" s="13" t="str">
        <f>IF(Sheet1!I898=Sheet1!N898*0.05,"Valid","Error")</f>
        <v>Valid</v>
      </c>
      <c r="K898" s="13" t="str">
        <f>IF(Sheet1!N898=Sheet1!G898*Sheet1!H898,"True","False")</f>
        <v>True</v>
      </c>
      <c r="L898" s="13" t="b">
        <v>1</v>
      </c>
      <c r="M898" s="9" t="b">
        <f>ISNUMBER(Sheet1!J898)</f>
        <v>1</v>
      </c>
      <c r="N898" s="13" t="str">
        <f>IF(Sheet1!B898="A","Branch A",IF(Sheet1!B898="B","Branch B","Other Branch"))</f>
        <v>Other Branch</v>
      </c>
      <c r="O898" s="13" t="str">
        <f>IF(Sheet1!M898="Credit card","Credit Payment","Other")</f>
        <v>Other</v>
      </c>
      <c r="P898" s="13" t="str">
        <f>IF(Sheet1!O898&gt;7,"Yes","No")</f>
        <v>No</v>
      </c>
    </row>
    <row r="899" spans="5:16">
      <c r="E899" s="13" t="str">
        <v>409</v>
      </c>
      <c r="F899" s="13" t="str">
        <v>6995</v>
      </c>
      <c r="G899" s="13" t="str">
        <v>49</v>
      </c>
      <c r="H899" s="13" t="str">
        <f>_xlfn.CONCAT(Sheet1!A899," --&gt; ",Sheet1!J899)</f>
        <v>409-49-6995 --&gt; 297.801</v>
      </c>
      <c r="I899" s="13" t="str">
        <f>_xlfn.CONCAT(Sheet1!C899,"_",TEXT(Sheet1!K899, "m/d/yyyy"))</f>
        <v>Naypyitaw_2/5/2019</v>
      </c>
      <c r="J899" s="13" t="str">
        <f>IF(Sheet1!I899=Sheet1!N899*0.05,"Valid","Error")</f>
        <v>Valid</v>
      </c>
      <c r="K899" s="13" t="str">
        <f>IF(Sheet1!N899=Sheet1!G899*Sheet1!H899,"True","False")</f>
        <v>True</v>
      </c>
      <c r="L899" s="13" t="b">
        <v>1</v>
      </c>
      <c r="M899" s="9" t="b">
        <f>ISNUMBER(Sheet1!J899)</f>
        <v>1</v>
      </c>
      <c r="N899" s="13" t="str">
        <f>IF(Sheet1!B899="A","Branch A",IF(Sheet1!B899="B","Branch B","Other Branch"))</f>
        <v>Other Branch</v>
      </c>
      <c r="O899" s="13" t="str">
        <f>IF(Sheet1!M899="Credit card","Credit Payment","Other")</f>
        <v>Other</v>
      </c>
      <c r="P899" s="13" t="str">
        <f>IF(Sheet1!O899&gt;7,"Yes","No")</f>
        <v>Yes</v>
      </c>
    </row>
    <row r="900" spans="5:16">
      <c r="E900" s="13" t="str">
        <v>725</v>
      </c>
      <c r="F900" s="13" t="str">
        <v>0677</v>
      </c>
      <c r="G900" s="13" t="str">
        <v>54</v>
      </c>
      <c r="H900" s="13" t="str">
        <f>_xlfn.CONCAT(Sheet1!A900," --&gt; ",Sheet1!J900)</f>
        <v>725-54-0677 --&gt; 629.16</v>
      </c>
      <c r="I900" s="13" t="str">
        <f>_xlfn.CONCAT(Sheet1!C900,"_",TEXT(Sheet1!K900, "m/d/yyyy"))</f>
        <v>Naypyitaw_3/2/2019</v>
      </c>
      <c r="J900" s="13" t="str">
        <f>IF(Sheet1!I900=Sheet1!N900*0.05,"Valid","Error")</f>
        <v>Valid</v>
      </c>
      <c r="K900" s="13" t="str">
        <f>IF(Sheet1!N900=Sheet1!G900*Sheet1!H900,"True","False")</f>
        <v>True</v>
      </c>
      <c r="L900" s="13" t="b">
        <v>1</v>
      </c>
      <c r="M900" s="9" t="b">
        <f>ISNUMBER(Sheet1!J900)</f>
        <v>1</v>
      </c>
      <c r="N900" s="13" t="str">
        <f>IF(Sheet1!B900="A","Branch A",IF(Sheet1!B900="B","Branch B","Other Branch"))</f>
        <v>Other Branch</v>
      </c>
      <c r="O900" s="13" t="str">
        <f>IF(Sheet1!M900="Credit card","Credit Payment","Other")</f>
        <v>Other</v>
      </c>
      <c r="P900" s="13" t="str">
        <f>IF(Sheet1!O900&gt;7,"Yes","No")</f>
        <v>No</v>
      </c>
    </row>
    <row r="901" spans="5:16">
      <c r="E901" s="13" t="str">
        <v>146</v>
      </c>
      <c r="F901" s="13" t="str">
        <v>5432</v>
      </c>
      <c r="G901" s="13" t="str">
        <v>09</v>
      </c>
      <c r="H901" s="13" t="str">
        <f>_xlfn.CONCAT(Sheet1!A901," --&gt; ",Sheet1!J901)</f>
        <v>146-09-5432 --&gt; 331.128</v>
      </c>
      <c r="I901" s="13" t="str">
        <f>_xlfn.CONCAT(Sheet1!C901,"_",TEXT(Sheet1!K901, "m/d/yyyy"))</f>
        <v>Yangon_2/9/2019</v>
      </c>
      <c r="J901" s="13" t="str">
        <f>IF(Sheet1!I901=Sheet1!N901*0.05,"Valid","Error")</f>
        <v>Valid</v>
      </c>
      <c r="K901" s="13" t="str">
        <f>IF(Sheet1!N901=Sheet1!G901*Sheet1!H901,"True","False")</f>
        <v>True</v>
      </c>
      <c r="L901" s="13" t="b">
        <v>1</v>
      </c>
      <c r="M901" s="9" t="b">
        <f>ISNUMBER(Sheet1!J901)</f>
        <v>1</v>
      </c>
      <c r="N901" s="13" t="str">
        <f>IF(Sheet1!B901="A","Branch A",IF(Sheet1!B901="B","Branch B","Other Branch"))</f>
        <v>Branch A</v>
      </c>
      <c r="O901" s="13" t="str">
        <f>IF(Sheet1!M901="Credit card","Credit Payment","Other")</f>
        <v>Other</v>
      </c>
      <c r="P901" s="13" t="str">
        <f>IF(Sheet1!O901&gt;7,"Yes","No")</f>
        <v>No</v>
      </c>
    </row>
    <row r="902" spans="5:16">
      <c r="E902" s="13" t="str">
        <v>377</v>
      </c>
      <c r="F902" s="13" t="str">
        <v>7592</v>
      </c>
      <c r="G902" s="13" t="str">
        <v>79</v>
      </c>
      <c r="H902" s="13" t="str">
        <f>_xlfn.CONCAT(Sheet1!A902," --&gt; ",Sheet1!J902)</f>
        <v>377-79-7592 --&gt; 423.738</v>
      </c>
      <c r="I902" s="13" t="str">
        <f>_xlfn.CONCAT(Sheet1!C902,"_",TEXT(Sheet1!K902, "m/d/yyyy"))</f>
        <v>Naypyitaw_1/14/2019</v>
      </c>
      <c r="J902" s="13" t="str">
        <f>IF(Sheet1!I902=Sheet1!N902*0.05,"Valid","Error")</f>
        <v>Valid</v>
      </c>
      <c r="K902" s="13" t="str">
        <f>IF(Sheet1!N902=Sheet1!G902*Sheet1!H902,"True","False")</f>
        <v>True</v>
      </c>
      <c r="L902" s="13" t="b">
        <v>1</v>
      </c>
      <c r="M902" s="9" t="b">
        <f>ISNUMBER(Sheet1!J902)</f>
        <v>1</v>
      </c>
      <c r="N902" s="13" t="str">
        <f>IF(Sheet1!B902="A","Branch A",IF(Sheet1!B902="B","Branch B","Other Branch"))</f>
        <v>Other Branch</v>
      </c>
      <c r="O902" s="13" t="str">
        <f>IF(Sheet1!M902="Credit card","Credit Payment","Other")</f>
        <v>Credit Payment</v>
      </c>
      <c r="P902" s="13" t="str">
        <f>IF(Sheet1!O902&gt;7,"Yes","No")</f>
        <v>Yes</v>
      </c>
    </row>
    <row r="903" spans="5:16">
      <c r="E903" s="13" t="str">
        <v>509</v>
      </c>
      <c r="F903" s="13" t="str">
        <v>0516</v>
      </c>
      <c r="G903" s="13" t="str">
        <v>10</v>
      </c>
      <c r="H903" s="13" t="str">
        <f>_xlfn.CONCAT(Sheet1!A903," --&gt; ",Sheet1!J903)</f>
        <v>509-10-0516 --&gt; 193.074</v>
      </c>
      <c r="I903" s="13" t="str">
        <f>_xlfn.CONCAT(Sheet1!C903,"_",TEXT(Sheet1!K903, "m/d/yyyy"))</f>
        <v>Mandalay_2/9/2019</v>
      </c>
      <c r="J903" s="13" t="str">
        <f>IF(Sheet1!I903=Sheet1!N903*0.05,"Valid","Error")</f>
        <v>Valid</v>
      </c>
      <c r="K903" s="13" t="str">
        <f>IF(Sheet1!N903=Sheet1!G903*Sheet1!H903,"True","False")</f>
        <v>True</v>
      </c>
      <c r="L903" s="13" t="b">
        <v>1</v>
      </c>
      <c r="M903" s="9" t="b">
        <f>ISNUMBER(Sheet1!J903)</f>
        <v>1</v>
      </c>
      <c r="N903" s="13" t="str">
        <f>IF(Sheet1!B903="A","Branch A",IF(Sheet1!B903="B","Branch B","Other Branch"))</f>
        <v>Branch B</v>
      </c>
      <c r="O903" s="13" t="str">
        <f>IF(Sheet1!M903="Credit card","Credit Payment","Other")</f>
        <v>Other</v>
      </c>
      <c r="P903" s="13" t="str">
        <f>IF(Sheet1!O903&gt;7,"Yes","No")</f>
        <v>No</v>
      </c>
    </row>
    <row r="904" spans="5:16">
      <c r="E904" s="13" t="str">
        <v>595</v>
      </c>
      <c r="F904" s="13" t="str">
        <v>9924</v>
      </c>
      <c r="G904" s="13" t="str">
        <v>94</v>
      </c>
      <c r="H904" s="13" t="str">
        <f>_xlfn.CONCAT(Sheet1!A904," --&gt; ",Sheet1!J904)</f>
        <v>595-94-9924 --&gt; 145.5825</v>
      </c>
      <c r="I904" s="13" t="str">
        <f>_xlfn.CONCAT(Sheet1!C904,"_",TEXT(Sheet1!K904, "m/d/yyyy"))</f>
        <v>Yangon_3/26/2019</v>
      </c>
      <c r="J904" s="13" t="str">
        <f>IF(Sheet1!I904=Sheet1!N904*0.05,"Valid","Error")</f>
        <v>Valid</v>
      </c>
      <c r="K904" s="13" t="str">
        <f>IF(Sheet1!N904=Sheet1!G904*Sheet1!H904,"True","False")</f>
        <v>True</v>
      </c>
      <c r="L904" s="13" t="b">
        <v>1</v>
      </c>
      <c r="M904" s="9" t="b">
        <f>ISNUMBER(Sheet1!J904)</f>
        <v>1</v>
      </c>
      <c r="N904" s="13" t="str">
        <f>IF(Sheet1!B904="A","Branch A",IF(Sheet1!B904="B","Branch B","Other Branch"))</f>
        <v>Branch A</v>
      </c>
      <c r="O904" s="13" t="str">
        <f>IF(Sheet1!M904="Credit card","Credit Payment","Other")</f>
        <v>Credit Payment</v>
      </c>
      <c r="P904" s="13" t="str">
        <f>IF(Sheet1!O904&gt;7,"Yes","No")</f>
        <v>No</v>
      </c>
    </row>
    <row r="905" spans="5:16">
      <c r="E905" s="13" t="str">
        <v>865</v>
      </c>
      <c r="F905" s="13" t="str">
        <v>9075</v>
      </c>
      <c r="G905" s="13" t="str">
        <v>41</v>
      </c>
      <c r="H905" s="13" t="str">
        <f>_xlfn.CONCAT(Sheet1!A905," --&gt; ",Sheet1!J905)</f>
        <v>865-41-9075 --&gt; 84.7455</v>
      </c>
      <c r="I905" s="13" t="str">
        <f>_xlfn.CONCAT(Sheet1!C905,"_",TEXT(Sheet1!K905, "m/d/yyyy"))</f>
        <v>Yangon_1/28/2019</v>
      </c>
      <c r="J905" s="13" t="str">
        <f>IF(Sheet1!I905=Sheet1!N905*0.05,"Valid","Error")</f>
        <v>Valid</v>
      </c>
      <c r="K905" s="13" t="str">
        <f>IF(Sheet1!N905=Sheet1!G905*Sheet1!H905,"True","False")</f>
        <v>True</v>
      </c>
      <c r="L905" s="13" t="b">
        <v>1</v>
      </c>
      <c r="M905" s="9" t="b">
        <f>ISNUMBER(Sheet1!J905)</f>
        <v>1</v>
      </c>
      <c r="N905" s="13" t="str">
        <f>IF(Sheet1!B905="A","Branch A",IF(Sheet1!B905="B","Branch B","Other Branch"))</f>
        <v>Branch A</v>
      </c>
      <c r="O905" s="13" t="str">
        <f>IF(Sheet1!M905="Credit card","Credit Payment","Other")</f>
        <v>Other</v>
      </c>
      <c r="P905" s="13" t="str">
        <f>IF(Sheet1!O905&gt;7,"Yes","No")</f>
        <v>Yes</v>
      </c>
    </row>
    <row r="906" spans="5:16">
      <c r="E906" s="13" t="str">
        <v>545</v>
      </c>
      <c r="F906" s="13" t="str">
        <v>8534</v>
      </c>
      <c r="G906" s="13" t="str">
        <v>07</v>
      </c>
      <c r="H906" s="13" t="str">
        <f>_xlfn.CONCAT(Sheet1!A906," --&gt; ",Sheet1!J906)</f>
        <v>545-07-8534 --&gt; 122.472</v>
      </c>
      <c r="I906" s="13" t="str">
        <f>_xlfn.CONCAT(Sheet1!C906,"_",TEXT(Sheet1!K906, "m/d/yyyy"))</f>
        <v>Naypyitaw_2/14/2019</v>
      </c>
      <c r="J906" s="13" t="str">
        <f>IF(Sheet1!I906=Sheet1!N906*0.05,"Valid","Error")</f>
        <v>Valid</v>
      </c>
      <c r="K906" s="13" t="str">
        <f>IF(Sheet1!N906=Sheet1!G906*Sheet1!H906,"True","False")</f>
        <v>True</v>
      </c>
      <c r="L906" s="13" t="b">
        <v>1</v>
      </c>
      <c r="M906" s="9" t="b">
        <f>ISNUMBER(Sheet1!J906)</f>
        <v>1</v>
      </c>
      <c r="N906" s="13" t="str">
        <f>IF(Sheet1!B906="A","Branch A",IF(Sheet1!B906="B","Branch B","Other Branch"))</f>
        <v>Other Branch</v>
      </c>
      <c r="O906" s="13" t="str">
        <f>IF(Sheet1!M906="Credit card","Credit Payment","Other")</f>
        <v>Other</v>
      </c>
      <c r="P906" s="13" t="str">
        <f>IF(Sheet1!O906&gt;7,"Yes","No")</f>
        <v>No</v>
      </c>
    </row>
    <row r="907" spans="5:16">
      <c r="E907" s="13" t="str">
        <v>118</v>
      </c>
      <c r="F907" s="13" t="str">
        <v>1812</v>
      </c>
      <c r="G907" s="13" t="str">
        <v>62</v>
      </c>
      <c r="H907" s="13" t="str">
        <f>_xlfn.CONCAT(Sheet1!A907," --&gt; ",Sheet1!J907)</f>
        <v>118-62-1812 --&gt; 329.196</v>
      </c>
      <c r="I907" s="13" t="str">
        <f>_xlfn.CONCAT(Sheet1!C907,"_",TEXT(Sheet1!K907, "m/d/yyyy"))</f>
        <v>Naypyitaw_3/24/2019</v>
      </c>
      <c r="J907" s="13" t="str">
        <f>IF(Sheet1!I907=Sheet1!N907*0.05,"Valid","Error")</f>
        <v>Valid</v>
      </c>
      <c r="K907" s="13" t="str">
        <f>IF(Sheet1!N907=Sheet1!G907*Sheet1!H907,"True","False")</f>
        <v>True</v>
      </c>
      <c r="L907" s="13" t="b">
        <v>1</v>
      </c>
      <c r="M907" s="9" t="b">
        <f>ISNUMBER(Sheet1!J907)</f>
        <v>1</v>
      </c>
      <c r="N907" s="13" t="str">
        <f>IF(Sheet1!B907="A","Branch A",IF(Sheet1!B907="B","Branch B","Other Branch"))</f>
        <v>Other Branch</v>
      </c>
      <c r="O907" s="13" t="str">
        <f>IF(Sheet1!M907="Credit card","Credit Payment","Other")</f>
        <v>Other</v>
      </c>
      <c r="P907" s="13" t="str">
        <f>IF(Sheet1!O907&gt;7,"Yes","No")</f>
        <v>Yes</v>
      </c>
    </row>
    <row r="908" spans="5:16">
      <c r="E908" s="13" t="str">
        <v>450</v>
      </c>
      <c r="F908" s="13" t="str">
        <v>3339</v>
      </c>
      <c r="G908" s="13" t="str">
        <v>42</v>
      </c>
      <c r="H908" s="13" t="str">
        <f>_xlfn.CONCAT(Sheet1!A908," --&gt; ",Sheet1!J908)</f>
        <v>450-42-3339 --&gt; 888.405</v>
      </c>
      <c r="I908" s="13" t="str">
        <f>_xlfn.CONCAT(Sheet1!C908,"_",TEXT(Sheet1!K908, "m/d/yyyy"))</f>
        <v>Naypyitaw_2/9/2019</v>
      </c>
      <c r="J908" s="13" t="str">
        <f>IF(Sheet1!I908=Sheet1!N908*0.05,"Valid","Error")</f>
        <v>Valid</v>
      </c>
      <c r="K908" s="13" t="str">
        <f>IF(Sheet1!N908=Sheet1!G908*Sheet1!H908,"True","False")</f>
        <v>True</v>
      </c>
      <c r="L908" s="13" t="b">
        <v>1</v>
      </c>
      <c r="M908" s="9" t="b">
        <f>ISNUMBER(Sheet1!J908)</f>
        <v>1</v>
      </c>
      <c r="N908" s="13" t="str">
        <f>IF(Sheet1!B908="A","Branch A",IF(Sheet1!B908="B","Branch B","Other Branch"))</f>
        <v>Other Branch</v>
      </c>
      <c r="O908" s="13" t="str">
        <f>IF(Sheet1!M908="Credit card","Credit Payment","Other")</f>
        <v>Credit Payment</v>
      </c>
      <c r="P908" s="13" t="str">
        <f>IF(Sheet1!O908&gt;7,"Yes","No")</f>
        <v>Yes</v>
      </c>
    </row>
    <row r="909" spans="5:16">
      <c r="E909" s="13" t="str">
        <v>851</v>
      </c>
      <c r="F909" s="13" t="str">
        <v>3555</v>
      </c>
      <c r="G909" s="13" t="str">
        <v>98</v>
      </c>
      <c r="H909" s="13" t="str">
        <f>_xlfn.CONCAT(Sheet1!A909," --&gt; ",Sheet1!J909)</f>
        <v>851-98-3555 --&gt; 435.12</v>
      </c>
      <c r="I909" s="13" t="str">
        <f>_xlfn.CONCAT(Sheet1!C909,"_",TEXT(Sheet1!K909, "m/d/yyyy"))</f>
        <v>Mandalay_3/24/2019</v>
      </c>
      <c r="J909" s="13" t="str">
        <f>IF(Sheet1!I909=Sheet1!N909*0.05,"Valid","Error")</f>
        <v>Valid</v>
      </c>
      <c r="K909" s="13" t="str">
        <f>IF(Sheet1!N909=Sheet1!G909*Sheet1!H909,"True","False")</f>
        <v>True</v>
      </c>
      <c r="L909" s="13" t="b">
        <v>1</v>
      </c>
      <c r="M909" s="9" t="b">
        <f>ISNUMBER(Sheet1!J909)</f>
        <v>1</v>
      </c>
      <c r="N909" s="13" t="str">
        <f>IF(Sheet1!B909="A","Branch A",IF(Sheet1!B909="B","Branch B","Other Branch"))</f>
        <v>Branch B</v>
      </c>
      <c r="O909" s="13" t="str">
        <f>IF(Sheet1!M909="Credit card","Credit Payment","Other")</f>
        <v>Credit Payment</v>
      </c>
      <c r="P909" s="13" t="str">
        <f>IF(Sheet1!O909&gt;7,"Yes","No")</f>
        <v>No</v>
      </c>
    </row>
    <row r="910" spans="5:16">
      <c r="E910" s="13" t="str">
        <v>186</v>
      </c>
      <c r="F910" s="13" t="str">
        <v>5196</v>
      </c>
      <c r="G910" s="13" t="str">
        <v>71</v>
      </c>
      <c r="H910" s="13" t="str">
        <f>_xlfn.CONCAT(Sheet1!A910," --&gt; ",Sheet1!J910)</f>
        <v>186-71-5196 --&gt; 167.034</v>
      </c>
      <c r="I910" s="13" t="str">
        <f>_xlfn.CONCAT(Sheet1!C910,"_",TEXT(Sheet1!K910, "m/d/yyyy"))</f>
        <v>Yangon_3/27/2019</v>
      </c>
      <c r="J910" s="13" t="str">
        <f>IF(Sheet1!I910=Sheet1!N910*0.05,"Valid","Error")</f>
        <v>Valid</v>
      </c>
      <c r="K910" s="13" t="str">
        <f>IF(Sheet1!N910=Sheet1!G910*Sheet1!H910,"True","False")</f>
        <v>True</v>
      </c>
      <c r="L910" s="13" t="b">
        <v>1</v>
      </c>
      <c r="M910" s="9" t="b">
        <f>ISNUMBER(Sheet1!J910)</f>
        <v>1</v>
      </c>
      <c r="N910" s="13" t="str">
        <f>IF(Sheet1!B910="A","Branch A",IF(Sheet1!B910="B","Branch B","Other Branch"))</f>
        <v>Branch A</v>
      </c>
      <c r="O910" s="13" t="str">
        <f>IF(Sheet1!M910="Credit card","Credit Payment","Other")</f>
        <v>Other</v>
      </c>
      <c r="P910" s="13" t="str">
        <f>IF(Sheet1!O910&gt;7,"Yes","No")</f>
        <v>No</v>
      </c>
    </row>
    <row r="911" spans="5:16">
      <c r="E911" s="13" t="str">
        <v>624</v>
      </c>
      <c r="F911" s="13" t="str">
        <v>8356</v>
      </c>
      <c r="G911" s="13" t="str">
        <v>01</v>
      </c>
      <c r="H911" s="13" t="str">
        <f>_xlfn.CONCAT(Sheet1!A911," --&gt; ",Sheet1!J911)</f>
        <v>624-01-8356 --&gt; 514.605</v>
      </c>
      <c r="I911" s="13" t="str">
        <f>_xlfn.CONCAT(Sheet1!C911,"_",TEXT(Sheet1!K911, "m/d/yyyy"))</f>
        <v>Mandalay_1/27/2019</v>
      </c>
      <c r="J911" s="13" t="str">
        <f>IF(Sheet1!I911=Sheet1!N911*0.05,"Valid","Error")</f>
        <v>Valid</v>
      </c>
      <c r="K911" s="13" t="str">
        <f>IF(Sheet1!N911=Sheet1!G911*Sheet1!H911,"True","False")</f>
        <v>True</v>
      </c>
      <c r="L911" s="13" t="b">
        <v>1</v>
      </c>
      <c r="M911" s="9" t="b">
        <f>ISNUMBER(Sheet1!J911)</f>
        <v>1</v>
      </c>
      <c r="N911" s="13" t="str">
        <f>IF(Sheet1!B911="A","Branch A",IF(Sheet1!B911="B","Branch B","Other Branch"))</f>
        <v>Branch B</v>
      </c>
      <c r="O911" s="13" t="str">
        <f>IF(Sheet1!M911="Credit card","Credit Payment","Other")</f>
        <v>Credit Payment</v>
      </c>
      <c r="P911" s="13" t="str">
        <f>IF(Sheet1!O911&gt;7,"Yes","No")</f>
        <v>No</v>
      </c>
    </row>
    <row r="912" spans="5:16">
      <c r="E912" s="13" t="str">
        <v>313</v>
      </c>
      <c r="F912" s="13" t="str">
        <v>9943</v>
      </c>
      <c r="G912" s="13" t="str">
        <v>66</v>
      </c>
      <c r="H912" s="13" t="str">
        <f>_xlfn.CONCAT(Sheet1!A912," --&gt; ",Sheet1!J912)</f>
        <v>313-66-9943 --&gt; 91.8225</v>
      </c>
      <c r="I912" s="13" t="str">
        <f>_xlfn.CONCAT(Sheet1!C912,"_",TEXT(Sheet1!K912, "m/d/yyyy"))</f>
        <v>Mandalay_3/27/2019</v>
      </c>
      <c r="J912" s="13" t="str">
        <f>IF(Sheet1!I912=Sheet1!N912*0.05,"Valid","Error")</f>
        <v>Valid</v>
      </c>
      <c r="K912" s="13" t="str">
        <f>IF(Sheet1!N912=Sheet1!G912*Sheet1!H912,"True","False")</f>
        <v>True</v>
      </c>
      <c r="L912" s="13" t="b">
        <v>1</v>
      </c>
      <c r="M912" s="9" t="b">
        <f>ISNUMBER(Sheet1!J912)</f>
        <v>1</v>
      </c>
      <c r="N912" s="13" t="str">
        <f>IF(Sheet1!B912="A","Branch A",IF(Sheet1!B912="B","Branch B","Other Branch"))</f>
        <v>Branch B</v>
      </c>
      <c r="O912" s="13" t="str">
        <f>IF(Sheet1!M912="Credit card","Credit Payment","Other")</f>
        <v>Credit Payment</v>
      </c>
      <c r="P912" s="13" t="str">
        <f>IF(Sheet1!O912&gt;7,"Yes","No")</f>
        <v>Yes</v>
      </c>
    </row>
    <row r="913" spans="5:16">
      <c r="E913" s="13" t="str">
        <v>151</v>
      </c>
      <c r="F913" s="13" t="str">
        <v>8496</v>
      </c>
      <c r="G913" s="13" t="str">
        <v>27</v>
      </c>
      <c r="H913" s="13" t="str">
        <f>_xlfn.CONCAT(Sheet1!A913," --&gt; ",Sheet1!J913)</f>
        <v>151-27-8496 --&gt; 235.746</v>
      </c>
      <c r="I913" s="13" t="str">
        <f>_xlfn.CONCAT(Sheet1!C913,"_",TEXT(Sheet1!K913, "m/d/yyyy"))</f>
        <v>Naypyitaw_1/19/2019</v>
      </c>
      <c r="J913" s="13" t="str">
        <f>IF(Sheet1!I913=Sheet1!N913*0.05,"Valid","Error")</f>
        <v>Valid</v>
      </c>
      <c r="K913" s="13" t="str">
        <f>IF(Sheet1!N913=Sheet1!G913*Sheet1!H913,"True","False")</f>
        <v>True</v>
      </c>
      <c r="L913" s="13" t="b">
        <v>1</v>
      </c>
      <c r="M913" s="9" t="b">
        <f>ISNUMBER(Sheet1!J913)</f>
        <v>1</v>
      </c>
      <c r="N913" s="13" t="str">
        <f>IF(Sheet1!B913="A","Branch A",IF(Sheet1!B913="B","Branch B","Other Branch"))</f>
        <v>Other Branch</v>
      </c>
      <c r="O913" s="13" t="str">
        <f>IF(Sheet1!M913="Credit card","Credit Payment","Other")</f>
        <v>Other</v>
      </c>
      <c r="P913" s="13" t="str">
        <f>IF(Sheet1!O913&gt;7,"Yes","No")</f>
        <v>Yes</v>
      </c>
    </row>
    <row r="914" spans="5:16">
      <c r="E914" s="13" t="str">
        <v>453</v>
      </c>
      <c r="F914" s="13" t="str">
        <v>6436</v>
      </c>
      <c r="G914" s="13" t="str">
        <v>33</v>
      </c>
      <c r="H914" s="13" t="str">
        <f>_xlfn.CONCAT(Sheet1!A914," --&gt; ",Sheet1!J914)</f>
        <v>453-33-6436 --&gt; 782.208</v>
      </c>
      <c r="I914" s="13" t="str">
        <f>_xlfn.CONCAT(Sheet1!C914,"_",TEXT(Sheet1!K914, "m/d/yyyy"))</f>
        <v>Yangon_2/7/2019</v>
      </c>
      <c r="J914" s="13" t="str">
        <f>IF(Sheet1!I914=Sheet1!N914*0.05,"Valid","Error")</f>
        <v>Valid</v>
      </c>
      <c r="K914" s="13" t="str">
        <f>IF(Sheet1!N914=Sheet1!G914*Sheet1!H914,"True","False")</f>
        <v>True</v>
      </c>
      <c r="L914" s="13" t="b">
        <v>1</v>
      </c>
      <c r="M914" s="9" t="b">
        <f>ISNUMBER(Sheet1!J914)</f>
        <v>1</v>
      </c>
      <c r="N914" s="13" t="str">
        <f>IF(Sheet1!B914="A","Branch A",IF(Sheet1!B914="B","Branch B","Other Branch"))</f>
        <v>Branch A</v>
      </c>
      <c r="O914" s="13" t="str">
        <f>IF(Sheet1!M914="Credit card","Credit Payment","Other")</f>
        <v>Other</v>
      </c>
      <c r="P914" s="13" t="str">
        <f>IF(Sheet1!O914&gt;7,"Yes","No")</f>
        <v>No</v>
      </c>
    </row>
    <row r="915" spans="5:16">
      <c r="E915" s="13" t="str">
        <v>522</v>
      </c>
      <c r="F915" s="13" t="str">
        <v>8364</v>
      </c>
      <c r="G915" s="13" t="str">
        <v>57</v>
      </c>
      <c r="H915" s="13" t="str">
        <f>_xlfn.CONCAT(Sheet1!A915," --&gt; ",Sheet1!J915)</f>
        <v>522-57-8364 --&gt; 431.256</v>
      </c>
      <c r="I915" s="13" t="str">
        <f>_xlfn.CONCAT(Sheet1!C915,"_",TEXT(Sheet1!K915, "m/d/yyyy"))</f>
        <v>Yangon_1/31/2019</v>
      </c>
      <c r="J915" s="13" t="str">
        <f>IF(Sheet1!I915=Sheet1!N915*0.05,"Valid","Error")</f>
        <v>Valid</v>
      </c>
      <c r="K915" s="13" t="str">
        <f>IF(Sheet1!N915=Sheet1!G915*Sheet1!H915,"True","False")</f>
        <v>True</v>
      </c>
      <c r="L915" s="13" t="b">
        <v>1</v>
      </c>
      <c r="M915" s="9" t="b">
        <f>ISNUMBER(Sheet1!J915)</f>
        <v>1</v>
      </c>
      <c r="N915" s="13" t="str">
        <f>IF(Sheet1!B915="A","Branch A",IF(Sheet1!B915="B","Branch B","Other Branch"))</f>
        <v>Branch A</v>
      </c>
      <c r="O915" s="13" t="str">
        <f>IF(Sheet1!M915="Credit card","Credit Payment","Other")</f>
        <v>Other</v>
      </c>
      <c r="P915" s="13" t="str">
        <f>IF(Sheet1!O915&gt;7,"Yes","No")</f>
        <v>Yes</v>
      </c>
    </row>
    <row r="916" spans="5:16">
      <c r="E916" s="13" t="str">
        <v>459</v>
      </c>
      <c r="F916" s="13" t="str">
        <v>2396</v>
      </c>
      <c r="G916" s="13" t="str">
        <v>45</v>
      </c>
      <c r="H916" s="13" t="str">
        <f>_xlfn.CONCAT(Sheet1!A916," --&gt; ",Sheet1!J916)</f>
        <v>459-45-2396 --&gt; 313.74</v>
      </c>
      <c r="I916" s="13" t="str">
        <f>_xlfn.CONCAT(Sheet1!C916,"_",TEXT(Sheet1!K916, "m/d/yyyy"))</f>
        <v>Yangon_2/25/2019</v>
      </c>
      <c r="J916" s="13" t="str">
        <f>IF(Sheet1!I916=Sheet1!N916*0.05,"Valid","Error")</f>
        <v>Valid</v>
      </c>
      <c r="K916" s="13" t="str">
        <f>IF(Sheet1!N916=Sheet1!G916*Sheet1!H916,"True","False")</f>
        <v>True</v>
      </c>
      <c r="L916" s="13" t="b">
        <v>1</v>
      </c>
      <c r="M916" s="9" t="b">
        <f>ISNUMBER(Sheet1!J916)</f>
        <v>1</v>
      </c>
      <c r="N916" s="13" t="str">
        <f>IF(Sheet1!B916="A","Branch A",IF(Sheet1!B916="B","Branch B","Other Branch"))</f>
        <v>Branch A</v>
      </c>
      <c r="O916" s="13" t="str">
        <f>IF(Sheet1!M916="Credit card","Credit Payment","Other")</f>
        <v>Other</v>
      </c>
      <c r="P916" s="13" t="str">
        <f>IF(Sheet1!O916&gt;7,"Yes","No")</f>
        <v>No</v>
      </c>
    </row>
    <row r="917" spans="5:16">
      <c r="E917" s="13" t="str">
        <v>717</v>
      </c>
      <c r="F917" s="13" t="str">
        <v>4189</v>
      </c>
      <c r="G917" s="13" t="str">
        <v>96</v>
      </c>
      <c r="H917" s="13" t="str">
        <f>_xlfn.CONCAT(Sheet1!A917," --&gt; ",Sheet1!J917)</f>
        <v>717-96-4189 --&gt; 223.587</v>
      </c>
      <c r="I917" s="13" t="str">
        <f>_xlfn.CONCAT(Sheet1!C917,"_",TEXT(Sheet1!K917, "m/d/yyyy"))</f>
        <v>Naypyitaw_2/2/2019</v>
      </c>
      <c r="J917" s="13" t="str">
        <f>IF(Sheet1!I917=Sheet1!N917*0.05,"Valid","Error")</f>
        <v>Valid</v>
      </c>
      <c r="K917" s="13" t="str">
        <f>IF(Sheet1!N917=Sheet1!G917*Sheet1!H917,"True","False")</f>
        <v>True</v>
      </c>
      <c r="L917" s="13" t="b">
        <v>1</v>
      </c>
      <c r="M917" s="9" t="b">
        <f>ISNUMBER(Sheet1!J917)</f>
        <v>1</v>
      </c>
      <c r="N917" s="13" t="str">
        <f>IF(Sheet1!B917="A","Branch A",IF(Sheet1!B917="B","Branch B","Other Branch"))</f>
        <v>Other Branch</v>
      </c>
      <c r="O917" s="13" t="str">
        <f>IF(Sheet1!M917="Credit card","Credit Payment","Other")</f>
        <v>Other</v>
      </c>
      <c r="P917" s="13" t="str">
        <f>IF(Sheet1!O917&gt;7,"Yes","No")</f>
        <v>No</v>
      </c>
    </row>
    <row r="918" spans="5:16">
      <c r="E918" s="13" t="str">
        <v>722</v>
      </c>
      <c r="F918" s="13" t="str">
        <v>2115</v>
      </c>
      <c r="G918" s="13" t="str">
        <v>13</v>
      </c>
      <c r="H918" s="13" t="str">
        <f>_xlfn.CONCAT(Sheet1!A918," --&gt; ",Sheet1!J918)</f>
        <v>722-13-2115 --&gt; 44.9925</v>
      </c>
      <c r="I918" s="13" t="str">
        <f>_xlfn.CONCAT(Sheet1!C918,"_",TEXT(Sheet1!K918, "m/d/yyyy"))</f>
        <v>Naypyitaw_3/14/2019</v>
      </c>
      <c r="J918" s="13" t="str">
        <f>IF(Sheet1!I918=Sheet1!N918*0.05,"Valid","Error")</f>
        <v>Valid</v>
      </c>
      <c r="K918" s="13" t="str">
        <f>IF(Sheet1!N918=Sheet1!G918*Sheet1!H918,"True","False")</f>
        <v>True</v>
      </c>
      <c r="L918" s="13" t="b">
        <v>1</v>
      </c>
      <c r="M918" s="9" t="b">
        <f>ISNUMBER(Sheet1!J918)</f>
        <v>1</v>
      </c>
      <c r="N918" s="13" t="str">
        <f>IF(Sheet1!B918="A","Branch A",IF(Sheet1!B918="B","Branch B","Other Branch"))</f>
        <v>Other Branch</v>
      </c>
      <c r="O918" s="13" t="str">
        <f>IF(Sheet1!M918="Credit card","Credit Payment","Other")</f>
        <v>Credit Payment</v>
      </c>
      <c r="P918" s="13" t="str">
        <f>IF(Sheet1!O918&gt;7,"Yes","No")</f>
        <v>Yes</v>
      </c>
    </row>
    <row r="919" spans="5:16">
      <c r="E919" s="13" t="str">
        <v>749</v>
      </c>
      <c r="F919" s="13" t="str">
        <v>8133</v>
      </c>
      <c r="G919" s="13" t="str">
        <v>81</v>
      </c>
      <c r="H919" s="13" t="str">
        <f>_xlfn.CONCAT(Sheet1!A919," --&gt; ",Sheet1!J919)</f>
        <v>749-81-8133 --&gt; 397.614</v>
      </c>
      <c r="I919" s="13" t="str">
        <f>_xlfn.CONCAT(Sheet1!C919,"_",TEXT(Sheet1!K919, "m/d/yyyy"))</f>
        <v>Yangon_3/11/2019</v>
      </c>
      <c r="J919" s="13" t="str">
        <f>IF(Sheet1!I919=Sheet1!N919*0.05,"Valid","Error")</f>
        <v>Valid</v>
      </c>
      <c r="K919" s="13" t="str">
        <f>IF(Sheet1!N919=Sheet1!G919*Sheet1!H919,"True","False")</f>
        <v>True</v>
      </c>
      <c r="L919" s="13" t="b">
        <v>1</v>
      </c>
      <c r="M919" s="9" t="b">
        <f>ISNUMBER(Sheet1!J919)</f>
        <v>1</v>
      </c>
      <c r="N919" s="13" t="str">
        <f>IF(Sheet1!B919="A","Branch A",IF(Sheet1!B919="B","Branch B","Other Branch"))</f>
        <v>Branch A</v>
      </c>
      <c r="O919" s="13" t="str">
        <f>IF(Sheet1!M919="Credit card","Credit Payment","Other")</f>
        <v>Other</v>
      </c>
      <c r="P919" s="13" t="str">
        <f>IF(Sheet1!O919&gt;7,"Yes","No")</f>
        <v>No</v>
      </c>
    </row>
    <row r="920" spans="5:16">
      <c r="E920" s="13" t="str">
        <v>777</v>
      </c>
      <c r="F920" s="13" t="str">
        <v>2495</v>
      </c>
      <c r="G920" s="13" t="str">
        <v>67</v>
      </c>
      <c r="H920" s="13" t="str">
        <f>_xlfn.CONCAT(Sheet1!A920," --&gt; ",Sheet1!J920)</f>
        <v>777-67-2495 --&gt; 217.2555</v>
      </c>
      <c r="I920" s="13" t="str">
        <f>_xlfn.CONCAT(Sheet1!C920,"_",TEXT(Sheet1!K920, "m/d/yyyy"))</f>
        <v>Mandalay_2/22/2019</v>
      </c>
      <c r="J920" s="13" t="str">
        <f>IF(Sheet1!I920=Sheet1!N920*0.05,"Valid","Error")</f>
        <v>Valid</v>
      </c>
      <c r="K920" s="13" t="str">
        <f>IF(Sheet1!N920=Sheet1!G920*Sheet1!H920,"True","False")</f>
        <v>True</v>
      </c>
      <c r="L920" s="13" t="b">
        <v>1</v>
      </c>
      <c r="M920" s="9" t="b">
        <f>ISNUMBER(Sheet1!J920)</f>
        <v>1</v>
      </c>
      <c r="N920" s="13" t="str">
        <f>IF(Sheet1!B920="A","Branch A",IF(Sheet1!B920="B","Branch B","Other Branch"))</f>
        <v>Branch B</v>
      </c>
      <c r="O920" s="13" t="str">
        <f>IF(Sheet1!M920="Credit card","Credit Payment","Other")</f>
        <v>Other</v>
      </c>
      <c r="P920" s="13" t="str">
        <f>IF(Sheet1!O920&gt;7,"Yes","No")</f>
        <v>Yes</v>
      </c>
    </row>
    <row r="921" spans="5:16">
      <c r="E921" s="13" t="str">
        <v>636</v>
      </c>
      <c r="F921" s="13" t="str">
        <v>3364</v>
      </c>
      <c r="G921" s="13" t="str">
        <v>98</v>
      </c>
      <c r="H921" s="13" t="str">
        <f>_xlfn.CONCAT(Sheet1!A921," --&gt; ",Sheet1!J921)</f>
        <v>636-98-3364 --&gt; 82.719</v>
      </c>
      <c r="I921" s="13" t="str">
        <f>_xlfn.CONCAT(Sheet1!C921,"_",TEXT(Sheet1!K921, "m/d/yyyy"))</f>
        <v>Mandalay_3/2/2019</v>
      </c>
      <c r="J921" s="13" t="str">
        <f>IF(Sheet1!I921=Sheet1!N921*0.05,"Valid","Error")</f>
        <v>Valid</v>
      </c>
      <c r="K921" s="13" t="str">
        <f>IF(Sheet1!N921=Sheet1!G921*Sheet1!H921,"True","False")</f>
        <v>True</v>
      </c>
      <c r="L921" s="13" t="b">
        <v>1</v>
      </c>
      <c r="M921" s="9" t="b">
        <f>ISNUMBER(Sheet1!J921)</f>
        <v>1</v>
      </c>
      <c r="N921" s="13" t="str">
        <f>IF(Sheet1!B921="A","Branch A",IF(Sheet1!B921="B","Branch B","Other Branch"))</f>
        <v>Branch B</v>
      </c>
      <c r="O921" s="13" t="str">
        <f>IF(Sheet1!M921="Credit card","Credit Payment","Other")</f>
        <v>Other</v>
      </c>
      <c r="P921" s="13" t="str">
        <f>IF(Sheet1!O921&gt;7,"Yes","No")</f>
        <v>No</v>
      </c>
    </row>
    <row r="922" spans="5:16">
      <c r="E922" s="13" t="str">
        <v>246</v>
      </c>
      <c r="F922" s="13" t="str">
        <v>6923</v>
      </c>
      <c r="G922" s="13" t="str">
        <v>55</v>
      </c>
      <c r="H922" s="13" t="str">
        <f>_xlfn.CONCAT(Sheet1!A922," --&gt; ",Sheet1!J922)</f>
        <v>246-55-6923 --&gt; 338.2155</v>
      </c>
      <c r="I922" s="13" t="str">
        <f>_xlfn.CONCAT(Sheet1!C922,"_",TEXT(Sheet1!K922, "m/d/yyyy"))</f>
        <v>Naypyitaw_3/10/2019</v>
      </c>
      <c r="J922" s="13" t="str">
        <f>IF(Sheet1!I922=Sheet1!N922*0.05,"Valid","Error")</f>
        <v>Valid</v>
      </c>
      <c r="K922" s="13" t="str">
        <f>IF(Sheet1!N922=Sheet1!G922*Sheet1!H922,"True","False")</f>
        <v>True</v>
      </c>
      <c r="L922" s="13" t="b">
        <v>1</v>
      </c>
      <c r="M922" s="9" t="b">
        <f>ISNUMBER(Sheet1!J922)</f>
        <v>1</v>
      </c>
      <c r="N922" s="13" t="str">
        <f>IF(Sheet1!B922="A","Branch A",IF(Sheet1!B922="B","Branch B","Other Branch"))</f>
        <v>Other Branch</v>
      </c>
      <c r="O922" s="13" t="str">
        <f>IF(Sheet1!M922="Credit card","Credit Payment","Other")</f>
        <v>Credit Payment</v>
      </c>
      <c r="P922" s="13" t="str">
        <f>IF(Sheet1!O922&gt;7,"Yes","No")</f>
        <v>No</v>
      </c>
    </row>
    <row r="923" spans="5:16">
      <c r="E923" s="13" t="str">
        <v>181</v>
      </c>
      <c r="F923" s="13" t="str">
        <v>6255</v>
      </c>
      <c r="G923" s="13" t="str">
        <v>82</v>
      </c>
      <c r="H923" s="13" t="str">
        <f>_xlfn.CONCAT(Sheet1!A923," --&gt; ",Sheet1!J923)</f>
        <v>181-82-6255 --&gt; 103.131</v>
      </c>
      <c r="I923" s="13" t="str">
        <f>_xlfn.CONCAT(Sheet1!C923,"_",TEXT(Sheet1!K923, "m/d/yyyy"))</f>
        <v>Mandalay_2/8/2019</v>
      </c>
      <c r="J923" s="13" t="str">
        <f>IF(Sheet1!I923=Sheet1!N923*0.05,"Valid","Error")</f>
        <v>Valid</v>
      </c>
      <c r="K923" s="13" t="str">
        <f>IF(Sheet1!N923=Sheet1!G923*Sheet1!H923,"True","False")</f>
        <v>True</v>
      </c>
      <c r="L923" s="13" t="b">
        <v>1</v>
      </c>
      <c r="M923" s="9" t="b">
        <f>ISNUMBER(Sheet1!J923)</f>
        <v>1</v>
      </c>
      <c r="N923" s="13" t="str">
        <f>IF(Sheet1!B923="A","Branch A",IF(Sheet1!B923="B","Branch B","Other Branch"))</f>
        <v>Branch B</v>
      </c>
      <c r="O923" s="13" t="str">
        <f>IF(Sheet1!M923="Credit card","Credit Payment","Other")</f>
        <v>Other</v>
      </c>
      <c r="P923" s="13" t="str">
        <f>IF(Sheet1!O923&gt;7,"Yes","No")</f>
        <v>No</v>
      </c>
    </row>
    <row r="924" spans="5:16">
      <c r="E924" s="13" t="str">
        <v>838</v>
      </c>
      <c r="F924" s="13" t="str">
        <v>1821</v>
      </c>
      <c r="G924" s="13" t="str">
        <v>02</v>
      </c>
      <c r="H924" s="13" t="str">
        <f>_xlfn.CONCAT(Sheet1!A924," --&gt; ",Sheet1!J924)</f>
        <v>838-02-1821 --&gt; 26.733</v>
      </c>
      <c r="I924" s="13" t="str">
        <f>_xlfn.CONCAT(Sheet1!C924,"_",TEXT(Sheet1!K924, "m/d/yyyy"))</f>
        <v>Naypyitaw_2/22/2019</v>
      </c>
      <c r="J924" s="13" t="str">
        <f>IF(Sheet1!I924=Sheet1!N924*0.05,"Valid","Error")</f>
        <v>Valid</v>
      </c>
      <c r="K924" s="13" t="str">
        <f>IF(Sheet1!N924=Sheet1!G924*Sheet1!H924,"True","False")</f>
        <v>True</v>
      </c>
      <c r="L924" s="13" t="b">
        <v>1</v>
      </c>
      <c r="M924" s="9" t="b">
        <f>ISNUMBER(Sheet1!J924)</f>
        <v>1</v>
      </c>
      <c r="N924" s="13" t="str">
        <f>IF(Sheet1!B924="A","Branch A",IF(Sheet1!B924="B","Branch B","Other Branch"))</f>
        <v>Other Branch</v>
      </c>
      <c r="O924" s="13" t="str">
        <f>IF(Sheet1!M924="Credit card","Credit Payment","Other")</f>
        <v>Credit Payment</v>
      </c>
      <c r="P924" s="13" t="str">
        <f>IF(Sheet1!O924&gt;7,"Yes","No")</f>
        <v>No</v>
      </c>
    </row>
    <row r="925" spans="5:16">
      <c r="E925" s="13" t="str">
        <v>887</v>
      </c>
      <c r="F925" s="13" t="str">
        <v>0517</v>
      </c>
      <c r="G925" s="13" t="str">
        <v>42</v>
      </c>
      <c r="H925" s="13" t="str">
        <f>_xlfn.CONCAT(Sheet1!A925," --&gt; ",Sheet1!J925)</f>
        <v>887-42-0517 --&gt; 611.079</v>
      </c>
      <c r="I925" s="13" t="str">
        <f>_xlfn.CONCAT(Sheet1!C925,"_",TEXT(Sheet1!K925, "m/d/yyyy"))</f>
        <v>Naypyitaw_1/10/2019</v>
      </c>
      <c r="J925" s="13" t="str">
        <f>IF(Sheet1!I925=Sheet1!N925*0.05,"Valid","Error")</f>
        <v>Valid</v>
      </c>
      <c r="K925" s="13" t="str">
        <f>IF(Sheet1!N925=Sheet1!G925*Sheet1!H925,"True","False")</f>
        <v>True</v>
      </c>
      <c r="L925" s="13" t="b">
        <v>1</v>
      </c>
      <c r="M925" s="9" t="b">
        <f>ISNUMBER(Sheet1!J925)</f>
        <v>1</v>
      </c>
      <c r="N925" s="13" t="str">
        <f>IF(Sheet1!B925="A","Branch A",IF(Sheet1!B925="B","Branch B","Other Branch"))</f>
        <v>Other Branch</v>
      </c>
      <c r="O925" s="13" t="str">
        <f>IF(Sheet1!M925="Credit card","Credit Payment","Other")</f>
        <v>Credit Payment</v>
      </c>
      <c r="P925" s="13" t="str">
        <f>IF(Sheet1!O925&gt;7,"Yes","No")</f>
        <v>No</v>
      </c>
    </row>
    <row r="926" spans="5:16">
      <c r="E926" s="13" t="str">
        <v>457</v>
      </c>
      <c r="F926" s="13" t="str">
        <v>0244</v>
      </c>
      <c r="G926" s="13" t="str">
        <v>12</v>
      </c>
      <c r="H926" s="13" t="str">
        <f>_xlfn.CONCAT(Sheet1!A926," --&gt; ",Sheet1!J926)</f>
        <v>457-12-0244 --&gt; 221.886</v>
      </c>
      <c r="I926" s="13" t="str">
        <f>_xlfn.CONCAT(Sheet1!C926,"_",TEXT(Sheet1!K926, "m/d/yyyy"))</f>
        <v>Naypyitaw_3/14/2019</v>
      </c>
      <c r="J926" s="13" t="str">
        <f>IF(Sheet1!I926=Sheet1!N926*0.05,"Valid","Error")</f>
        <v>Valid</v>
      </c>
      <c r="K926" s="13" t="str">
        <f>IF(Sheet1!N926=Sheet1!G926*Sheet1!H926,"True","False")</f>
        <v>True</v>
      </c>
      <c r="L926" s="13" t="b">
        <v>1</v>
      </c>
      <c r="M926" s="9" t="b">
        <f>ISNUMBER(Sheet1!J926)</f>
        <v>1</v>
      </c>
      <c r="N926" s="13" t="str">
        <f>IF(Sheet1!B926="A","Branch A",IF(Sheet1!B926="B","Branch B","Other Branch"))</f>
        <v>Other Branch</v>
      </c>
      <c r="O926" s="13" t="str">
        <f>IF(Sheet1!M926="Credit card","Credit Payment","Other")</f>
        <v>Other</v>
      </c>
      <c r="P926" s="13" t="str">
        <f>IF(Sheet1!O926&gt;7,"Yes","No")</f>
        <v>No</v>
      </c>
    </row>
    <row r="927" spans="5:16">
      <c r="E927" s="13" t="str">
        <v>226</v>
      </c>
      <c r="F927" s="13" t="str">
        <v>0034</v>
      </c>
      <c r="G927" s="13" t="str">
        <v>34</v>
      </c>
      <c r="H927" s="13" t="str">
        <f>_xlfn.CONCAT(Sheet1!A927," --&gt; ",Sheet1!J927)</f>
        <v>226-34-0034 --&gt; 57.876</v>
      </c>
      <c r="I927" s="13" t="str">
        <f>_xlfn.CONCAT(Sheet1!C927,"_",TEXT(Sheet1!K927, "m/d/yyyy"))</f>
        <v>Mandalay_1/10/2019</v>
      </c>
      <c r="J927" s="13" t="str">
        <f>IF(Sheet1!I927=Sheet1!N927*0.05,"Valid","Error")</f>
        <v>Valid</v>
      </c>
      <c r="K927" s="13" t="str">
        <f>IF(Sheet1!N927=Sheet1!G927*Sheet1!H927,"True","False")</f>
        <v>True</v>
      </c>
      <c r="L927" s="13" t="b">
        <v>1</v>
      </c>
      <c r="M927" s="9" t="b">
        <f>ISNUMBER(Sheet1!J927)</f>
        <v>1</v>
      </c>
      <c r="N927" s="13" t="str">
        <f>IF(Sheet1!B927="A","Branch A",IF(Sheet1!B927="B","Branch B","Other Branch"))</f>
        <v>Branch B</v>
      </c>
      <c r="O927" s="13" t="str">
        <f>IF(Sheet1!M927="Credit card","Credit Payment","Other")</f>
        <v>Other</v>
      </c>
      <c r="P927" s="13" t="str">
        <f>IF(Sheet1!O927&gt;7,"Yes","No")</f>
        <v>Yes</v>
      </c>
    </row>
    <row r="928" spans="5:16">
      <c r="E928" s="13" t="str">
        <v>321</v>
      </c>
      <c r="F928" s="13" t="str">
        <v>7382</v>
      </c>
      <c r="G928" s="13" t="str">
        <v>49</v>
      </c>
      <c r="H928" s="13" t="str">
        <f>_xlfn.CONCAT(Sheet1!A928," --&gt; ",Sheet1!J928)</f>
        <v>321-49-7382 --&gt; 92.7255</v>
      </c>
      <c r="I928" s="13" t="str">
        <f>_xlfn.CONCAT(Sheet1!C928,"_",TEXT(Sheet1!K928, "m/d/yyyy"))</f>
        <v>Mandalay_2/15/2019</v>
      </c>
      <c r="J928" s="13" t="str">
        <f>IF(Sheet1!I928=Sheet1!N928*0.05,"Valid","Error")</f>
        <v>Valid</v>
      </c>
      <c r="K928" s="13" t="str">
        <f>IF(Sheet1!N928=Sheet1!G928*Sheet1!H928,"True","False")</f>
        <v>True</v>
      </c>
      <c r="L928" s="13" t="b">
        <v>1</v>
      </c>
      <c r="M928" s="9" t="b">
        <f>ISNUMBER(Sheet1!J928)</f>
        <v>1</v>
      </c>
      <c r="N928" s="13" t="str">
        <f>IF(Sheet1!B928="A","Branch A",IF(Sheet1!B928="B","Branch B","Other Branch"))</f>
        <v>Branch B</v>
      </c>
      <c r="O928" s="13" t="str">
        <f>IF(Sheet1!M928="Credit card","Credit Payment","Other")</f>
        <v>Credit Payment</v>
      </c>
      <c r="P928" s="13" t="str">
        <f>IF(Sheet1!O928&gt;7,"Yes","No")</f>
        <v>No</v>
      </c>
    </row>
    <row r="929" spans="5:16">
      <c r="E929" s="13" t="str">
        <v>397</v>
      </c>
      <c r="F929" s="13" t="str">
        <v>8725</v>
      </c>
      <c r="G929" s="13" t="str">
        <v>25</v>
      </c>
      <c r="H929" s="13" t="str">
        <f>_xlfn.CONCAT(Sheet1!A929," --&gt; ",Sheet1!J929)</f>
        <v>397-25-8725 --&gt; 374.409</v>
      </c>
      <c r="I929" s="13" t="str">
        <f>_xlfn.CONCAT(Sheet1!C929,"_",TEXT(Sheet1!K929, "m/d/yyyy"))</f>
        <v>Yangon_1/13/2019</v>
      </c>
      <c r="J929" s="13" t="str">
        <f>IF(Sheet1!I929=Sheet1!N929*0.05,"Valid","Error")</f>
        <v>Valid</v>
      </c>
      <c r="K929" s="13" t="str">
        <f>IF(Sheet1!N929=Sheet1!G929*Sheet1!H929,"True","False")</f>
        <v>True</v>
      </c>
      <c r="L929" s="13" t="b">
        <v>1</v>
      </c>
      <c r="M929" s="9" t="b">
        <f>ISNUMBER(Sheet1!J929)</f>
        <v>1</v>
      </c>
      <c r="N929" s="13" t="str">
        <f>IF(Sheet1!B929="A","Branch A",IF(Sheet1!B929="B","Branch B","Other Branch"))</f>
        <v>Branch A</v>
      </c>
      <c r="O929" s="13" t="str">
        <f>IF(Sheet1!M929="Credit card","Credit Payment","Other")</f>
        <v>Credit Payment</v>
      </c>
      <c r="P929" s="13" t="str">
        <f>IF(Sheet1!O929&gt;7,"Yes","No")</f>
        <v>No</v>
      </c>
    </row>
    <row r="930" spans="5:16">
      <c r="E930" s="13" t="str">
        <v>431</v>
      </c>
      <c r="F930" s="13" t="str">
        <v>2305</v>
      </c>
      <c r="G930" s="13" t="str">
        <v>66</v>
      </c>
      <c r="H930" s="13" t="str">
        <f>_xlfn.CONCAT(Sheet1!A930," --&gt; ",Sheet1!J930)</f>
        <v>431-66-2305 --&gt; 833.9625</v>
      </c>
      <c r="I930" s="13" t="str">
        <f>_xlfn.CONCAT(Sheet1!C930,"_",TEXT(Sheet1!K930, "m/d/yyyy"))</f>
        <v>Mandalay_2/15/2019</v>
      </c>
      <c r="J930" s="13" t="str">
        <f>IF(Sheet1!I930=Sheet1!N930*0.05,"Valid","Error")</f>
        <v>Valid</v>
      </c>
      <c r="K930" s="13" t="str">
        <f>IF(Sheet1!N930=Sheet1!G930*Sheet1!H930,"True","False")</f>
        <v>True</v>
      </c>
      <c r="L930" s="13" t="b">
        <v>1</v>
      </c>
      <c r="M930" s="9" t="b">
        <f>ISNUMBER(Sheet1!J930)</f>
        <v>1</v>
      </c>
      <c r="N930" s="13" t="str">
        <f>IF(Sheet1!B930="A","Branch A",IF(Sheet1!B930="B","Branch B","Other Branch"))</f>
        <v>Branch B</v>
      </c>
      <c r="O930" s="13" t="str">
        <f>IF(Sheet1!M930="Credit card","Credit Payment","Other")</f>
        <v>Credit Payment</v>
      </c>
      <c r="P930" s="13" t="str">
        <f>IF(Sheet1!O930&gt;7,"Yes","No")</f>
        <v>Yes</v>
      </c>
    </row>
    <row r="931" spans="5:16">
      <c r="E931" s="13" t="str">
        <v>825</v>
      </c>
      <c r="F931" s="13" t="str">
        <v>5922</v>
      </c>
      <c r="G931" s="13" t="str">
        <v>94</v>
      </c>
      <c r="H931" s="13" t="str">
        <f>_xlfn.CONCAT(Sheet1!A931," --&gt; ",Sheet1!J931)</f>
        <v>825-94-5922 --&gt; 53.151</v>
      </c>
      <c r="I931" s="13" t="str">
        <f>_xlfn.CONCAT(Sheet1!C931,"_",TEXT(Sheet1!K931, "m/d/yyyy"))</f>
        <v>Mandalay_3/2/2019</v>
      </c>
      <c r="J931" s="13" t="str">
        <f>IF(Sheet1!I931=Sheet1!N931*0.05,"Valid","Error")</f>
        <v>Valid</v>
      </c>
      <c r="K931" s="13" t="str">
        <f>IF(Sheet1!N931=Sheet1!G931*Sheet1!H931,"True","False")</f>
        <v>True</v>
      </c>
      <c r="L931" s="13" t="b">
        <v>1</v>
      </c>
      <c r="M931" s="9" t="b">
        <f>ISNUMBER(Sheet1!J931)</f>
        <v>1</v>
      </c>
      <c r="N931" s="13" t="str">
        <f>IF(Sheet1!B931="A","Branch A",IF(Sheet1!B931="B","Branch B","Other Branch"))</f>
        <v>Branch B</v>
      </c>
      <c r="O931" s="13" t="str">
        <f>IF(Sheet1!M931="Credit card","Credit Payment","Other")</f>
        <v>Other</v>
      </c>
      <c r="P931" s="13" t="str">
        <f>IF(Sheet1!O931&gt;7,"Yes","No")</f>
        <v>Yes</v>
      </c>
    </row>
    <row r="932" spans="5:16">
      <c r="E932" s="13" t="str">
        <v>641</v>
      </c>
      <c r="F932" s="13" t="str">
        <v>7288</v>
      </c>
      <c r="G932" s="13" t="str">
        <v>62</v>
      </c>
      <c r="H932" s="13" t="str">
        <f>_xlfn.CONCAT(Sheet1!A932," --&gt; ",Sheet1!J932)</f>
        <v>641-62-7288 --&gt; 629.496</v>
      </c>
      <c r="I932" s="13" t="str">
        <f>_xlfn.CONCAT(Sheet1!C932,"_",TEXT(Sheet1!K932, "m/d/yyyy"))</f>
        <v>Mandalay_3/24/2019</v>
      </c>
      <c r="J932" s="13" t="str">
        <f>IF(Sheet1!I932=Sheet1!N932*0.05,"Valid","Error")</f>
        <v>Valid</v>
      </c>
      <c r="K932" s="13" t="str">
        <f>IF(Sheet1!N932=Sheet1!G932*Sheet1!H932,"True","False")</f>
        <v>True</v>
      </c>
      <c r="L932" s="13" t="b">
        <v>1</v>
      </c>
      <c r="M932" s="9" t="b">
        <f>ISNUMBER(Sheet1!J932)</f>
        <v>1</v>
      </c>
      <c r="N932" s="13" t="str">
        <f>IF(Sheet1!B932="A","Branch A",IF(Sheet1!B932="B","Branch B","Other Branch"))</f>
        <v>Branch B</v>
      </c>
      <c r="O932" s="13" t="str">
        <f>IF(Sheet1!M932="Credit card","Credit Payment","Other")</f>
        <v>Other</v>
      </c>
      <c r="P932" s="13" t="str">
        <f>IF(Sheet1!O932&gt;7,"Yes","No")</f>
        <v>Yes</v>
      </c>
    </row>
    <row r="933" spans="5:16">
      <c r="E933" s="13" t="str">
        <v>756</v>
      </c>
      <c r="F933" s="13" t="str">
        <v>1854</v>
      </c>
      <c r="G933" s="13" t="str">
        <v>93</v>
      </c>
      <c r="H933" s="13" t="str">
        <f>_xlfn.CONCAT(Sheet1!A933," --&gt; ",Sheet1!J933)</f>
        <v>756-93-1854 --&gt; 175.035</v>
      </c>
      <c r="I933" s="13" t="str">
        <f>_xlfn.CONCAT(Sheet1!C933,"_",TEXT(Sheet1!K933, "m/d/yyyy"))</f>
        <v>Naypyitaw_2/2/2019</v>
      </c>
      <c r="J933" s="13" t="str">
        <f>IF(Sheet1!I933=Sheet1!N933*0.05,"Valid","Error")</f>
        <v>Valid</v>
      </c>
      <c r="K933" s="13" t="str">
        <f>IF(Sheet1!N933=Sheet1!G933*Sheet1!H933,"True","False")</f>
        <v>True</v>
      </c>
      <c r="L933" s="13" t="b">
        <v>1</v>
      </c>
      <c r="M933" s="9" t="b">
        <f>ISNUMBER(Sheet1!J933)</f>
        <v>1</v>
      </c>
      <c r="N933" s="13" t="str">
        <f>IF(Sheet1!B933="A","Branch A",IF(Sheet1!B933="B","Branch B","Other Branch"))</f>
        <v>Other Branch</v>
      </c>
      <c r="O933" s="13" t="str">
        <f>IF(Sheet1!M933="Credit card","Credit Payment","Other")</f>
        <v>Credit Payment</v>
      </c>
      <c r="P933" s="13" t="str">
        <f>IF(Sheet1!O933&gt;7,"Yes","No")</f>
        <v>Yes</v>
      </c>
    </row>
    <row r="934" spans="5:16">
      <c r="E934" s="13" t="str">
        <v>243</v>
      </c>
      <c r="F934" s="13" t="str">
        <v>8457</v>
      </c>
      <c r="G934" s="13" t="str">
        <v>55</v>
      </c>
      <c r="H934" s="13" t="str">
        <f>_xlfn.CONCAT(Sheet1!A934," --&gt; ",Sheet1!J934)</f>
        <v>243-55-8457 --&gt; 781.62</v>
      </c>
      <c r="I934" s="13" t="str">
        <f>_xlfn.CONCAT(Sheet1!C934,"_",TEXT(Sheet1!K934, "m/d/yyyy"))</f>
        <v>Yangon_2/27/2019</v>
      </c>
      <c r="J934" s="13" t="str">
        <f>IF(Sheet1!I934=Sheet1!N934*0.05,"Valid","Error")</f>
        <v>Valid</v>
      </c>
      <c r="K934" s="13" t="str">
        <f>IF(Sheet1!N934=Sheet1!G934*Sheet1!H934,"True","False")</f>
        <v>True</v>
      </c>
      <c r="L934" s="13" t="b">
        <v>1</v>
      </c>
      <c r="M934" s="9" t="b">
        <f>ISNUMBER(Sheet1!J934)</f>
        <v>1</v>
      </c>
      <c r="N934" s="13" t="str">
        <f>IF(Sheet1!B934="A","Branch A",IF(Sheet1!B934="B","Branch B","Other Branch"))</f>
        <v>Branch A</v>
      </c>
      <c r="O934" s="13" t="str">
        <f>IF(Sheet1!M934="Credit card","Credit Payment","Other")</f>
        <v>Other</v>
      </c>
      <c r="P934" s="13" t="str">
        <f>IF(Sheet1!O934&gt;7,"Yes","No")</f>
        <v>No</v>
      </c>
    </row>
    <row r="935" spans="5:16">
      <c r="E935" s="13" t="str">
        <v>458</v>
      </c>
      <c r="F935" s="13" t="str">
        <v>8612</v>
      </c>
      <c r="G935" s="13" t="str">
        <v>10</v>
      </c>
      <c r="H935" s="13" t="str">
        <f>_xlfn.CONCAT(Sheet1!A935," --&gt; ",Sheet1!J935)</f>
        <v>458-10-8612 --&gt; 470.988</v>
      </c>
      <c r="I935" s="13" t="str">
        <f>_xlfn.CONCAT(Sheet1!C935,"_",TEXT(Sheet1!K935, "m/d/yyyy"))</f>
        <v>Naypyitaw_1/20/2019</v>
      </c>
      <c r="J935" s="13" t="str">
        <f>IF(Sheet1!I935=Sheet1!N935*0.05,"Valid","Error")</f>
        <v>Valid</v>
      </c>
      <c r="K935" s="13" t="str">
        <f>IF(Sheet1!N935=Sheet1!G935*Sheet1!H935,"True","False")</f>
        <v>True</v>
      </c>
      <c r="L935" s="13" t="b">
        <v>1</v>
      </c>
      <c r="M935" s="9" t="b">
        <f>ISNUMBER(Sheet1!J935)</f>
        <v>1</v>
      </c>
      <c r="N935" s="13" t="str">
        <f>IF(Sheet1!B935="A","Branch A",IF(Sheet1!B935="B","Branch B","Other Branch"))</f>
        <v>Other Branch</v>
      </c>
      <c r="O935" s="13" t="str">
        <f>IF(Sheet1!M935="Credit card","Credit Payment","Other")</f>
        <v>Other</v>
      </c>
      <c r="P935" s="13" t="str">
        <f>IF(Sheet1!O935&gt;7,"Yes","No")</f>
        <v>Yes</v>
      </c>
    </row>
    <row r="936" spans="5:16">
      <c r="E936" s="13" t="str">
        <v>501</v>
      </c>
      <c r="F936" s="13" t="str">
        <v>1753</v>
      </c>
      <c r="G936" s="13" t="str">
        <v>61</v>
      </c>
      <c r="H936" s="13" t="str">
        <f>_xlfn.CONCAT(Sheet1!A936," --&gt; ",Sheet1!J936)</f>
        <v>501-61-1753 --&gt; 397.845</v>
      </c>
      <c r="I936" s="13" t="str">
        <f>_xlfn.CONCAT(Sheet1!C936,"_",TEXT(Sheet1!K936, "m/d/yyyy"))</f>
        <v>Mandalay_1/3/2019</v>
      </c>
      <c r="J936" s="13" t="str">
        <f>IF(Sheet1!I936=Sheet1!N936*0.05,"Valid","Error")</f>
        <v>Valid</v>
      </c>
      <c r="K936" s="13" t="str">
        <f>IF(Sheet1!N936=Sheet1!G936*Sheet1!H936,"True","False")</f>
        <v>True</v>
      </c>
      <c r="L936" s="13" t="b">
        <v>1</v>
      </c>
      <c r="M936" s="9" t="b">
        <f>ISNUMBER(Sheet1!J936)</f>
        <v>1</v>
      </c>
      <c r="N936" s="13" t="str">
        <f>IF(Sheet1!B936="A","Branch A",IF(Sheet1!B936="B","Branch B","Other Branch"))</f>
        <v>Branch B</v>
      </c>
      <c r="O936" s="13" t="str">
        <f>IF(Sheet1!M936="Credit card","Credit Payment","Other")</f>
        <v>Other</v>
      </c>
      <c r="P936" s="13" t="str">
        <f>IF(Sheet1!O936&gt;7,"Yes","No")</f>
        <v>Yes</v>
      </c>
    </row>
    <row r="937" spans="5:16">
      <c r="E937" s="13" t="str">
        <v>235</v>
      </c>
      <c r="F937" s="13" t="str">
        <v>8510</v>
      </c>
      <c r="G937" s="13" t="str">
        <v>06</v>
      </c>
      <c r="H937" s="13" t="str">
        <f>_xlfn.CONCAT(Sheet1!A937," --&gt; ",Sheet1!J937)</f>
        <v>235-06-8510 --&gt; 270.018</v>
      </c>
      <c r="I937" s="13" t="str">
        <f>_xlfn.CONCAT(Sheet1!C937,"_",TEXT(Sheet1!K937, "m/d/yyyy"))</f>
        <v>Naypyitaw_1/24/2019</v>
      </c>
      <c r="J937" s="13" t="str">
        <f>IF(Sheet1!I937=Sheet1!N937*0.05,"Valid","Error")</f>
        <v>Valid</v>
      </c>
      <c r="K937" s="13" t="str">
        <f>IF(Sheet1!N937=Sheet1!G937*Sheet1!H937,"True","False")</f>
        <v>True</v>
      </c>
      <c r="L937" s="13" t="b">
        <v>1</v>
      </c>
      <c r="M937" s="9" t="b">
        <f>ISNUMBER(Sheet1!J937)</f>
        <v>1</v>
      </c>
      <c r="N937" s="13" t="str">
        <f>IF(Sheet1!B937="A","Branch A",IF(Sheet1!B937="B","Branch B","Other Branch"))</f>
        <v>Other Branch</v>
      </c>
      <c r="O937" s="13" t="str">
        <f>IF(Sheet1!M937="Credit card","Credit Payment","Other")</f>
        <v>Other</v>
      </c>
      <c r="P937" s="13" t="str">
        <f>IF(Sheet1!O937&gt;7,"Yes","No")</f>
        <v>No</v>
      </c>
    </row>
    <row r="938" spans="5:16">
      <c r="E938" s="13" t="str">
        <v>433</v>
      </c>
      <c r="F938" s="13" t="str">
        <v>7822</v>
      </c>
      <c r="G938" s="13" t="str">
        <v>08</v>
      </c>
      <c r="H938" s="13" t="str">
        <f>_xlfn.CONCAT(Sheet1!A938," --&gt; ",Sheet1!J938)</f>
        <v>433-08-7822 --&gt; 579.8415</v>
      </c>
      <c r="I938" s="13" t="str">
        <f>_xlfn.CONCAT(Sheet1!C938,"_",TEXT(Sheet1!K938, "m/d/yyyy"))</f>
        <v>Naypyitaw_1/5/2019</v>
      </c>
      <c r="J938" s="13" t="str">
        <f>IF(Sheet1!I938=Sheet1!N938*0.05,"Valid","Error")</f>
        <v>Valid</v>
      </c>
      <c r="K938" s="13" t="str">
        <f>IF(Sheet1!N938=Sheet1!G938*Sheet1!H938,"True","False")</f>
        <v>True</v>
      </c>
      <c r="L938" s="13" t="b">
        <v>1</v>
      </c>
      <c r="M938" s="9" t="b">
        <f>ISNUMBER(Sheet1!J938)</f>
        <v>1</v>
      </c>
      <c r="N938" s="13" t="str">
        <f>IF(Sheet1!B938="A","Branch A",IF(Sheet1!B938="B","Branch B","Other Branch"))</f>
        <v>Other Branch</v>
      </c>
      <c r="O938" s="13" t="str">
        <f>IF(Sheet1!M938="Credit card","Credit Payment","Other")</f>
        <v>Other</v>
      </c>
      <c r="P938" s="13" t="str">
        <f>IF(Sheet1!O938&gt;7,"Yes","No")</f>
        <v>Yes</v>
      </c>
    </row>
    <row r="939" spans="5:16">
      <c r="E939" s="13" t="str">
        <v>361</v>
      </c>
      <c r="F939" s="13" t="str">
        <v>2571</v>
      </c>
      <c r="G939" s="13" t="str">
        <v>85</v>
      </c>
      <c r="H939" s="13" t="str">
        <f>_xlfn.CONCAT(Sheet1!A939," --&gt; ",Sheet1!J939)</f>
        <v>361-85-2571 --&gt; 469.77</v>
      </c>
      <c r="I939" s="13" t="str">
        <f>_xlfn.CONCAT(Sheet1!C939,"_",TEXT(Sheet1!K939, "m/d/yyyy"))</f>
        <v>Yangon_3/30/2019</v>
      </c>
      <c r="J939" s="13" t="str">
        <f>IF(Sheet1!I939=Sheet1!N939*0.05,"Valid","Error")</f>
        <v>Valid</v>
      </c>
      <c r="K939" s="13" t="str">
        <f>IF(Sheet1!N939=Sheet1!G939*Sheet1!H939,"True","False")</f>
        <v>True</v>
      </c>
      <c r="L939" s="13" t="b">
        <v>1</v>
      </c>
      <c r="M939" s="9" t="b">
        <f>ISNUMBER(Sheet1!J939)</f>
        <v>1</v>
      </c>
      <c r="N939" s="13" t="str">
        <f>IF(Sheet1!B939="A","Branch A",IF(Sheet1!B939="B","Branch B","Other Branch"))</f>
        <v>Branch A</v>
      </c>
      <c r="O939" s="13" t="str">
        <f>IF(Sheet1!M939="Credit card","Credit Payment","Other")</f>
        <v>Other</v>
      </c>
      <c r="P939" s="13" t="str">
        <f>IF(Sheet1!O939&gt;7,"Yes","No")</f>
        <v>Yes</v>
      </c>
    </row>
    <row r="940" spans="5:16">
      <c r="E940" s="13" t="str">
        <v>131</v>
      </c>
      <c r="F940" s="13" t="str">
        <v>8179</v>
      </c>
      <c r="G940" s="13" t="str">
        <v>70</v>
      </c>
      <c r="H940" s="13" t="str">
        <f>_xlfn.CONCAT(Sheet1!A940," --&gt; ",Sheet1!J940)</f>
        <v>131-70-8179 --&gt; 290.0835</v>
      </c>
      <c r="I940" s="13" t="str">
        <f>_xlfn.CONCAT(Sheet1!C940,"_",TEXT(Sheet1!K940, "m/d/yyyy"))</f>
        <v>Yangon_2/17/2019</v>
      </c>
      <c r="J940" s="13" t="str">
        <f>IF(Sheet1!I940=Sheet1!N940*0.05,"Valid","Error")</f>
        <v>Valid</v>
      </c>
      <c r="K940" s="13" t="str">
        <f>IF(Sheet1!N940=Sheet1!G940*Sheet1!H940,"True","False")</f>
        <v>True</v>
      </c>
      <c r="L940" s="13" t="b">
        <v>1</v>
      </c>
      <c r="M940" s="9" t="b">
        <f>ISNUMBER(Sheet1!J940)</f>
        <v>1</v>
      </c>
      <c r="N940" s="13" t="str">
        <f>IF(Sheet1!B940="A","Branch A",IF(Sheet1!B940="B","Branch B","Other Branch"))</f>
        <v>Branch A</v>
      </c>
      <c r="O940" s="13" t="str">
        <f>IF(Sheet1!M940="Credit card","Credit Payment","Other")</f>
        <v>Other</v>
      </c>
      <c r="P940" s="13" t="str">
        <f>IF(Sheet1!O940&gt;7,"Yes","No")</f>
        <v>No</v>
      </c>
    </row>
    <row r="941" spans="5:16">
      <c r="E941" s="13" t="str">
        <v>500</v>
      </c>
      <c r="F941" s="13" t="str">
        <v>2261</v>
      </c>
      <c r="G941" s="13" t="str">
        <v>02</v>
      </c>
      <c r="H941" s="13" t="str">
        <f>_xlfn.CONCAT(Sheet1!A941," --&gt; ",Sheet1!J941)</f>
        <v>500-02-2261 --&gt; 360.927</v>
      </c>
      <c r="I941" s="13" t="str">
        <f>_xlfn.CONCAT(Sheet1!C941,"_",TEXT(Sheet1!K941, "m/d/yyyy"))</f>
        <v>Naypyitaw_3/21/2019</v>
      </c>
      <c r="J941" s="13" t="str">
        <f>IF(Sheet1!I941=Sheet1!N941*0.05,"Valid","Error")</f>
        <v>Valid</v>
      </c>
      <c r="K941" s="13" t="str">
        <f>IF(Sheet1!N941=Sheet1!G941*Sheet1!H941,"True","False")</f>
        <v>True</v>
      </c>
      <c r="L941" s="13" t="b">
        <v>1</v>
      </c>
      <c r="M941" s="9" t="b">
        <f>ISNUMBER(Sheet1!J941)</f>
        <v>1</v>
      </c>
      <c r="N941" s="13" t="str">
        <f>IF(Sheet1!B941="A","Branch A",IF(Sheet1!B941="B","Branch B","Other Branch"))</f>
        <v>Other Branch</v>
      </c>
      <c r="O941" s="13" t="str">
        <f>IF(Sheet1!M941="Credit card","Credit Payment","Other")</f>
        <v>Other</v>
      </c>
      <c r="P941" s="13" t="str">
        <f>IF(Sheet1!O941&gt;7,"Yes","No")</f>
        <v>No</v>
      </c>
    </row>
    <row r="942" spans="5:16">
      <c r="E942" s="13" t="str">
        <v>720</v>
      </c>
      <c r="F942" s="13" t="str">
        <v>2436</v>
      </c>
      <c r="G942" s="13" t="str">
        <v>72</v>
      </c>
      <c r="H942" s="13" t="str">
        <f>_xlfn.CONCAT(Sheet1!A942," --&gt; ",Sheet1!J942)</f>
        <v>720-72-2436 --&gt; 279.384</v>
      </c>
      <c r="I942" s="13" t="str">
        <f>_xlfn.CONCAT(Sheet1!C942,"_",TEXT(Sheet1!K942, "m/d/yyyy"))</f>
        <v>Yangon_3/2/2019</v>
      </c>
      <c r="J942" s="13" t="str">
        <f>IF(Sheet1!I942=Sheet1!N942*0.05,"Valid","Error")</f>
        <v>Valid</v>
      </c>
      <c r="K942" s="13" t="str">
        <f>IF(Sheet1!N942=Sheet1!G942*Sheet1!H942,"True","False")</f>
        <v>True</v>
      </c>
      <c r="L942" s="13" t="b">
        <v>1</v>
      </c>
      <c r="M942" s="9" t="b">
        <f>ISNUMBER(Sheet1!J942)</f>
        <v>1</v>
      </c>
      <c r="N942" s="13" t="str">
        <f>IF(Sheet1!B942="A","Branch A",IF(Sheet1!B942="B","Branch B","Other Branch"))</f>
        <v>Branch A</v>
      </c>
      <c r="O942" s="13" t="str">
        <f>IF(Sheet1!M942="Credit card","Credit Payment","Other")</f>
        <v>Other</v>
      </c>
      <c r="P942" s="13" t="str">
        <f>IF(Sheet1!O942&gt;7,"Yes","No")</f>
        <v>No</v>
      </c>
    </row>
    <row r="943" spans="5:16">
      <c r="E943" s="13" t="str">
        <v>702</v>
      </c>
      <c r="F943" s="13" t="str">
        <v>5291</v>
      </c>
      <c r="G943" s="13" t="str">
        <v>83</v>
      </c>
      <c r="H943" s="13" t="str">
        <f>_xlfn.CONCAT(Sheet1!A943," --&gt; ",Sheet1!J943)</f>
        <v>702-83-5291 --&gt; 943.299</v>
      </c>
      <c r="I943" s="13" t="str">
        <f>_xlfn.CONCAT(Sheet1!C943,"_",TEXT(Sheet1!K943, "m/d/yyyy"))</f>
        <v>Naypyitaw_3/27/2019</v>
      </c>
      <c r="J943" s="13" t="str">
        <f>IF(Sheet1!I943=Sheet1!N943*0.05,"Valid","Error")</f>
        <v>Valid</v>
      </c>
      <c r="K943" s="13" t="str">
        <f>IF(Sheet1!N943=Sheet1!G943*Sheet1!H943,"True","False")</f>
        <v>True</v>
      </c>
      <c r="L943" s="13" t="b">
        <v>1</v>
      </c>
      <c r="M943" s="9" t="b">
        <f>ISNUMBER(Sheet1!J943)</f>
        <v>1</v>
      </c>
      <c r="N943" s="13" t="str">
        <f>IF(Sheet1!B943="A","Branch A",IF(Sheet1!B943="B","Branch B","Other Branch"))</f>
        <v>Other Branch</v>
      </c>
      <c r="O943" s="13" t="str">
        <f>IF(Sheet1!M943="Credit card","Credit Payment","Other")</f>
        <v>Other</v>
      </c>
      <c r="P943" s="13" t="str">
        <f>IF(Sheet1!O943&gt;7,"Yes","No")</f>
        <v>No</v>
      </c>
    </row>
    <row r="944" spans="5:16">
      <c r="E944" s="13" t="str">
        <v>809</v>
      </c>
      <c r="F944" s="13" t="str">
        <v>9497</v>
      </c>
      <c r="G944" s="13" t="str">
        <v>69</v>
      </c>
      <c r="H944" s="13" t="str">
        <f>_xlfn.CONCAT(Sheet1!A944," --&gt; ",Sheet1!J944)</f>
        <v>809-69-9497 --&gt; 479.64</v>
      </c>
      <c r="I944" s="13" t="str">
        <f>_xlfn.CONCAT(Sheet1!C944,"_",TEXT(Sheet1!K944, "m/d/yyyy"))</f>
        <v>Yangon_1/19/2019</v>
      </c>
      <c r="J944" s="13" t="str">
        <f>IF(Sheet1!I944=Sheet1!N944*0.05,"Valid","Error")</f>
        <v>Valid</v>
      </c>
      <c r="K944" s="13" t="str">
        <f>IF(Sheet1!N944=Sheet1!G944*Sheet1!H944,"True","False")</f>
        <v>True</v>
      </c>
      <c r="L944" s="13" t="b">
        <v>1</v>
      </c>
      <c r="M944" s="9" t="b">
        <f>ISNUMBER(Sheet1!J944)</f>
        <v>1</v>
      </c>
      <c r="N944" s="13" t="str">
        <f>IF(Sheet1!B944="A","Branch A",IF(Sheet1!B944="B","Branch B","Other Branch"))</f>
        <v>Branch A</v>
      </c>
      <c r="O944" s="13" t="str">
        <f>IF(Sheet1!M944="Credit card","Credit Payment","Other")</f>
        <v>Other</v>
      </c>
      <c r="P944" s="13" t="str">
        <f>IF(Sheet1!O944&gt;7,"Yes","No")</f>
        <v>No</v>
      </c>
    </row>
    <row r="945" spans="5:16">
      <c r="E945" s="13" t="str">
        <v>449</v>
      </c>
      <c r="F945" s="13" t="str">
        <v>6770</v>
      </c>
      <c r="G945" s="13" t="str">
        <v>16</v>
      </c>
      <c r="H945" s="13" t="str">
        <f>_xlfn.CONCAT(Sheet1!A945," --&gt; ",Sheet1!J945)</f>
        <v>449-16-6770 --&gt; 266.6475</v>
      </c>
      <c r="I945" s="13" t="str">
        <f>_xlfn.CONCAT(Sheet1!C945,"_",TEXT(Sheet1!K945, "m/d/yyyy"))</f>
        <v>Yangon_2/19/2019</v>
      </c>
      <c r="J945" s="13" t="str">
        <f>IF(Sheet1!I945=Sheet1!N945*0.05,"Valid","Error")</f>
        <v>Valid</v>
      </c>
      <c r="K945" s="13" t="str">
        <f>IF(Sheet1!N945=Sheet1!G945*Sheet1!H945,"True","False")</f>
        <v>True</v>
      </c>
      <c r="L945" s="13" t="b">
        <v>1</v>
      </c>
      <c r="M945" s="9" t="b">
        <f>ISNUMBER(Sheet1!J945)</f>
        <v>1</v>
      </c>
      <c r="N945" s="13" t="str">
        <f>IF(Sheet1!B945="A","Branch A",IF(Sheet1!B945="B","Branch B","Other Branch"))</f>
        <v>Branch A</v>
      </c>
      <c r="O945" s="13" t="str">
        <f>IF(Sheet1!M945="Credit card","Credit Payment","Other")</f>
        <v>Credit Payment</v>
      </c>
      <c r="P945" s="13" t="str">
        <f>IF(Sheet1!O945&gt;7,"Yes","No")</f>
        <v>No</v>
      </c>
    </row>
    <row r="946" spans="5:16">
      <c r="E946" s="13" t="str">
        <v>333</v>
      </c>
      <c r="F946" s="13" t="str">
        <v>2632</v>
      </c>
      <c r="G946" s="13" t="str">
        <v>23</v>
      </c>
      <c r="H946" s="13" t="str">
        <f>_xlfn.CONCAT(Sheet1!A946," --&gt; ",Sheet1!J946)</f>
        <v>333-23-2632 --&gt; 74.088</v>
      </c>
      <c r="I946" s="13" t="str">
        <f>_xlfn.CONCAT(Sheet1!C946,"_",TEXT(Sheet1!K946, "m/d/yyyy"))</f>
        <v>Yangon_3/28/2019</v>
      </c>
      <c r="J946" s="13" t="str">
        <f>IF(Sheet1!I946=Sheet1!N946*0.05,"Valid","Error")</f>
        <v>Valid</v>
      </c>
      <c r="K946" s="13" t="str">
        <f>IF(Sheet1!N946=Sheet1!G946*Sheet1!H946,"True","False")</f>
        <v>True</v>
      </c>
      <c r="L946" s="13" t="b">
        <v>1</v>
      </c>
      <c r="M946" s="9" t="b">
        <f>ISNUMBER(Sheet1!J946)</f>
        <v>1</v>
      </c>
      <c r="N946" s="13" t="str">
        <f>IF(Sheet1!B946="A","Branch A",IF(Sheet1!B946="B","Branch B","Other Branch"))</f>
        <v>Branch A</v>
      </c>
      <c r="O946" s="13" t="str">
        <f>IF(Sheet1!M946="Credit card","Credit Payment","Other")</f>
        <v>Other</v>
      </c>
      <c r="P946" s="13" t="str">
        <f>IF(Sheet1!O946&gt;7,"Yes","No")</f>
        <v>No</v>
      </c>
    </row>
    <row r="947" spans="5:16">
      <c r="E947" s="13" t="str">
        <v>489</v>
      </c>
      <c r="F947" s="13" t="str">
        <v>1237</v>
      </c>
      <c r="G947" s="13" t="str">
        <v>82</v>
      </c>
      <c r="H947" s="13" t="str">
        <f>_xlfn.CONCAT(Sheet1!A947," --&gt; ",Sheet1!J947)</f>
        <v>489-82-1237 --&gt; 690.018</v>
      </c>
      <c r="I947" s="13" t="str">
        <f>_xlfn.CONCAT(Sheet1!C947,"_",TEXT(Sheet1!K947, "m/d/yyyy"))</f>
        <v>Yangon_1/5/2019</v>
      </c>
      <c r="J947" s="13" t="str">
        <f>IF(Sheet1!I947=Sheet1!N947*0.05,"Valid","Error")</f>
        <v>Valid</v>
      </c>
      <c r="K947" s="13" t="str">
        <f>IF(Sheet1!N947=Sheet1!G947*Sheet1!H947,"True","False")</f>
        <v>True</v>
      </c>
      <c r="L947" s="13" t="b">
        <v>1</v>
      </c>
      <c r="M947" s="9" t="b">
        <f>ISNUMBER(Sheet1!J947)</f>
        <v>1</v>
      </c>
      <c r="N947" s="13" t="str">
        <f>IF(Sheet1!B947="A","Branch A",IF(Sheet1!B947="B","Branch B","Other Branch"))</f>
        <v>Branch A</v>
      </c>
      <c r="O947" s="13" t="str">
        <f>IF(Sheet1!M947="Credit card","Credit Payment","Other")</f>
        <v>Credit Payment</v>
      </c>
      <c r="P947" s="13" t="str">
        <f>IF(Sheet1!O947&gt;7,"Yes","No")</f>
        <v>Yes</v>
      </c>
    </row>
    <row r="948" spans="5:16">
      <c r="E948" s="13" t="str">
        <v>859</v>
      </c>
      <c r="F948" s="13" t="str">
        <v>6048</v>
      </c>
      <c r="G948" s="13" t="str">
        <v>97</v>
      </c>
      <c r="H948" s="13" t="str">
        <f>_xlfn.CONCAT(Sheet1!A948," --&gt; ",Sheet1!J948)</f>
        <v>859-97-6048 --&gt; 176.925</v>
      </c>
      <c r="I948" s="13" t="str">
        <f>_xlfn.CONCAT(Sheet1!C948,"_",TEXT(Sheet1!K948, "m/d/yyyy"))</f>
        <v>Naypyitaw_3/26/2019</v>
      </c>
      <c r="J948" s="13" t="str">
        <f>IF(Sheet1!I948=Sheet1!N948*0.05,"Valid","Error")</f>
        <v>Valid</v>
      </c>
      <c r="K948" s="13" t="str">
        <f>IF(Sheet1!N948=Sheet1!G948*Sheet1!H948,"True","False")</f>
        <v>True</v>
      </c>
      <c r="L948" s="13" t="b">
        <v>1</v>
      </c>
      <c r="M948" s="9" t="b">
        <f>ISNUMBER(Sheet1!J948)</f>
        <v>1</v>
      </c>
      <c r="N948" s="13" t="str">
        <f>IF(Sheet1!B948="A","Branch A",IF(Sheet1!B948="B","Branch B","Other Branch"))</f>
        <v>Other Branch</v>
      </c>
      <c r="O948" s="13" t="str">
        <f>IF(Sheet1!M948="Credit card","Credit Payment","Other")</f>
        <v>Credit Payment</v>
      </c>
      <c r="P948" s="13" t="str">
        <f>IF(Sheet1!O948&gt;7,"Yes","No")</f>
        <v>No</v>
      </c>
    </row>
    <row r="949" spans="5:16">
      <c r="E949" s="13" t="str">
        <v>676</v>
      </c>
      <c r="F949" s="13" t="str">
        <v>2200</v>
      </c>
      <c r="G949" s="13" t="str">
        <v>10</v>
      </c>
      <c r="H949" s="13" t="str">
        <f>_xlfn.CONCAT(Sheet1!A949," --&gt; ",Sheet1!J949)</f>
        <v>676-10-2200 --&gt; 56.469</v>
      </c>
      <c r="I949" s="13" t="str">
        <f>_xlfn.CONCAT(Sheet1!C949,"_",TEXT(Sheet1!K949, "m/d/yyyy"))</f>
        <v>Mandalay_2/3/2019</v>
      </c>
      <c r="J949" s="13" t="str">
        <f>IF(Sheet1!I949=Sheet1!N949*0.05,"Valid","Error")</f>
        <v>Valid</v>
      </c>
      <c r="K949" s="13" t="str">
        <f>IF(Sheet1!N949=Sheet1!G949*Sheet1!H949,"True","False")</f>
        <v>True</v>
      </c>
      <c r="L949" s="13" t="b">
        <v>1</v>
      </c>
      <c r="M949" s="9" t="b">
        <f>ISNUMBER(Sheet1!J949)</f>
        <v>1</v>
      </c>
      <c r="N949" s="13" t="str">
        <f>IF(Sheet1!B949="A","Branch A",IF(Sheet1!B949="B","Branch B","Other Branch"))</f>
        <v>Branch B</v>
      </c>
      <c r="O949" s="13" t="str">
        <f>IF(Sheet1!M949="Credit card","Credit Payment","Other")</f>
        <v>Other</v>
      </c>
      <c r="P949" s="13" t="str">
        <f>IF(Sheet1!O949&gt;7,"Yes","No")</f>
        <v>No</v>
      </c>
    </row>
    <row r="950" spans="5:16">
      <c r="E950" s="13" t="str">
        <v>373</v>
      </c>
      <c r="F950" s="13" t="str">
        <v>1424</v>
      </c>
      <c r="G950" s="13" t="str">
        <v>88</v>
      </c>
      <c r="H950" s="13" t="str">
        <f>_xlfn.CONCAT(Sheet1!A950," --&gt; ",Sheet1!J950)</f>
        <v>373-88-1424 --&gt; 188.0025</v>
      </c>
      <c r="I950" s="13" t="str">
        <f>_xlfn.CONCAT(Sheet1!C950,"_",TEXT(Sheet1!K950, "m/d/yyyy"))</f>
        <v>Naypyitaw_2/6/2019</v>
      </c>
      <c r="J950" s="13" t="str">
        <f>IF(Sheet1!I950=Sheet1!N950*0.05,"Valid","Error")</f>
        <v>Valid</v>
      </c>
      <c r="K950" s="13" t="str">
        <f>IF(Sheet1!N950=Sheet1!G950*Sheet1!H950,"True","False")</f>
        <v>True</v>
      </c>
      <c r="L950" s="13" t="b">
        <v>1</v>
      </c>
      <c r="M950" s="9" t="b">
        <f>ISNUMBER(Sheet1!J950)</f>
        <v>1</v>
      </c>
      <c r="N950" s="13" t="str">
        <f>IF(Sheet1!B950="A","Branch A",IF(Sheet1!B950="B","Branch B","Other Branch"))</f>
        <v>Other Branch</v>
      </c>
      <c r="O950" s="13" t="str">
        <f>IF(Sheet1!M950="Credit card","Credit Payment","Other")</f>
        <v>Other</v>
      </c>
      <c r="P950" s="13" t="str">
        <f>IF(Sheet1!O950&gt;7,"Yes","No")</f>
        <v>Yes</v>
      </c>
    </row>
    <row r="951" spans="5:16">
      <c r="E951" s="13" t="str">
        <v>365</v>
      </c>
      <c r="F951" s="13" t="str">
        <v>4334</v>
      </c>
      <c r="G951" s="13" t="str">
        <v>16</v>
      </c>
      <c r="H951" s="13" t="str">
        <f>_xlfn.CONCAT(Sheet1!A951," --&gt; ",Sheet1!J951)</f>
        <v>365-16-4334 --&gt; 222.012</v>
      </c>
      <c r="I951" s="13" t="str">
        <f>_xlfn.CONCAT(Sheet1!C951,"_",TEXT(Sheet1!K951, "m/d/yyyy"))</f>
        <v>Mandalay_2/24/2019</v>
      </c>
      <c r="J951" s="13" t="str">
        <f>IF(Sheet1!I951=Sheet1!N951*0.05,"Valid","Error")</f>
        <v>Valid</v>
      </c>
      <c r="K951" s="13" t="str">
        <f>IF(Sheet1!N951=Sheet1!G951*Sheet1!H951,"True","False")</f>
        <v>True</v>
      </c>
      <c r="L951" s="13" t="b">
        <v>1</v>
      </c>
      <c r="M951" s="9" t="b">
        <f>ISNUMBER(Sheet1!J951)</f>
        <v>1</v>
      </c>
      <c r="N951" s="13" t="str">
        <f>IF(Sheet1!B951="A","Branch A",IF(Sheet1!B951="B","Branch B","Other Branch"))</f>
        <v>Branch B</v>
      </c>
      <c r="O951" s="13" t="str">
        <f>IF(Sheet1!M951="Credit card","Credit Payment","Other")</f>
        <v>Other</v>
      </c>
      <c r="P951" s="13" t="str">
        <f>IF(Sheet1!O951&gt;7,"Yes","No")</f>
        <v>Yes</v>
      </c>
    </row>
    <row r="952" spans="5:16">
      <c r="E952" s="13" t="str">
        <v>503</v>
      </c>
      <c r="F952" s="13" t="str">
        <v>4385</v>
      </c>
      <c r="G952" s="13" t="str">
        <v>21</v>
      </c>
      <c r="H952" s="13" t="str">
        <f>_xlfn.CONCAT(Sheet1!A952," --&gt; ",Sheet1!J952)</f>
        <v>503-21-4385 --&gt; 125.7165</v>
      </c>
      <c r="I952" s="13" t="str">
        <f>_xlfn.CONCAT(Sheet1!C952,"_",TEXT(Sheet1!K952, "m/d/yyyy"))</f>
        <v>Mandalay_2/21/2019</v>
      </c>
      <c r="J952" s="13" t="str">
        <f>IF(Sheet1!I952=Sheet1!N952*0.05,"Valid","Error")</f>
        <v>Valid</v>
      </c>
      <c r="K952" s="13" t="str">
        <f>IF(Sheet1!N952=Sheet1!G952*Sheet1!H952,"True","False")</f>
        <v>True</v>
      </c>
      <c r="L952" s="13" t="b">
        <v>1</v>
      </c>
      <c r="M952" s="9" t="b">
        <f>ISNUMBER(Sheet1!J952)</f>
        <v>1</v>
      </c>
      <c r="N952" s="13" t="str">
        <f>IF(Sheet1!B952="A","Branch A",IF(Sheet1!B952="B","Branch B","Other Branch"))</f>
        <v>Branch B</v>
      </c>
      <c r="O952" s="13" t="str">
        <f>IF(Sheet1!M952="Credit card","Credit Payment","Other")</f>
        <v>Other</v>
      </c>
      <c r="P952" s="13" t="str">
        <f>IF(Sheet1!O952&gt;7,"Yes","No")</f>
        <v>Yes</v>
      </c>
    </row>
    <row r="953" spans="5:16">
      <c r="E953" s="13" t="str">
        <v>305</v>
      </c>
      <c r="F953" s="13" t="str">
        <v>2768</v>
      </c>
      <c r="G953" s="13" t="str">
        <v>89</v>
      </c>
      <c r="H953" s="13" t="str">
        <f>_xlfn.CONCAT(Sheet1!A953," --&gt; ",Sheet1!J953)</f>
        <v>305-89-2768 --&gt; 68.985</v>
      </c>
      <c r="I953" s="13" t="str">
        <f>_xlfn.CONCAT(Sheet1!C953,"_",TEXT(Sheet1!K953, "m/d/yyyy"))</f>
        <v>Mandalay_1/9/2019</v>
      </c>
      <c r="J953" s="13" t="str">
        <f>IF(Sheet1!I953=Sheet1!N953*0.05,"Valid","Error")</f>
        <v>Valid</v>
      </c>
      <c r="K953" s="13" t="str">
        <f>IF(Sheet1!N953=Sheet1!G953*Sheet1!H953,"True","False")</f>
        <v>True</v>
      </c>
      <c r="L953" s="13" t="b">
        <v>1</v>
      </c>
      <c r="M953" s="9" t="b">
        <f>ISNUMBER(Sheet1!J953)</f>
        <v>1</v>
      </c>
      <c r="N953" s="13" t="str">
        <f>IF(Sheet1!B953="A","Branch A",IF(Sheet1!B953="B","Branch B","Other Branch"))</f>
        <v>Branch B</v>
      </c>
      <c r="O953" s="13" t="str">
        <f>IF(Sheet1!M953="Credit card","Credit Payment","Other")</f>
        <v>Other</v>
      </c>
      <c r="P953" s="13" t="str">
        <f>IF(Sheet1!O953&gt;7,"Yes","No")</f>
        <v>No</v>
      </c>
    </row>
    <row r="954" spans="5:16">
      <c r="E954" s="13" t="str">
        <v>574</v>
      </c>
      <c r="F954" s="13" t="str">
        <v>1489</v>
      </c>
      <c r="G954" s="13" t="str">
        <v>80</v>
      </c>
      <c r="H954" s="13" t="str">
        <f>_xlfn.CONCAT(Sheet1!A954," --&gt; ",Sheet1!J954)</f>
        <v>574-80-1489 --&gt; 263.97</v>
      </c>
      <c r="I954" s="13" t="str">
        <f>_xlfn.CONCAT(Sheet1!C954,"_",TEXT(Sheet1!K954, "m/d/yyyy"))</f>
        <v>Mandalay_2/25/2019</v>
      </c>
      <c r="J954" s="13" t="str">
        <f>IF(Sheet1!I954=Sheet1!N954*0.05,"Valid","Error")</f>
        <v>Valid</v>
      </c>
      <c r="K954" s="13" t="str">
        <f>IF(Sheet1!N954=Sheet1!G954*Sheet1!H954,"True","False")</f>
        <v>True</v>
      </c>
      <c r="L954" s="13" t="b">
        <v>1</v>
      </c>
      <c r="M954" s="9" t="b">
        <f>ISNUMBER(Sheet1!J954)</f>
        <v>1</v>
      </c>
      <c r="N954" s="13" t="str">
        <f>IF(Sheet1!B954="A","Branch A",IF(Sheet1!B954="B","Branch B","Other Branch"))</f>
        <v>Branch B</v>
      </c>
      <c r="O954" s="13" t="str">
        <f>IF(Sheet1!M954="Credit card","Credit Payment","Other")</f>
        <v>Other</v>
      </c>
      <c r="P954" s="13" t="str">
        <f>IF(Sheet1!O954&gt;7,"Yes","No")</f>
        <v>Yes</v>
      </c>
    </row>
    <row r="955" spans="5:16">
      <c r="E955" s="13" t="str">
        <v>784</v>
      </c>
      <c r="F955" s="13" t="str">
        <v>0310</v>
      </c>
      <c r="G955" s="13" t="str">
        <v>08</v>
      </c>
      <c r="H955" s="13" t="str">
        <f>_xlfn.CONCAT(Sheet1!A955," --&gt; ",Sheet1!J955)</f>
        <v>784-08-0310 --&gt; 88.368</v>
      </c>
      <c r="I955" s="13" t="str">
        <f>_xlfn.CONCAT(Sheet1!C955,"_",TEXT(Sheet1!K955, "m/d/yyyy"))</f>
        <v>Naypyitaw_1/13/2019</v>
      </c>
      <c r="J955" s="13" t="str">
        <f>IF(Sheet1!I955=Sheet1!N955*0.05,"Valid","Error")</f>
        <v>Valid</v>
      </c>
      <c r="K955" s="13" t="str">
        <f>IF(Sheet1!N955=Sheet1!G955*Sheet1!H955,"True","False")</f>
        <v>True</v>
      </c>
      <c r="L955" s="13" t="b">
        <v>1</v>
      </c>
      <c r="M955" s="9" t="b">
        <f>ISNUMBER(Sheet1!J955)</f>
        <v>1</v>
      </c>
      <c r="N955" s="13" t="str">
        <f>IF(Sheet1!B955="A","Branch A",IF(Sheet1!B955="B","Branch B","Other Branch"))</f>
        <v>Other Branch</v>
      </c>
      <c r="O955" s="13" t="str">
        <f>IF(Sheet1!M955="Credit card","Credit Payment","Other")</f>
        <v>Other</v>
      </c>
      <c r="P955" s="13" t="str">
        <f>IF(Sheet1!O955&gt;7,"Yes","No")</f>
        <v>Yes</v>
      </c>
    </row>
    <row r="956" spans="5:16">
      <c r="E956" s="13" t="str">
        <v>200</v>
      </c>
      <c r="F956" s="13" t="str">
        <v>6154</v>
      </c>
      <c r="G956" s="13" t="str">
        <v>40</v>
      </c>
      <c r="H956" s="13" t="str">
        <f>_xlfn.CONCAT(Sheet1!A956," --&gt; ",Sheet1!J956)</f>
        <v>200-40-6154 --&gt; 415.233</v>
      </c>
      <c r="I956" s="13" t="str">
        <f>_xlfn.CONCAT(Sheet1!C956,"_",TEXT(Sheet1!K956, "m/d/yyyy"))</f>
        <v>Mandalay_2/9/2019</v>
      </c>
      <c r="J956" s="13" t="str">
        <f>IF(Sheet1!I956=Sheet1!N956*0.05,"Valid","Error")</f>
        <v>Valid</v>
      </c>
      <c r="K956" s="13" t="str">
        <f>IF(Sheet1!N956=Sheet1!G956*Sheet1!H956,"True","False")</f>
        <v>True</v>
      </c>
      <c r="L956" s="13" t="b">
        <v>1</v>
      </c>
      <c r="M956" s="9" t="b">
        <f>ISNUMBER(Sheet1!J956)</f>
        <v>1</v>
      </c>
      <c r="N956" s="13" t="str">
        <f>IF(Sheet1!B956="A","Branch A",IF(Sheet1!B956="B","Branch B","Other Branch"))</f>
        <v>Branch B</v>
      </c>
      <c r="O956" s="13" t="str">
        <f>IF(Sheet1!M956="Credit card","Credit Payment","Other")</f>
        <v>Other</v>
      </c>
      <c r="P956" s="13" t="str">
        <f>IF(Sheet1!O956&gt;7,"Yes","No")</f>
        <v>No</v>
      </c>
    </row>
    <row r="957" spans="5:16">
      <c r="E957" s="13" t="str">
        <v>846</v>
      </c>
      <c r="F957" s="13" t="str">
        <v>0341</v>
      </c>
      <c r="G957" s="13" t="str">
        <v>10</v>
      </c>
      <c r="H957" s="13" t="str">
        <f>_xlfn.CONCAT(Sheet1!A957," --&gt; ",Sheet1!J957)</f>
        <v>846-10-0341 --&gt; 312.8895</v>
      </c>
      <c r="I957" s="13" t="str">
        <f>_xlfn.CONCAT(Sheet1!C957,"_",TEXT(Sheet1!K957, "m/d/yyyy"))</f>
        <v>Yangon_1/6/2019</v>
      </c>
      <c r="J957" s="13" t="str">
        <f>IF(Sheet1!I957=Sheet1!N957*0.05,"Valid","Error")</f>
        <v>Valid</v>
      </c>
      <c r="K957" s="13" t="str">
        <f>IF(Sheet1!N957=Sheet1!G957*Sheet1!H957,"True","False")</f>
        <v>True</v>
      </c>
      <c r="L957" s="13" t="b">
        <v>1</v>
      </c>
      <c r="M957" s="9" t="b">
        <f>ISNUMBER(Sheet1!J957)</f>
        <v>1</v>
      </c>
      <c r="N957" s="13" t="str">
        <f>IF(Sheet1!B957="A","Branch A",IF(Sheet1!B957="B","Branch B","Other Branch"))</f>
        <v>Branch A</v>
      </c>
      <c r="O957" s="13" t="str">
        <f>IF(Sheet1!M957="Credit card","Credit Payment","Other")</f>
        <v>Other</v>
      </c>
      <c r="P957" s="13" t="str">
        <f>IF(Sheet1!O957&gt;7,"Yes","No")</f>
        <v>No</v>
      </c>
    </row>
    <row r="958" spans="5:16">
      <c r="E958" s="13" t="str">
        <v>577</v>
      </c>
      <c r="F958" s="13" t="str">
        <v>7579</v>
      </c>
      <c r="G958" s="13" t="str">
        <v>34</v>
      </c>
      <c r="H958" s="13" t="str">
        <f>_xlfn.CONCAT(Sheet1!A958," --&gt; ",Sheet1!J958)</f>
        <v>577-34-7579 --&gt; 477.1305</v>
      </c>
      <c r="I958" s="13" t="str">
        <f>_xlfn.CONCAT(Sheet1!C958,"_",TEXT(Sheet1!K958, "m/d/yyyy"))</f>
        <v>Naypyitaw_1/10/2019</v>
      </c>
      <c r="J958" s="13" t="str">
        <f>IF(Sheet1!I958=Sheet1!N958*0.05,"Valid","Error")</f>
        <v>Valid</v>
      </c>
      <c r="K958" s="13" t="str">
        <f>IF(Sheet1!N958=Sheet1!G958*Sheet1!H958,"True","False")</f>
        <v>True</v>
      </c>
      <c r="L958" s="13" t="b">
        <v>1</v>
      </c>
      <c r="M958" s="9" t="b">
        <f>ISNUMBER(Sheet1!J958)</f>
        <v>1</v>
      </c>
      <c r="N958" s="13" t="str">
        <f>IF(Sheet1!B958="A","Branch A",IF(Sheet1!B958="B","Branch B","Other Branch"))</f>
        <v>Other Branch</v>
      </c>
      <c r="O958" s="13" t="str">
        <f>IF(Sheet1!M958="Credit card","Credit Payment","Other")</f>
        <v>Other</v>
      </c>
      <c r="P958" s="13" t="str">
        <f>IF(Sheet1!O958&gt;7,"Yes","No")</f>
        <v>No</v>
      </c>
    </row>
    <row r="959" spans="5:16">
      <c r="E959" s="13" t="str">
        <v>430</v>
      </c>
      <c r="F959" s="13" t="str">
        <v>3888</v>
      </c>
      <c r="G959" s="13" t="str">
        <v>02</v>
      </c>
      <c r="H959" s="13" t="str">
        <f>_xlfn.CONCAT(Sheet1!A959," --&gt; ",Sheet1!J959)</f>
        <v>430-02-3888 --&gt; 289.926</v>
      </c>
      <c r="I959" s="13" t="str">
        <f>_xlfn.CONCAT(Sheet1!C959,"_",TEXT(Sheet1!K959, "m/d/yyyy"))</f>
        <v>Mandalay_2/7/2019</v>
      </c>
      <c r="J959" s="13" t="str">
        <f>IF(Sheet1!I959=Sheet1!N959*0.05,"Valid","Error")</f>
        <v>Valid</v>
      </c>
      <c r="K959" s="13" t="str">
        <f>IF(Sheet1!N959=Sheet1!G959*Sheet1!H959,"True","False")</f>
        <v>True</v>
      </c>
      <c r="L959" s="13" t="b">
        <v>1</v>
      </c>
      <c r="M959" s="9" t="b">
        <f>ISNUMBER(Sheet1!J959)</f>
        <v>1</v>
      </c>
      <c r="N959" s="13" t="str">
        <f>IF(Sheet1!B959="A","Branch A",IF(Sheet1!B959="B","Branch B","Other Branch"))</f>
        <v>Branch B</v>
      </c>
      <c r="O959" s="13" t="str">
        <f>IF(Sheet1!M959="Credit card","Credit Payment","Other")</f>
        <v>Other</v>
      </c>
      <c r="P959" s="13" t="str">
        <f>IF(Sheet1!O959&gt;7,"Yes","No")</f>
        <v>Yes</v>
      </c>
    </row>
    <row r="960" spans="5:16">
      <c r="E960" s="13" t="str">
        <v>867</v>
      </c>
      <c r="F960" s="13" t="str">
        <v>1948</v>
      </c>
      <c r="G960" s="13" t="str">
        <v>47</v>
      </c>
      <c r="H960" s="13" t="str">
        <f>_xlfn.CONCAT(Sheet1!A960," --&gt; ",Sheet1!J960)</f>
        <v>867-47-1948 --&gt; 165.9</v>
      </c>
      <c r="I960" s="13" t="str">
        <f>_xlfn.CONCAT(Sheet1!C960,"_",TEXT(Sheet1!K960, "m/d/yyyy"))</f>
        <v>Naypyitaw_1/9/2019</v>
      </c>
      <c r="J960" s="13" t="str">
        <f>IF(Sheet1!I960=Sheet1!N960*0.05,"Valid","Error")</f>
        <v>Valid</v>
      </c>
      <c r="K960" s="13" t="str">
        <f>IF(Sheet1!N960=Sheet1!G960*Sheet1!H960,"True","False")</f>
        <v>True</v>
      </c>
      <c r="L960" s="13" t="b">
        <v>1</v>
      </c>
      <c r="M960" s="9" t="b">
        <f>ISNUMBER(Sheet1!J960)</f>
        <v>1</v>
      </c>
      <c r="N960" s="13" t="str">
        <f>IF(Sheet1!B960="A","Branch A",IF(Sheet1!B960="B","Branch B","Other Branch"))</f>
        <v>Other Branch</v>
      </c>
      <c r="O960" s="13" t="str">
        <f>IF(Sheet1!M960="Credit card","Credit Payment","Other")</f>
        <v>Other</v>
      </c>
      <c r="P960" s="13" t="str">
        <f>IF(Sheet1!O960&gt;7,"Yes","No")</f>
        <v>Yes</v>
      </c>
    </row>
    <row r="961" spans="5:16">
      <c r="E961" s="13" t="str">
        <v>384</v>
      </c>
      <c r="F961" s="13" t="str">
        <v>6655</v>
      </c>
      <c r="G961" s="13" t="str">
        <v>59</v>
      </c>
      <c r="H961" s="13" t="str">
        <f>_xlfn.CONCAT(Sheet1!A961," --&gt; ",Sheet1!J961)</f>
        <v>384-59-6655 --&gt; 932.337</v>
      </c>
      <c r="I961" s="13" t="str">
        <f>_xlfn.CONCAT(Sheet1!C961,"_",TEXT(Sheet1!K961, "m/d/yyyy"))</f>
        <v>Yangon_2/19/2019</v>
      </c>
      <c r="J961" s="13" t="str">
        <f>IF(Sheet1!I961=Sheet1!N961*0.05,"Valid","Error")</f>
        <v>Valid</v>
      </c>
      <c r="K961" s="13" t="str">
        <f>IF(Sheet1!N961=Sheet1!G961*Sheet1!H961,"True","False")</f>
        <v>True</v>
      </c>
      <c r="L961" s="13" t="b">
        <v>1</v>
      </c>
      <c r="M961" s="9" t="b">
        <f>ISNUMBER(Sheet1!J961)</f>
        <v>1</v>
      </c>
      <c r="N961" s="13" t="str">
        <f>IF(Sheet1!B961="A","Branch A",IF(Sheet1!B961="B","Branch B","Other Branch"))</f>
        <v>Branch A</v>
      </c>
      <c r="O961" s="13" t="str">
        <f>IF(Sheet1!M961="Credit card","Credit Payment","Other")</f>
        <v>Other</v>
      </c>
      <c r="P961" s="13" t="str">
        <f>IF(Sheet1!O961&gt;7,"Yes","No")</f>
        <v>Yes</v>
      </c>
    </row>
    <row r="962" spans="5:16">
      <c r="E962" s="13" t="str">
        <v>256</v>
      </c>
      <c r="F962" s="13" t="str">
        <v>3609</v>
      </c>
      <c r="G962" s="13" t="str">
        <v>58</v>
      </c>
      <c r="H962" s="13" t="str">
        <f>_xlfn.CONCAT(Sheet1!A962," --&gt; ",Sheet1!J962)</f>
        <v>256-58-3609 --&gt; 96.579</v>
      </c>
      <c r="I962" s="13" t="str">
        <f>_xlfn.CONCAT(Sheet1!C962,"_",TEXT(Sheet1!K962, "m/d/yyyy"))</f>
        <v>Naypyitaw_3/18/2019</v>
      </c>
      <c r="J962" s="13" t="str">
        <f>IF(Sheet1!I962=Sheet1!N962*0.05,"Valid","Error")</f>
        <v>Valid</v>
      </c>
      <c r="K962" s="13" t="str">
        <f>IF(Sheet1!N962=Sheet1!G962*Sheet1!H962,"True","False")</f>
        <v>True</v>
      </c>
      <c r="L962" s="13" t="b">
        <v>1</v>
      </c>
      <c r="M962" s="9" t="b">
        <f>ISNUMBER(Sheet1!J962)</f>
        <v>1</v>
      </c>
      <c r="N962" s="13" t="str">
        <f>IF(Sheet1!B962="A","Branch A",IF(Sheet1!B962="B","Branch B","Other Branch"))</f>
        <v>Other Branch</v>
      </c>
      <c r="O962" s="13" t="str">
        <f>IF(Sheet1!M962="Credit card","Credit Payment","Other")</f>
        <v>Other</v>
      </c>
      <c r="P962" s="13" t="str">
        <f>IF(Sheet1!O962&gt;7,"Yes","No")</f>
        <v>Yes</v>
      </c>
    </row>
    <row r="963" spans="5:16">
      <c r="E963" s="13" t="str">
        <v>324</v>
      </c>
      <c r="F963" s="13" t="str">
        <v>3863</v>
      </c>
      <c r="G963" s="13" t="str">
        <v>92</v>
      </c>
      <c r="H963" s="13" t="str">
        <f>_xlfn.CONCAT(Sheet1!A963," --&gt; ",Sheet1!J963)</f>
        <v>324-92-3863 --&gt; 43.869</v>
      </c>
      <c r="I963" s="13" t="str">
        <f>_xlfn.CONCAT(Sheet1!C963,"_",TEXT(Sheet1!K963, "m/d/yyyy"))</f>
        <v>Yangon_2/5/2019</v>
      </c>
      <c r="J963" s="13" t="str">
        <f>IF(Sheet1!I963=Sheet1!N963*0.05,"Valid","Error")</f>
        <v>Valid</v>
      </c>
      <c r="K963" s="13" t="str">
        <f>IF(Sheet1!N963=Sheet1!G963*Sheet1!H963,"True","False")</f>
        <v>True</v>
      </c>
      <c r="L963" s="13" t="b">
        <v>1</v>
      </c>
      <c r="M963" s="9" t="b">
        <f>ISNUMBER(Sheet1!J963)</f>
        <v>1</v>
      </c>
      <c r="N963" s="13" t="str">
        <f>IF(Sheet1!B963="A","Branch A",IF(Sheet1!B963="B","Branch B","Other Branch"))</f>
        <v>Branch A</v>
      </c>
      <c r="O963" s="13" t="str">
        <f>IF(Sheet1!M963="Credit card","Credit Payment","Other")</f>
        <v>Other</v>
      </c>
      <c r="P963" s="13" t="str">
        <f>IF(Sheet1!O963&gt;7,"Yes","No")</f>
        <v>Yes</v>
      </c>
    </row>
    <row r="964" spans="5:16">
      <c r="E964" s="13" t="str">
        <v>593</v>
      </c>
      <c r="F964" s="13" t="str">
        <v>5916</v>
      </c>
      <c r="G964" s="13" t="str">
        <v>08</v>
      </c>
      <c r="H964" s="13" t="str">
        <f>_xlfn.CONCAT(Sheet1!A964," --&gt; ",Sheet1!J964)</f>
        <v>593-08-5916 --&gt; 16.275</v>
      </c>
      <c r="I964" s="13" t="str">
        <f>_xlfn.CONCAT(Sheet1!C964,"_",TEXT(Sheet1!K964, "m/d/yyyy"))</f>
        <v>Yangon_3/19/2019</v>
      </c>
      <c r="J964" s="13" t="str">
        <f>IF(Sheet1!I964=Sheet1!N964*0.05,"Valid","Error")</f>
        <v>Valid</v>
      </c>
      <c r="K964" s="13" t="str">
        <f>IF(Sheet1!N964=Sheet1!G964*Sheet1!H964,"True","False")</f>
        <v>True</v>
      </c>
      <c r="L964" s="13" t="b">
        <v>1</v>
      </c>
      <c r="M964" s="9" t="b">
        <f>ISNUMBER(Sheet1!J964)</f>
        <v>1</v>
      </c>
      <c r="N964" s="13" t="str">
        <f>IF(Sheet1!B964="A","Branch A",IF(Sheet1!B964="B","Branch B","Other Branch"))</f>
        <v>Branch A</v>
      </c>
      <c r="O964" s="13" t="str">
        <f>IF(Sheet1!M964="Credit card","Credit Payment","Other")</f>
        <v>Credit Payment</v>
      </c>
      <c r="P964" s="13" t="str">
        <f>IF(Sheet1!O964&gt;7,"Yes","No")</f>
        <v>Yes</v>
      </c>
    </row>
    <row r="965" spans="5:16">
      <c r="E965" s="13" t="str">
        <v>364</v>
      </c>
      <c r="F965" s="13" t="str">
        <v>2972</v>
      </c>
      <c r="G965" s="13" t="str">
        <v>34</v>
      </c>
      <c r="H965" s="13" t="str">
        <f>_xlfn.CONCAT(Sheet1!A965," --&gt; ",Sheet1!J965)</f>
        <v>364-34-2972 --&gt; 304.983</v>
      </c>
      <c r="I965" s="13" t="str">
        <f>_xlfn.CONCAT(Sheet1!C965,"_",TEXT(Sheet1!K965, "m/d/yyyy"))</f>
        <v>Naypyitaw_3/30/2019</v>
      </c>
      <c r="J965" s="13" t="str">
        <f>IF(Sheet1!I965=Sheet1!N965*0.05,"Valid","Error")</f>
        <v>Valid</v>
      </c>
      <c r="K965" s="13" t="str">
        <f>IF(Sheet1!N965=Sheet1!G965*Sheet1!H965,"True","False")</f>
        <v>True</v>
      </c>
      <c r="L965" s="13" t="b">
        <v>1</v>
      </c>
      <c r="M965" s="9" t="b">
        <f>ISNUMBER(Sheet1!J965)</f>
        <v>1</v>
      </c>
      <c r="N965" s="13" t="str">
        <f>IF(Sheet1!B965="A","Branch A",IF(Sheet1!B965="B","Branch B","Other Branch"))</f>
        <v>Other Branch</v>
      </c>
      <c r="O965" s="13" t="str">
        <f>IF(Sheet1!M965="Credit card","Credit Payment","Other")</f>
        <v>Other</v>
      </c>
      <c r="P965" s="13" t="str">
        <f>IF(Sheet1!O965&gt;7,"Yes","No")</f>
        <v>No</v>
      </c>
    </row>
    <row r="966" spans="5:16">
      <c r="E966" s="13" t="str">
        <v>794</v>
      </c>
      <c r="F966" s="13" t="str">
        <v>3736</v>
      </c>
      <c r="G966" s="13" t="str">
        <v>42</v>
      </c>
      <c r="H966" s="13" t="str">
        <f>_xlfn.CONCAT(Sheet1!A966," --&gt; ",Sheet1!J966)</f>
        <v>794-42-3736 --&gt; 69.993</v>
      </c>
      <c r="I966" s="13" t="str">
        <f>_xlfn.CONCAT(Sheet1!C966,"_",TEXT(Sheet1!K966, "m/d/yyyy"))</f>
        <v>Mandalay_1/26/2019</v>
      </c>
      <c r="J966" s="13" t="str">
        <f>IF(Sheet1!I966=Sheet1!N966*0.05,"Valid","Error")</f>
        <v>Valid</v>
      </c>
      <c r="K966" s="13" t="str">
        <f>IF(Sheet1!N966=Sheet1!G966*Sheet1!H966,"True","False")</f>
        <v>True</v>
      </c>
      <c r="L966" s="13" t="b">
        <v>1</v>
      </c>
      <c r="M966" s="9" t="b">
        <f>ISNUMBER(Sheet1!J966)</f>
        <v>1</v>
      </c>
      <c r="N966" s="13" t="str">
        <f>IF(Sheet1!B966="A","Branch A",IF(Sheet1!B966="B","Branch B","Other Branch"))</f>
        <v>Branch B</v>
      </c>
      <c r="O966" s="13" t="str">
        <f>IF(Sheet1!M966="Credit card","Credit Payment","Other")</f>
        <v>Credit Payment</v>
      </c>
      <c r="P966" s="13" t="str">
        <f>IF(Sheet1!O966&gt;7,"Yes","No")</f>
        <v>No</v>
      </c>
    </row>
    <row r="967" spans="5:16">
      <c r="E967" s="13" t="str">
        <v>172</v>
      </c>
      <c r="F967" s="13" t="str">
        <v>8274</v>
      </c>
      <c r="G967" s="13" t="str">
        <v>42</v>
      </c>
      <c r="H967" s="13" t="str">
        <f>_xlfn.CONCAT(Sheet1!A967," --&gt; ",Sheet1!J967)</f>
        <v>172-42-8274 --&gt; 80.367</v>
      </c>
      <c r="I967" s="13" t="str">
        <f>_xlfn.CONCAT(Sheet1!C967,"_",TEXT(Sheet1!K967, "m/d/yyyy"))</f>
        <v>Mandalay_3/2/2019</v>
      </c>
      <c r="J967" s="13" t="str">
        <f>IF(Sheet1!I967=Sheet1!N967*0.05,"Valid","Error")</f>
        <v>Valid</v>
      </c>
      <c r="K967" s="13" t="str">
        <f>IF(Sheet1!N967=Sheet1!G967*Sheet1!H967,"True","False")</f>
        <v>True</v>
      </c>
      <c r="L967" s="13" t="b">
        <v>1</v>
      </c>
      <c r="M967" s="9" t="b">
        <f>ISNUMBER(Sheet1!J967)</f>
        <v>1</v>
      </c>
      <c r="N967" s="13" t="str">
        <f>IF(Sheet1!B967="A","Branch A",IF(Sheet1!B967="B","Branch B","Other Branch"))</f>
        <v>Branch B</v>
      </c>
      <c r="O967" s="13" t="str">
        <f>IF(Sheet1!M967="Credit card","Credit Payment","Other")</f>
        <v>Credit Payment</v>
      </c>
      <c r="P967" s="13" t="str">
        <f>IF(Sheet1!O967&gt;7,"Yes","No")</f>
        <v>No</v>
      </c>
    </row>
    <row r="968" spans="5:16">
      <c r="E968" s="13" t="str">
        <v>558</v>
      </c>
      <c r="F968" s="13" t="str">
        <v>5016</v>
      </c>
      <c r="G968" s="13" t="str">
        <v>60</v>
      </c>
      <c r="H968" s="13" t="str">
        <f>_xlfn.CONCAT(Sheet1!A968," --&gt; ",Sheet1!J968)</f>
        <v>558-60-5016 --&gt; 314.685</v>
      </c>
      <c r="I968" s="13" t="str">
        <f>_xlfn.CONCAT(Sheet1!C968,"_",TEXT(Sheet1!K968, "m/d/yyyy"))</f>
        <v>Yangon_3/4/2019</v>
      </c>
      <c r="J968" s="13" t="str">
        <f>IF(Sheet1!I968=Sheet1!N968*0.05,"Valid","Error")</f>
        <v>Valid</v>
      </c>
      <c r="K968" s="13" t="str">
        <f>IF(Sheet1!N968=Sheet1!G968*Sheet1!H968,"True","False")</f>
        <v>True</v>
      </c>
      <c r="L968" s="13" t="b">
        <v>1</v>
      </c>
      <c r="M968" s="9" t="b">
        <f>ISNUMBER(Sheet1!J968)</f>
        <v>1</v>
      </c>
      <c r="N968" s="13" t="str">
        <f>IF(Sheet1!B968="A","Branch A",IF(Sheet1!B968="B","Branch B","Other Branch"))</f>
        <v>Branch A</v>
      </c>
      <c r="O968" s="13" t="str">
        <f>IF(Sheet1!M968="Credit card","Credit Payment","Other")</f>
        <v>Other</v>
      </c>
      <c r="P968" s="13" t="str">
        <f>IF(Sheet1!O968&gt;7,"Yes","No")</f>
        <v>Yes</v>
      </c>
    </row>
    <row r="969" spans="5:16">
      <c r="E969" s="13" t="str">
        <v>195</v>
      </c>
      <c r="F969" s="13" t="str">
        <v>0432</v>
      </c>
      <c r="G969" s="13" t="str">
        <v>06</v>
      </c>
      <c r="H969" s="13" t="str">
        <f>_xlfn.CONCAT(Sheet1!A969," --&gt; ",Sheet1!J969)</f>
        <v>195-06-0432 --&gt; 255.1815</v>
      </c>
      <c r="I969" s="13" t="str">
        <f>_xlfn.CONCAT(Sheet1!C969,"_",TEXT(Sheet1!K969, "m/d/yyyy"))</f>
        <v>Yangon_1/13/2019</v>
      </c>
      <c r="J969" s="13" t="str">
        <f>IF(Sheet1!I969=Sheet1!N969*0.05,"Valid","Error")</f>
        <v>Valid</v>
      </c>
      <c r="K969" s="13" t="str">
        <f>IF(Sheet1!N969=Sheet1!G969*Sheet1!H969,"True","False")</f>
        <v>True</v>
      </c>
      <c r="L969" s="13" t="b">
        <v>1</v>
      </c>
      <c r="M969" s="9" t="b">
        <f>ISNUMBER(Sheet1!J969)</f>
        <v>1</v>
      </c>
      <c r="N969" s="13" t="str">
        <f>IF(Sheet1!B969="A","Branch A",IF(Sheet1!B969="B","Branch B","Other Branch"))</f>
        <v>Branch A</v>
      </c>
      <c r="O969" s="13" t="str">
        <f>IF(Sheet1!M969="Credit card","Credit Payment","Other")</f>
        <v>Credit Payment</v>
      </c>
      <c r="P969" s="13" t="str">
        <f>IF(Sheet1!O969&gt;7,"Yes","No")</f>
        <v>Yes</v>
      </c>
    </row>
    <row r="970" spans="5:16">
      <c r="E970" s="13" t="str">
        <v>605</v>
      </c>
      <c r="F970" s="13" t="str">
        <v>2706</v>
      </c>
      <c r="G970" s="13" t="str">
        <v>03</v>
      </c>
      <c r="H970" s="13" t="str">
        <f>_xlfn.CONCAT(Sheet1!A970," --&gt; ",Sheet1!J970)</f>
        <v>605-03-2706 --&gt; 49.77</v>
      </c>
      <c r="I970" s="13" t="str">
        <f>_xlfn.CONCAT(Sheet1!C970,"_",TEXT(Sheet1!K970, "m/d/yyyy"))</f>
        <v>Yangon_3/25/2019</v>
      </c>
      <c r="J970" s="13" t="str">
        <f>IF(Sheet1!I970=Sheet1!N970*0.05,"Valid","Error")</f>
        <v>Valid</v>
      </c>
      <c r="K970" s="13" t="str">
        <f>IF(Sheet1!N970=Sheet1!G970*Sheet1!H970,"True","False")</f>
        <v>True</v>
      </c>
      <c r="L970" s="13" t="b">
        <v>1</v>
      </c>
      <c r="M970" s="9" t="b">
        <f>ISNUMBER(Sheet1!J970)</f>
        <v>1</v>
      </c>
      <c r="N970" s="13" t="str">
        <f>IF(Sheet1!B970="A","Branch A",IF(Sheet1!B970="B","Branch B","Other Branch"))</f>
        <v>Branch A</v>
      </c>
      <c r="O970" s="13" t="str">
        <f>IF(Sheet1!M970="Credit card","Credit Payment","Other")</f>
        <v>Other</v>
      </c>
      <c r="P970" s="13" t="str">
        <f>IF(Sheet1!O970&gt;7,"Yes","No")</f>
        <v>Yes</v>
      </c>
    </row>
    <row r="971" spans="5:16">
      <c r="E971" s="13" t="str">
        <v>214</v>
      </c>
      <c r="F971" s="13" t="str">
        <v>2776</v>
      </c>
      <c r="G971" s="13" t="str">
        <v>30</v>
      </c>
      <c r="H971" s="13" t="str">
        <f>_xlfn.CONCAT(Sheet1!A971," --&gt; ",Sheet1!J971)</f>
        <v>214-30-2776 --&gt; 181.0725</v>
      </c>
      <c r="I971" s="13" t="str">
        <f>_xlfn.CONCAT(Sheet1!C971,"_",TEXT(Sheet1!K971, "m/d/yyyy"))</f>
        <v>Mandalay_3/11/2019</v>
      </c>
      <c r="J971" s="13" t="str">
        <f>IF(Sheet1!I971=Sheet1!N971*0.05,"Valid","Error")</f>
        <v>Valid</v>
      </c>
      <c r="K971" s="13" t="str">
        <f>IF(Sheet1!N971=Sheet1!G971*Sheet1!H971,"True","False")</f>
        <v>True</v>
      </c>
      <c r="L971" s="13" t="b">
        <v>1</v>
      </c>
      <c r="M971" s="9" t="b">
        <f>ISNUMBER(Sheet1!J971)</f>
        <v>1</v>
      </c>
      <c r="N971" s="13" t="str">
        <f>IF(Sheet1!B971="A","Branch A",IF(Sheet1!B971="B","Branch B","Other Branch"))</f>
        <v>Branch B</v>
      </c>
      <c r="O971" s="13" t="str">
        <f>IF(Sheet1!M971="Credit card","Credit Payment","Other")</f>
        <v>Credit Payment</v>
      </c>
      <c r="P971" s="13" t="str">
        <f>IF(Sheet1!O971&gt;7,"Yes","No")</f>
        <v>Yes</v>
      </c>
    </row>
    <row r="972" spans="5:16">
      <c r="E972" s="13" t="str">
        <v>746</v>
      </c>
      <c r="F972" s="13" t="str">
        <v>1077</v>
      </c>
      <c r="G972" s="13" t="str">
        <v>04</v>
      </c>
      <c r="H972" s="13" t="str">
        <f>_xlfn.CONCAT(Sheet1!A972," --&gt; ",Sheet1!J972)</f>
        <v>746-04-1077 --&gt; 888.615</v>
      </c>
      <c r="I972" s="13" t="str">
        <f>_xlfn.CONCAT(Sheet1!C972,"_",TEXT(Sheet1!K972, "m/d/yyyy"))</f>
        <v>Mandalay_1/1/2019</v>
      </c>
      <c r="J972" s="13" t="str">
        <f>IF(Sheet1!I972=Sheet1!N972*0.05,"Valid","Error")</f>
        <v>Valid</v>
      </c>
      <c r="K972" s="13" t="str">
        <f>IF(Sheet1!N972=Sheet1!G972*Sheet1!H972,"True","False")</f>
        <v>True</v>
      </c>
      <c r="L972" s="13" t="b">
        <v>1</v>
      </c>
      <c r="M972" s="9" t="b">
        <f>ISNUMBER(Sheet1!J972)</f>
        <v>1</v>
      </c>
      <c r="N972" s="13" t="str">
        <f>IF(Sheet1!B972="A","Branch A",IF(Sheet1!B972="B","Branch B","Other Branch"))</f>
        <v>Branch B</v>
      </c>
      <c r="O972" s="13" t="str">
        <f>IF(Sheet1!M972="Credit card","Credit Payment","Other")</f>
        <v>Credit Payment</v>
      </c>
      <c r="P972" s="13" t="str">
        <f>IF(Sheet1!O972&gt;7,"Yes","No")</f>
        <v>Yes</v>
      </c>
    </row>
    <row r="973" spans="5:16">
      <c r="E973" s="13" t="str">
        <v>448</v>
      </c>
      <c r="F973" s="13" t="str">
        <v>8700</v>
      </c>
      <c r="G973" s="13" t="str">
        <v>34</v>
      </c>
      <c r="H973" s="13" t="str">
        <f>_xlfn.CONCAT(Sheet1!A973," --&gt; ",Sheet1!J973)</f>
        <v>448-34-8700 --&gt; 271.2885</v>
      </c>
      <c r="I973" s="13" t="str">
        <f>_xlfn.CONCAT(Sheet1!C973,"_",TEXT(Sheet1!K973, "m/d/yyyy"))</f>
        <v>Mandalay_2/10/2019</v>
      </c>
      <c r="J973" s="13" t="str">
        <f>IF(Sheet1!I973=Sheet1!N973*0.05,"Valid","Error")</f>
        <v>Valid</v>
      </c>
      <c r="K973" s="13" t="str">
        <f>IF(Sheet1!N973=Sheet1!G973*Sheet1!H973,"True","False")</f>
        <v>True</v>
      </c>
      <c r="L973" s="13" t="b">
        <v>1</v>
      </c>
      <c r="M973" s="9" t="b">
        <f>ISNUMBER(Sheet1!J973)</f>
        <v>1</v>
      </c>
      <c r="N973" s="13" t="str">
        <f>IF(Sheet1!B973="A","Branch A",IF(Sheet1!B973="B","Branch B","Other Branch"))</f>
        <v>Branch B</v>
      </c>
      <c r="O973" s="13" t="str">
        <f>IF(Sheet1!M973="Credit card","Credit Payment","Other")</f>
        <v>Other</v>
      </c>
      <c r="P973" s="13" t="str">
        <f>IF(Sheet1!O973&gt;7,"Yes","No")</f>
        <v>No</v>
      </c>
    </row>
    <row r="974" spans="5:16">
      <c r="E974" s="13" t="str">
        <v>452</v>
      </c>
      <c r="F974" s="13" t="str">
        <v>8808</v>
      </c>
      <c r="G974" s="13" t="str">
        <v>04</v>
      </c>
      <c r="H974" s="13" t="str">
        <f>_xlfn.CONCAT(Sheet1!A974," --&gt; ",Sheet1!J974)</f>
        <v>452-04-8808 --&gt; 640.038</v>
      </c>
      <c r="I974" s="13" t="str">
        <f>_xlfn.CONCAT(Sheet1!C974,"_",TEXT(Sheet1!K974, "m/d/yyyy"))</f>
        <v>Mandalay_1/26/2019</v>
      </c>
      <c r="J974" s="13" t="str">
        <f>IF(Sheet1!I974=Sheet1!N974*0.05,"Valid","Error")</f>
        <v>Valid</v>
      </c>
      <c r="K974" s="13" t="str">
        <f>IF(Sheet1!N974=Sheet1!G974*Sheet1!H974,"True","False")</f>
        <v>True</v>
      </c>
      <c r="L974" s="13" t="b">
        <v>1</v>
      </c>
      <c r="M974" s="9" t="b">
        <f>ISNUMBER(Sheet1!J974)</f>
        <v>1</v>
      </c>
      <c r="N974" s="13" t="str">
        <f>IF(Sheet1!B974="A","Branch A",IF(Sheet1!B974="B","Branch B","Other Branch"))</f>
        <v>Branch B</v>
      </c>
      <c r="O974" s="13" t="str">
        <f>IF(Sheet1!M974="Credit card","Credit Payment","Other")</f>
        <v>Other</v>
      </c>
      <c r="P974" s="13" t="str">
        <f>IF(Sheet1!O974&gt;7,"Yes","No")</f>
        <v>No</v>
      </c>
    </row>
    <row r="975" spans="5:16">
      <c r="E975" s="13" t="str">
        <v>531</v>
      </c>
      <c r="F975" s="13" t="str">
        <v>4728</v>
      </c>
      <c r="G975" s="13" t="str">
        <v>56</v>
      </c>
      <c r="H975" s="13" t="str">
        <f>_xlfn.CONCAT(Sheet1!A975," --&gt; ",Sheet1!J975)</f>
        <v>531-56-4728 --&gt; 252.252</v>
      </c>
      <c r="I975" s="13" t="str">
        <f>_xlfn.CONCAT(Sheet1!C975,"_",TEXT(Sheet1!K975, "m/d/yyyy"))</f>
        <v>Yangon_2/11/2019</v>
      </c>
      <c r="J975" s="13" t="str">
        <f>IF(Sheet1!I975=Sheet1!N975*0.05,"Valid","Error")</f>
        <v>Valid</v>
      </c>
      <c r="K975" s="13" t="str">
        <f>IF(Sheet1!N975=Sheet1!G975*Sheet1!H975,"True","False")</f>
        <v>True</v>
      </c>
      <c r="L975" s="13" t="b">
        <v>1</v>
      </c>
      <c r="M975" s="9" t="b">
        <f>ISNUMBER(Sheet1!J975)</f>
        <v>1</v>
      </c>
      <c r="N975" s="13" t="str">
        <f>IF(Sheet1!B975="A","Branch A",IF(Sheet1!B975="B","Branch B","Other Branch"))</f>
        <v>Branch A</v>
      </c>
      <c r="O975" s="13" t="str">
        <f>IF(Sheet1!M975="Credit card","Credit Payment","Other")</f>
        <v>Other</v>
      </c>
      <c r="P975" s="13" t="str">
        <f>IF(Sheet1!O975&gt;7,"Yes","No")</f>
        <v>No</v>
      </c>
    </row>
    <row r="976" spans="5:16">
      <c r="E976" s="13" t="str">
        <v>744</v>
      </c>
      <c r="F976" s="13" t="str">
        <v>9138</v>
      </c>
      <c r="G976" s="13" t="str">
        <v>82</v>
      </c>
      <c r="H976" s="13" t="str">
        <f>_xlfn.CONCAT(Sheet1!A976," --&gt; ",Sheet1!J976)</f>
        <v>744-82-9138 --&gt; 180.873</v>
      </c>
      <c r="I976" s="13" t="str">
        <f>_xlfn.CONCAT(Sheet1!C976,"_",TEXT(Sheet1!K976, "m/d/yyyy"))</f>
        <v>Naypyitaw_2/7/2019</v>
      </c>
      <c r="J976" s="13" t="str">
        <f>IF(Sheet1!I976=Sheet1!N976*0.05,"Valid","Error")</f>
        <v>Valid</v>
      </c>
      <c r="K976" s="13" t="str">
        <f>IF(Sheet1!N976=Sheet1!G976*Sheet1!H976,"True","False")</f>
        <v>True</v>
      </c>
      <c r="L976" s="13" t="b">
        <v>1</v>
      </c>
      <c r="M976" s="9" t="b">
        <f>ISNUMBER(Sheet1!J976)</f>
        <v>1</v>
      </c>
      <c r="N976" s="13" t="str">
        <f>IF(Sheet1!B976="A","Branch A",IF(Sheet1!B976="B","Branch B","Other Branch"))</f>
        <v>Other Branch</v>
      </c>
      <c r="O976" s="13" t="str">
        <f>IF(Sheet1!M976="Credit card","Credit Payment","Other")</f>
        <v>Other</v>
      </c>
      <c r="P976" s="13" t="str">
        <f>IF(Sheet1!O976&gt;7,"Yes","No")</f>
        <v>Yes</v>
      </c>
    </row>
    <row r="977" spans="5:16">
      <c r="E977" s="13" t="str">
        <v>883</v>
      </c>
      <c r="F977" s="13" t="str">
        <v>1285</v>
      </c>
      <c r="G977" s="13" t="str">
        <v>69</v>
      </c>
      <c r="H977" s="13" t="str">
        <f>_xlfn.CONCAT(Sheet1!A977," --&gt; ",Sheet1!J977)</f>
        <v>883-69-1285 --&gt; 104.832</v>
      </c>
      <c r="I977" s="13" t="str">
        <f>_xlfn.CONCAT(Sheet1!C977,"_",TEXT(Sheet1!K977, "m/d/yyyy"))</f>
        <v>Mandalay_3/6/2019</v>
      </c>
      <c r="J977" s="13" t="str">
        <f>IF(Sheet1!I977=Sheet1!N977*0.05,"Valid","Error")</f>
        <v>Valid</v>
      </c>
      <c r="K977" s="13" t="str">
        <f>IF(Sheet1!N977=Sheet1!G977*Sheet1!H977,"True","False")</f>
        <v>True</v>
      </c>
      <c r="L977" s="13" t="b">
        <v>1</v>
      </c>
      <c r="M977" s="9" t="b">
        <f>ISNUMBER(Sheet1!J977)</f>
        <v>1</v>
      </c>
      <c r="N977" s="13" t="str">
        <f>IF(Sheet1!B977="A","Branch A",IF(Sheet1!B977="B","Branch B","Other Branch"))</f>
        <v>Branch B</v>
      </c>
      <c r="O977" s="13" t="str">
        <f>IF(Sheet1!M977="Credit card","Credit Payment","Other")</f>
        <v>Credit Payment</v>
      </c>
      <c r="P977" s="13" t="str">
        <f>IF(Sheet1!O977&gt;7,"Yes","No")</f>
        <v>No</v>
      </c>
    </row>
    <row r="978" spans="5:16">
      <c r="E978" s="13" t="str">
        <v>221</v>
      </c>
      <c r="F978" s="13" t="str">
        <v>5073</v>
      </c>
      <c r="G978" s="13" t="str">
        <v>25</v>
      </c>
      <c r="H978" s="13" t="str">
        <f>_xlfn.CONCAT(Sheet1!A978," --&gt; ",Sheet1!J978)</f>
        <v>221-25-5073 --&gt; 313.572</v>
      </c>
      <c r="I978" s="13" t="str">
        <f>_xlfn.CONCAT(Sheet1!C978,"_",TEXT(Sheet1!K978, "m/d/yyyy"))</f>
        <v>Yangon_3/4/2019</v>
      </c>
      <c r="J978" s="13" t="str">
        <f>IF(Sheet1!I978=Sheet1!N978*0.05,"Valid","Error")</f>
        <v>Valid</v>
      </c>
      <c r="K978" s="13" t="str">
        <f>IF(Sheet1!N978=Sheet1!G978*Sheet1!H978,"True","False")</f>
        <v>True</v>
      </c>
      <c r="L978" s="13" t="b">
        <v>1</v>
      </c>
      <c r="M978" s="9" t="b">
        <f>ISNUMBER(Sheet1!J978)</f>
        <v>1</v>
      </c>
      <c r="N978" s="13" t="str">
        <f>IF(Sheet1!B978="A","Branch A",IF(Sheet1!B978="B","Branch B","Other Branch"))</f>
        <v>Branch A</v>
      </c>
      <c r="O978" s="13" t="str">
        <f>IF(Sheet1!M978="Credit card","Credit Payment","Other")</f>
        <v>Other</v>
      </c>
      <c r="P978" s="13" t="str">
        <f>IF(Sheet1!O978&gt;7,"Yes","No")</f>
        <v>Yes</v>
      </c>
    </row>
    <row r="979" spans="5:16">
      <c r="E979" s="13" t="str">
        <v>518</v>
      </c>
      <c r="F979" s="13" t="str">
        <v>6847</v>
      </c>
      <c r="G979" s="13" t="str">
        <v>71</v>
      </c>
      <c r="H979" s="13" t="str">
        <f>_xlfn.CONCAT(Sheet1!A979," --&gt; ",Sheet1!J979)</f>
        <v>518-71-6847 --&gt; 167.58</v>
      </c>
      <c r="I979" s="13" t="str">
        <f>_xlfn.CONCAT(Sheet1!C979,"_",TEXT(Sheet1!K979, "m/d/yyyy"))</f>
        <v>Mandalay_2/26/2019</v>
      </c>
      <c r="J979" s="13" t="str">
        <f>IF(Sheet1!I979=Sheet1!N979*0.05,"Valid","Error")</f>
        <v>Valid</v>
      </c>
      <c r="K979" s="13" t="str">
        <f>IF(Sheet1!N979=Sheet1!G979*Sheet1!H979,"True","False")</f>
        <v>True</v>
      </c>
      <c r="L979" s="13" t="b">
        <v>1</v>
      </c>
      <c r="M979" s="9" t="b">
        <f>ISNUMBER(Sheet1!J979)</f>
        <v>1</v>
      </c>
      <c r="N979" s="13" t="str">
        <f>IF(Sheet1!B979="A","Branch A",IF(Sheet1!B979="B","Branch B","Other Branch"))</f>
        <v>Branch B</v>
      </c>
      <c r="O979" s="13" t="str">
        <f>IF(Sheet1!M979="Credit card","Credit Payment","Other")</f>
        <v>Other</v>
      </c>
      <c r="P979" s="13" t="str">
        <f>IF(Sheet1!O979&gt;7,"Yes","No")</f>
        <v>No</v>
      </c>
    </row>
    <row r="980" spans="5:16">
      <c r="E980" s="13" t="str">
        <v>156</v>
      </c>
      <c r="F980" s="13" t="str">
        <v>0370</v>
      </c>
      <c r="G980" s="13" t="str">
        <v>20</v>
      </c>
      <c r="H980" s="13" t="str">
        <f>_xlfn.CONCAT(Sheet1!A980," --&gt; ",Sheet1!J980)</f>
        <v>156-20-0370 --&gt; 26.7225</v>
      </c>
      <c r="I980" s="13" t="str">
        <f>_xlfn.CONCAT(Sheet1!C980,"_",TEXT(Sheet1!K980, "m/d/yyyy"))</f>
        <v>Mandalay_3/10/2019</v>
      </c>
      <c r="J980" s="13" t="str">
        <f>IF(Sheet1!I980=Sheet1!N980*0.05,"Valid","Error")</f>
        <v>Valid</v>
      </c>
      <c r="K980" s="13" t="str">
        <f>IF(Sheet1!N980=Sheet1!G980*Sheet1!H980,"True","False")</f>
        <v>True</v>
      </c>
      <c r="L980" s="13" t="b">
        <v>1</v>
      </c>
      <c r="M980" s="9" t="b">
        <f>ISNUMBER(Sheet1!J980)</f>
        <v>1</v>
      </c>
      <c r="N980" s="13" t="str">
        <f>IF(Sheet1!B980="A","Branch A",IF(Sheet1!B980="B","Branch B","Other Branch"))</f>
        <v>Branch B</v>
      </c>
      <c r="O980" s="13" t="str">
        <f>IF(Sheet1!M980="Credit card","Credit Payment","Other")</f>
        <v>Credit Payment</v>
      </c>
      <c r="P980" s="13" t="str">
        <f>IF(Sheet1!O980&gt;7,"Yes","No")</f>
        <v>No</v>
      </c>
    </row>
    <row r="981" spans="5:16">
      <c r="E981" s="13" t="str">
        <v>151</v>
      </c>
      <c r="F981" s="13" t="str">
        <v>7434</v>
      </c>
      <c r="G981" s="13" t="str">
        <v>33</v>
      </c>
      <c r="H981" s="13" t="str">
        <f>_xlfn.CONCAT(Sheet1!A981," --&gt; ",Sheet1!J981)</f>
        <v>151-33-7434 --&gt; 71.1585</v>
      </c>
      <c r="I981" s="13" t="str">
        <f>_xlfn.CONCAT(Sheet1!C981,"_",TEXT(Sheet1!K981, "m/d/yyyy"))</f>
        <v>Mandalay_2/4/2019</v>
      </c>
      <c r="J981" s="13" t="str">
        <f>IF(Sheet1!I981=Sheet1!N981*0.05,"Valid","Error")</f>
        <v>Valid</v>
      </c>
      <c r="K981" s="13" t="str">
        <f>IF(Sheet1!N981=Sheet1!G981*Sheet1!H981,"True","False")</f>
        <v>True</v>
      </c>
      <c r="L981" s="13" t="b">
        <v>1</v>
      </c>
      <c r="M981" s="9" t="b">
        <f>ISNUMBER(Sheet1!J981)</f>
        <v>1</v>
      </c>
      <c r="N981" s="13" t="str">
        <f>IF(Sheet1!B981="A","Branch A",IF(Sheet1!B981="B","Branch B","Other Branch"))</f>
        <v>Branch B</v>
      </c>
      <c r="O981" s="13" t="str">
        <f>IF(Sheet1!M981="Credit card","Credit Payment","Other")</f>
        <v>Credit Payment</v>
      </c>
      <c r="P981" s="13" t="str">
        <f>IF(Sheet1!O981&gt;7,"Yes","No")</f>
        <v>No</v>
      </c>
    </row>
    <row r="982" spans="5:16">
      <c r="E982" s="13" t="str">
        <v>728</v>
      </c>
      <c r="F982" s="13" t="str">
        <v>9078</v>
      </c>
      <c r="G982" s="13" t="str">
        <v>47</v>
      </c>
      <c r="H982" s="13" t="str">
        <f>_xlfn.CONCAT(Sheet1!A982," --&gt; ",Sheet1!J982)</f>
        <v>728-47-9078 --&gt; 250.278</v>
      </c>
      <c r="I982" s="13" t="str">
        <f>_xlfn.CONCAT(Sheet1!C982,"_",TEXT(Sheet1!K982, "m/d/yyyy"))</f>
        <v>Naypyitaw_1/19/2019</v>
      </c>
      <c r="J982" s="13" t="str">
        <f>IF(Sheet1!I982=Sheet1!N982*0.05,"Valid","Error")</f>
        <v>Valid</v>
      </c>
      <c r="K982" s="13" t="str">
        <f>IF(Sheet1!N982=Sheet1!G982*Sheet1!H982,"True","False")</f>
        <v>True</v>
      </c>
      <c r="L982" s="13" t="b">
        <v>1</v>
      </c>
      <c r="M982" s="9" t="b">
        <f>ISNUMBER(Sheet1!J982)</f>
        <v>1</v>
      </c>
      <c r="N982" s="13" t="str">
        <f>IF(Sheet1!B982="A","Branch A",IF(Sheet1!B982="B","Branch B","Other Branch"))</f>
        <v>Other Branch</v>
      </c>
      <c r="O982" s="13" t="str">
        <f>IF(Sheet1!M982="Credit card","Credit Payment","Other")</f>
        <v>Other</v>
      </c>
      <c r="P982" s="13" t="str">
        <f>IF(Sheet1!O982&gt;7,"Yes","No")</f>
        <v>Yes</v>
      </c>
    </row>
    <row r="983" spans="5:16">
      <c r="E983" s="13" t="str">
        <v>809</v>
      </c>
      <c r="F983" s="13" t="str">
        <v>1866</v>
      </c>
      <c r="G983" s="13" t="str">
        <v>46</v>
      </c>
      <c r="H983" s="13" t="str">
        <f>_xlfn.CONCAT(Sheet1!A983," --&gt; ",Sheet1!J983)</f>
        <v>809-46-1866 --&gt; 244.23</v>
      </c>
      <c r="I983" s="13" t="str">
        <f>_xlfn.CONCAT(Sheet1!C983,"_",TEXT(Sheet1!K983, "m/d/yyyy"))</f>
        <v>Yangon_1/23/2019</v>
      </c>
      <c r="J983" s="13" t="str">
        <f>IF(Sheet1!I983=Sheet1!N983*0.05,"Valid","Error")</f>
        <v>Valid</v>
      </c>
      <c r="K983" s="13" t="str">
        <f>IF(Sheet1!N983=Sheet1!G983*Sheet1!H983,"True","False")</f>
        <v>True</v>
      </c>
      <c r="L983" s="13" t="b">
        <v>1</v>
      </c>
      <c r="M983" s="9" t="b">
        <f>ISNUMBER(Sheet1!J983)</f>
        <v>1</v>
      </c>
      <c r="N983" s="13" t="str">
        <f>IF(Sheet1!B983="A","Branch A",IF(Sheet1!B983="B","Branch B","Other Branch"))</f>
        <v>Branch A</v>
      </c>
      <c r="O983" s="13" t="str">
        <f>IF(Sheet1!M983="Credit card","Credit Payment","Other")</f>
        <v>Other</v>
      </c>
      <c r="P983" s="13" t="str">
        <f>IF(Sheet1!O983&gt;7,"Yes","No")</f>
        <v>Yes</v>
      </c>
    </row>
    <row r="984" spans="5:16">
      <c r="E984" s="13" t="str">
        <v>139</v>
      </c>
      <c r="F984" s="13" t="str">
        <v>4183</v>
      </c>
      <c r="G984" s="13" t="str">
        <v>32</v>
      </c>
      <c r="H984" s="13" t="str">
        <f>_xlfn.CONCAT(Sheet1!A984," --&gt; ",Sheet1!J984)</f>
        <v>139-32-4183 --&gt; 921.186</v>
      </c>
      <c r="I984" s="13" t="str">
        <f>_xlfn.CONCAT(Sheet1!C984,"_",TEXT(Sheet1!K984, "m/d/yyyy"))</f>
        <v>Yangon_3/14/2019</v>
      </c>
      <c r="J984" s="13" t="str">
        <f>IF(Sheet1!I984=Sheet1!N984*0.05,"Valid","Error")</f>
        <v>Valid</v>
      </c>
      <c r="K984" s="13" t="str">
        <f>IF(Sheet1!N984=Sheet1!G984*Sheet1!H984,"True","False")</f>
        <v>True</v>
      </c>
      <c r="L984" s="13" t="b">
        <v>1</v>
      </c>
      <c r="M984" s="9" t="b">
        <f>ISNUMBER(Sheet1!J984)</f>
        <v>1</v>
      </c>
      <c r="N984" s="13" t="str">
        <f>IF(Sheet1!B984="A","Branch A",IF(Sheet1!B984="B","Branch B","Other Branch"))</f>
        <v>Branch A</v>
      </c>
      <c r="O984" s="13" t="str">
        <f>IF(Sheet1!M984="Credit card","Credit Payment","Other")</f>
        <v>Other</v>
      </c>
      <c r="P984" s="13" t="str">
        <f>IF(Sheet1!O984&gt;7,"Yes","No")</f>
        <v>Yes</v>
      </c>
    </row>
    <row r="985" spans="5:16">
      <c r="E985" s="13" t="str">
        <v>148</v>
      </c>
      <c r="F985" s="13" t="str">
        <v>7930</v>
      </c>
      <c r="G985" s="13" t="str">
        <v>41</v>
      </c>
      <c r="H985" s="13" t="str">
        <f>_xlfn.CONCAT(Sheet1!A985," --&gt; ",Sheet1!J985)</f>
        <v>148-41-7930 --&gt; 734.706</v>
      </c>
      <c r="I985" s="13" t="str">
        <f>_xlfn.CONCAT(Sheet1!C985,"_",TEXT(Sheet1!K985, "m/d/yyyy"))</f>
        <v>Naypyitaw_1/23/2019</v>
      </c>
      <c r="J985" s="13" t="str">
        <f>IF(Sheet1!I985=Sheet1!N985*0.05,"Valid","Error")</f>
        <v>Valid</v>
      </c>
      <c r="K985" s="13" t="str">
        <f>IF(Sheet1!N985=Sheet1!G985*Sheet1!H985,"True","False")</f>
        <v>True</v>
      </c>
      <c r="L985" s="13" t="b">
        <v>1</v>
      </c>
      <c r="M985" s="9" t="b">
        <f>ISNUMBER(Sheet1!J985)</f>
        <v>1</v>
      </c>
      <c r="N985" s="13" t="str">
        <f>IF(Sheet1!B985="A","Branch A",IF(Sheet1!B985="B","Branch B","Other Branch"))</f>
        <v>Other Branch</v>
      </c>
      <c r="O985" s="13" t="str">
        <f>IF(Sheet1!M985="Credit card","Credit Payment","Other")</f>
        <v>Other</v>
      </c>
      <c r="P985" s="13" t="str">
        <f>IF(Sheet1!O985&gt;7,"Yes","No")</f>
        <v>No</v>
      </c>
    </row>
    <row r="986" spans="5:16">
      <c r="E986" s="13" t="str">
        <v>189</v>
      </c>
      <c r="F986" s="13" t="str">
        <v>5216</v>
      </c>
      <c r="G986" s="13" t="str">
        <v>40</v>
      </c>
      <c r="H986" s="13" t="str">
        <f>_xlfn.CONCAT(Sheet1!A986," --&gt; ",Sheet1!J986)</f>
        <v>189-40-5216 --&gt; 708.3195</v>
      </c>
      <c r="I986" s="13" t="str">
        <f>_xlfn.CONCAT(Sheet1!C986,"_",TEXT(Sheet1!K986, "m/d/yyyy"))</f>
        <v>Naypyitaw_1/9/2019</v>
      </c>
      <c r="J986" s="13" t="str">
        <f>IF(Sheet1!I986=Sheet1!N986*0.05,"Valid","Error")</f>
        <v>Valid</v>
      </c>
      <c r="K986" s="13" t="str">
        <f>IF(Sheet1!N986=Sheet1!G986*Sheet1!H986,"True","False")</f>
        <v>True</v>
      </c>
      <c r="L986" s="13" t="b">
        <v>1</v>
      </c>
      <c r="M986" s="9" t="b">
        <f>ISNUMBER(Sheet1!J986)</f>
        <v>1</v>
      </c>
      <c r="N986" s="13" t="str">
        <f>IF(Sheet1!B986="A","Branch A",IF(Sheet1!B986="B","Branch B","Other Branch"))</f>
        <v>Other Branch</v>
      </c>
      <c r="O986" s="13" t="str">
        <f>IF(Sheet1!M986="Credit card","Credit Payment","Other")</f>
        <v>Other</v>
      </c>
      <c r="P986" s="13" t="str">
        <f>IF(Sheet1!O986&gt;7,"Yes","No")</f>
        <v>No</v>
      </c>
    </row>
    <row r="987" spans="5:16">
      <c r="E987" s="13" t="str">
        <v>374</v>
      </c>
      <c r="F987" s="13" t="str">
        <v>5555</v>
      </c>
      <c r="G987" s="13" t="str">
        <v>38</v>
      </c>
      <c r="H987" s="13" t="str">
        <f>_xlfn.CONCAT(Sheet1!A987," --&gt; ",Sheet1!J987)</f>
        <v>374-38-5555 --&gt; 334.4775</v>
      </c>
      <c r="I987" s="13" t="str">
        <f>_xlfn.CONCAT(Sheet1!C987,"_",TEXT(Sheet1!K987, "m/d/yyyy"))</f>
        <v>Mandalay_2/7/2019</v>
      </c>
      <c r="J987" s="13" t="str">
        <f>IF(Sheet1!I987=Sheet1!N987*0.05,"Valid","Error")</f>
        <v>Valid</v>
      </c>
      <c r="K987" s="13" t="str">
        <f>IF(Sheet1!N987=Sheet1!G987*Sheet1!H987,"True","False")</f>
        <v>True</v>
      </c>
      <c r="L987" s="13" t="b">
        <v>1</v>
      </c>
      <c r="M987" s="9" t="b">
        <f>ISNUMBER(Sheet1!J987)</f>
        <v>1</v>
      </c>
      <c r="N987" s="13" t="str">
        <f>IF(Sheet1!B987="A","Branch A",IF(Sheet1!B987="B","Branch B","Other Branch"))</f>
        <v>Branch B</v>
      </c>
      <c r="O987" s="13" t="str">
        <f>IF(Sheet1!M987="Credit card","Credit Payment","Other")</f>
        <v>Other</v>
      </c>
      <c r="P987" s="13" t="str">
        <f>IF(Sheet1!O987&gt;7,"Yes","No")</f>
        <v>Yes</v>
      </c>
    </row>
    <row r="988" spans="5:16">
      <c r="E988" s="13" t="str">
        <v>764</v>
      </c>
      <c r="F988" s="13" t="str">
        <v>8999</v>
      </c>
      <c r="G988" s="13" t="str">
        <v>44</v>
      </c>
      <c r="H988" s="13" t="str">
        <f>_xlfn.CONCAT(Sheet1!A988," --&gt; ",Sheet1!J988)</f>
        <v>764-44-8999 --&gt; 30.996</v>
      </c>
      <c r="I988" s="13" t="str">
        <f>_xlfn.CONCAT(Sheet1!C988,"_",TEXT(Sheet1!K988, "m/d/yyyy"))</f>
        <v>Mandalay_2/18/2019</v>
      </c>
      <c r="J988" s="13" t="str">
        <f>IF(Sheet1!I988=Sheet1!N988*0.05,"Valid","Error")</f>
        <v>Valid</v>
      </c>
      <c r="K988" s="13" t="str">
        <f>IF(Sheet1!N988=Sheet1!G988*Sheet1!H988,"True","False")</f>
        <v>True</v>
      </c>
      <c r="L988" s="13" t="b">
        <v>1</v>
      </c>
      <c r="M988" s="9" t="b">
        <f>ISNUMBER(Sheet1!J988)</f>
        <v>1</v>
      </c>
      <c r="N988" s="13" t="str">
        <f>IF(Sheet1!B988="A","Branch A",IF(Sheet1!B988="B","Branch B","Other Branch"))</f>
        <v>Branch B</v>
      </c>
      <c r="O988" s="13" t="str">
        <f>IF(Sheet1!M988="Credit card","Credit Payment","Other")</f>
        <v>Other</v>
      </c>
      <c r="P988" s="13" t="str">
        <f>IF(Sheet1!O988&gt;7,"Yes","No")</f>
        <v>No</v>
      </c>
    </row>
    <row r="989" spans="5:16">
      <c r="E989" s="13" t="str">
        <v>552</v>
      </c>
      <c r="F989" s="13" t="str">
        <v>5977</v>
      </c>
      <c r="G989" s="13" t="str">
        <v>44</v>
      </c>
      <c r="H989" s="13" t="str">
        <f>_xlfn.CONCAT(Sheet1!A989," --&gt; ",Sheet1!J989)</f>
        <v>552-44-5977 --&gt; 520.8</v>
      </c>
      <c r="I989" s="13" t="str">
        <f>_xlfn.CONCAT(Sheet1!C989,"_",TEXT(Sheet1!K989, "m/d/yyyy"))</f>
        <v>Mandalay_1/3/2019</v>
      </c>
      <c r="J989" s="13" t="str">
        <f>IF(Sheet1!I989=Sheet1!N989*0.05,"Valid","Error")</f>
        <v>Valid</v>
      </c>
      <c r="K989" s="13" t="str">
        <f>IF(Sheet1!N989=Sheet1!G989*Sheet1!H989,"True","False")</f>
        <v>True</v>
      </c>
      <c r="L989" s="13" t="b">
        <v>1</v>
      </c>
      <c r="M989" s="9" t="b">
        <f>ISNUMBER(Sheet1!J989)</f>
        <v>1</v>
      </c>
      <c r="N989" s="13" t="str">
        <f>IF(Sheet1!B989="A","Branch A",IF(Sheet1!B989="B","Branch B","Other Branch"))</f>
        <v>Branch B</v>
      </c>
      <c r="O989" s="13" t="str">
        <f>IF(Sheet1!M989="Credit card","Credit Payment","Other")</f>
        <v>Credit Payment</v>
      </c>
      <c r="P989" s="13" t="str">
        <f>IF(Sheet1!O989&gt;7,"Yes","No")</f>
        <v>No</v>
      </c>
    </row>
    <row r="990" spans="5:16">
      <c r="E990" s="13" t="str">
        <v>267</v>
      </c>
      <c r="F990" s="13" t="str">
        <v>7380</v>
      </c>
      <c r="G990" s="13" t="str">
        <v>62</v>
      </c>
      <c r="H990" s="13" t="str">
        <f>_xlfn.CONCAT(Sheet1!A990," --&gt; ",Sheet1!J990)</f>
        <v>267-62-7380 --&gt; 864.57</v>
      </c>
      <c r="I990" s="13" t="str">
        <f>_xlfn.CONCAT(Sheet1!C990,"_",TEXT(Sheet1!K990, "m/d/yyyy"))</f>
        <v>Naypyitaw_3/29/2019</v>
      </c>
      <c r="J990" s="13" t="str">
        <f>IF(Sheet1!I990=Sheet1!N990*0.05,"Valid","Error")</f>
        <v>Valid</v>
      </c>
      <c r="K990" s="13" t="str">
        <f>IF(Sheet1!N990=Sheet1!G990*Sheet1!H990,"True","False")</f>
        <v>True</v>
      </c>
      <c r="L990" s="13" t="b">
        <v>1</v>
      </c>
      <c r="M990" s="9" t="b">
        <f>ISNUMBER(Sheet1!J990)</f>
        <v>1</v>
      </c>
      <c r="N990" s="13" t="str">
        <f>IF(Sheet1!B990="A","Branch A",IF(Sheet1!B990="B","Branch B","Other Branch"))</f>
        <v>Other Branch</v>
      </c>
      <c r="O990" s="13" t="str">
        <f>IF(Sheet1!M990="Credit card","Credit Payment","Other")</f>
        <v>Other</v>
      </c>
      <c r="P990" s="13" t="str">
        <f>IF(Sheet1!O990&gt;7,"Yes","No")</f>
        <v>No</v>
      </c>
    </row>
    <row r="991" spans="5:16">
      <c r="E991" s="13" t="str">
        <v>430</v>
      </c>
      <c r="F991" s="13" t="str">
        <v>4718</v>
      </c>
      <c r="G991" s="13" t="str">
        <v>53</v>
      </c>
      <c r="H991" s="13" t="str">
        <f>_xlfn.CONCAT(Sheet1!A991," --&gt; ",Sheet1!J991)</f>
        <v>430-53-4718 --&gt; 633.108</v>
      </c>
      <c r="I991" s="13" t="str">
        <f>_xlfn.CONCAT(Sheet1!C991,"_",TEXT(Sheet1!K991, "m/d/yyyy"))</f>
        <v>Mandalay_1/28/2019</v>
      </c>
      <c r="J991" s="13" t="str">
        <f>IF(Sheet1!I991=Sheet1!N991*0.05,"Valid","Error")</f>
        <v>Valid</v>
      </c>
      <c r="K991" s="13" t="str">
        <f>IF(Sheet1!N991=Sheet1!G991*Sheet1!H991,"True","False")</f>
        <v>True</v>
      </c>
      <c r="L991" s="13" t="b">
        <v>1</v>
      </c>
      <c r="M991" s="9" t="b">
        <f>ISNUMBER(Sheet1!J991)</f>
        <v>1</v>
      </c>
      <c r="N991" s="13" t="str">
        <f>IF(Sheet1!B991="A","Branch A",IF(Sheet1!B991="B","Branch B","Other Branch"))</f>
        <v>Branch B</v>
      </c>
      <c r="O991" s="13" t="str">
        <f>IF(Sheet1!M991="Credit card","Credit Payment","Other")</f>
        <v>Credit Payment</v>
      </c>
      <c r="P991" s="13" t="str">
        <f>IF(Sheet1!O991&gt;7,"Yes","No")</f>
        <v>Yes</v>
      </c>
    </row>
    <row r="992" spans="5:16">
      <c r="E992" s="13" t="str">
        <v>886</v>
      </c>
      <c r="F992" s="13" t="str">
        <v>2897</v>
      </c>
      <c r="G992" s="13" t="str">
        <v>18</v>
      </c>
      <c r="H992" s="13" t="str">
        <f>_xlfn.CONCAT(Sheet1!A992," --&gt; ",Sheet1!J992)</f>
        <v>886-18-2897 --&gt; 296.94</v>
      </c>
      <c r="I992" s="13" t="str">
        <f>_xlfn.CONCAT(Sheet1!C992,"_",TEXT(Sheet1!K992, "m/d/yyyy"))</f>
        <v>Yangon_3/22/2019</v>
      </c>
      <c r="J992" s="13" t="str">
        <f>IF(Sheet1!I992=Sheet1!N992*0.05,"Valid","Error")</f>
        <v>Valid</v>
      </c>
      <c r="K992" s="13" t="str">
        <f>IF(Sheet1!N992=Sheet1!G992*Sheet1!H992,"True","False")</f>
        <v>True</v>
      </c>
      <c r="L992" s="13" t="b">
        <v>1</v>
      </c>
      <c r="M992" s="9" t="b">
        <f>ISNUMBER(Sheet1!J992)</f>
        <v>1</v>
      </c>
      <c r="N992" s="13" t="str">
        <f>IF(Sheet1!B992="A","Branch A",IF(Sheet1!B992="B","Branch B","Other Branch"))</f>
        <v>Branch A</v>
      </c>
      <c r="O992" s="13" t="str">
        <f>IF(Sheet1!M992="Credit card","Credit Payment","Other")</f>
        <v>Credit Payment</v>
      </c>
      <c r="P992" s="13" t="str">
        <f>IF(Sheet1!O992&gt;7,"Yes","No")</f>
        <v>No</v>
      </c>
    </row>
    <row r="993" spans="5:16">
      <c r="E993" s="13" t="str">
        <v>602</v>
      </c>
      <c r="F993" s="13" t="str">
        <v>6955</v>
      </c>
      <c r="G993" s="13" t="str">
        <v>16</v>
      </c>
      <c r="H993" s="13" t="str">
        <f>_xlfn.CONCAT(Sheet1!A993," --&gt; ",Sheet1!J993)</f>
        <v>602-16-6955 --&gt; 804.3</v>
      </c>
      <c r="I993" s="13" t="str">
        <f>_xlfn.CONCAT(Sheet1!C993,"_",TEXT(Sheet1!K993, "m/d/yyyy"))</f>
        <v>Mandalay_1/24/2019</v>
      </c>
      <c r="J993" s="13" t="str">
        <f>IF(Sheet1!I993=Sheet1!N993*0.05,"Valid","Error")</f>
        <v>Valid</v>
      </c>
      <c r="K993" s="13" t="str">
        <f>IF(Sheet1!N993=Sheet1!G993*Sheet1!H993,"True","False")</f>
        <v>True</v>
      </c>
      <c r="L993" s="13" t="b">
        <v>1</v>
      </c>
      <c r="M993" s="9" t="b">
        <f>ISNUMBER(Sheet1!J993)</f>
        <v>1</v>
      </c>
      <c r="N993" s="13" t="str">
        <f>IF(Sheet1!B993="A","Branch A",IF(Sheet1!B993="B","Branch B","Other Branch"))</f>
        <v>Branch B</v>
      </c>
      <c r="O993" s="13" t="str">
        <f>IF(Sheet1!M993="Credit card","Credit Payment","Other")</f>
        <v>Other</v>
      </c>
      <c r="P993" s="13" t="str">
        <f>IF(Sheet1!O993&gt;7,"Yes","No")</f>
        <v>No</v>
      </c>
    </row>
    <row r="994" spans="5:16">
      <c r="E994" s="13" t="str">
        <v>745</v>
      </c>
      <c r="F994" s="13" t="str">
        <v>0715</v>
      </c>
      <c r="G994" s="13" t="str">
        <v>74</v>
      </c>
      <c r="H994" s="13" t="str">
        <f>_xlfn.CONCAT(Sheet1!A994," --&gt; ",Sheet1!J994)</f>
        <v>745-74-0715 --&gt; 121.863</v>
      </c>
      <c r="I994" s="13" t="str">
        <f>_xlfn.CONCAT(Sheet1!C994,"_",TEXT(Sheet1!K994, "m/d/yyyy"))</f>
        <v>Yangon_3/10/2019</v>
      </c>
      <c r="J994" s="13" t="str">
        <f>IF(Sheet1!I994=Sheet1!N994*0.05,"Valid","Error")</f>
        <v>Valid</v>
      </c>
      <c r="K994" s="13" t="str">
        <f>IF(Sheet1!N994=Sheet1!G994*Sheet1!H994,"True","False")</f>
        <v>True</v>
      </c>
      <c r="L994" s="13" t="b">
        <v>1</v>
      </c>
      <c r="M994" s="9" t="b">
        <f>ISNUMBER(Sheet1!J994)</f>
        <v>1</v>
      </c>
      <c r="N994" s="13" t="str">
        <f>IF(Sheet1!B994="A","Branch A",IF(Sheet1!B994="B","Branch B","Other Branch"))</f>
        <v>Branch A</v>
      </c>
      <c r="O994" s="13" t="str">
        <f>IF(Sheet1!M994="Credit card","Credit Payment","Other")</f>
        <v>Other</v>
      </c>
      <c r="P994" s="13" t="str">
        <f>IF(Sheet1!O994&gt;7,"Yes","No")</f>
        <v>Yes</v>
      </c>
    </row>
    <row r="995" spans="5:16">
      <c r="E995" s="13" t="str">
        <v>690</v>
      </c>
      <c r="F995" s="13" t="str">
        <v>6631</v>
      </c>
      <c r="G995" s="13" t="str">
        <v>01</v>
      </c>
      <c r="H995" s="13" t="str">
        <f>_xlfn.CONCAT(Sheet1!A995," --&gt; ",Sheet1!J995)</f>
        <v>690-01-6631 --&gt; 183.645</v>
      </c>
      <c r="I995" s="13" t="str">
        <f>_xlfn.CONCAT(Sheet1!C995,"_",TEXT(Sheet1!K995, "m/d/yyyy"))</f>
        <v>Mandalay_2/22/2019</v>
      </c>
      <c r="J995" s="13" t="str">
        <f>IF(Sheet1!I995=Sheet1!N995*0.05,"Valid","Error")</f>
        <v>Valid</v>
      </c>
      <c r="K995" s="13" t="str">
        <f>IF(Sheet1!N995=Sheet1!G995*Sheet1!H995,"True","False")</f>
        <v>True</v>
      </c>
      <c r="L995" s="13" t="b">
        <v>1</v>
      </c>
      <c r="M995" s="9" t="b">
        <f>ISNUMBER(Sheet1!J995)</f>
        <v>1</v>
      </c>
      <c r="N995" s="13" t="str">
        <f>IF(Sheet1!B995="A","Branch A",IF(Sheet1!B995="B","Branch B","Other Branch"))</f>
        <v>Branch B</v>
      </c>
      <c r="O995" s="13" t="str">
        <f>IF(Sheet1!M995="Credit card","Credit Payment","Other")</f>
        <v>Other</v>
      </c>
      <c r="P995" s="13" t="str">
        <f>IF(Sheet1!O995&gt;7,"Yes","No")</f>
        <v>No</v>
      </c>
    </row>
    <row r="996" spans="5:16">
      <c r="E996" s="13" t="str">
        <v>652</v>
      </c>
      <c r="F996" s="13" t="str">
        <v>6720</v>
      </c>
      <c r="G996" s="13" t="str">
        <v>49</v>
      </c>
      <c r="H996" s="13" t="str">
        <f>_xlfn.CONCAT(Sheet1!A996," --&gt; ",Sheet1!J996)</f>
        <v>652-49-6720 --&gt; 63.9975</v>
      </c>
      <c r="I996" s="13" t="str">
        <f>_xlfn.CONCAT(Sheet1!C996,"_",TEXT(Sheet1!K996, "m/d/yyyy"))</f>
        <v>Naypyitaw_2/18/2019</v>
      </c>
      <c r="J996" s="13" t="str">
        <f>IF(Sheet1!I996=Sheet1!N996*0.05,"Valid","Error")</f>
        <v>Valid</v>
      </c>
      <c r="K996" s="13" t="str">
        <f>IF(Sheet1!N996=Sheet1!G996*Sheet1!H996,"True","False")</f>
        <v>True</v>
      </c>
      <c r="L996" s="13" t="b">
        <v>1</v>
      </c>
      <c r="M996" s="9" t="b">
        <f>ISNUMBER(Sheet1!J996)</f>
        <v>1</v>
      </c>
      <c r="N996" s="13" t="str">
        <f>IF(Sheet1!B996="A","Branch A",IF(Sheet1!B996="B","Branch B","Other Branch"))</f>
        <v>Other Branch</v>
      </c>
      <c r="O996" s="13" t="str">
        <f>IF(Sheet1!M996="Credit card","Credit Payment","Other")</f>
        <v>Other</v>
      </c>
      <c r="P996" s="13" t="str">
        <f>IF(Sheet1!O996&gt;7,"Yes","No")</f>
        <v>No</v>
      </c>
    </row>
    <row r="997" spans="5:16">
      <c r="E997" s="13" t="str">
        <v>233</v>
      </c>
      <c r="F997" s="13" t="str">
        <v>5758</v>
      </c>
      <c r="G997" s="13" t="str">
        <v>67</v>
      </c>
      <c r="H997" s="13" t="str">
        <f>_xlfn.CONCAT(Sheet1!A997," --&gt; ",Sheet1!J997)</f>
        <v>233-67-5758 --&gt; 42.3675</v>
      </c>
      <c r="I997" s="13" t="str">
        <f>_xlfn.CONCAT(Sheet1!C997,"_",TEXT(Sheet1!K997, "m/d/yyyy"))</f>
        <v>Naypyitaw_1/29/2019</v>
      </c>
      <c r="J997" s="13" t="str">
        <f>IF(Sheet1!I997=Sheet1!N997*0.05,"Valid","Error")</f>
        <v>Valid</v>
      </c>
      <c r="K997" s="13" t="str">
        <f>IF(Sheet1!N997=Sheet1!G997*Sheet1!H997,"True","False")</f>
        <v>True</v>
      </c>
      <c r="L997" s="13" t="b">
        <v>1</v>
      </c>
      <c r="M997" s="9" t="b">
        <f>ISNUMBER(Sheet1!J997)</f>
        <v>1</v>
      </c>
      <c r="N997" s="13" t="str">
        <f>IF(Sheet1!B997="A","Branch A",IF(Sheet1!B997="B","Branch B","Other Branch"))</f>
        <v>Other Branch</v>
      </c>
      <c r="O997" s="13" t="str">
        <f>IF(Sheet1!M997="Credit card","Credit Payment","Other")</f>
        <v>Other</v>
      </c>
      <c r="P997" s="13" t="str">
        <f>IF(Sheet1!O997&gt;7,"Yes","No")</f>
        <v>No</v>
      </c>
    </row>
    <row r="998" spans="5:16">
      <c r="E998" s="13" t="str">
        <v>303</v>
      </c>
      <c r="F998" s="13" t="str">
        <v>2227</v>
      </c>
      <c r="G998" s="13" t="str">
        <v>96</v>
      </c>
      <c r="H998" s="13" t="str">
        <f>_xlfn.CONCAT(Sheet1!A998," --&gt; ",Sheet1!J998)</f>
        <v>303-96-2227 --&gt; 1022.49</v>
      </c>
      <c r="I998" s="13" t="str">
        <f>_xlfn.CONCAT(Sheet1!C998,"_",TEXT(Sheet1!K998, "m/d/yyyy"))</f>
        <v>Mandalay_3/2/2019</v>
      </c>
      <c r="J998" s="13" t="str">
        <f>IF(Sheet1!I998=Sheet1!N998*0.05,"Valid","Error")</f>
        <v>Valid</v>
      </c>
      <c r="K998" s="13" t="str">
        <f>IF(Sheet1!N998=Sheet1!G998*Sheet1!H998,"True","False")</f>
        <v>True</v>
      </c>
      <c r="L998" s="13" t="b">
        <v>1</v>
      </c>
      <c r="M998" s="9" t="b">
        <f>ISNUMBER(Sheet1!J998)</f>
        <v>1</v>
      </c>
      <c r="N998" s="13" t="str">
        <f>IF(Sheet1!B998="A","Branch A",IF(Sheet1!B998="B","Branch B","Other Branch"))</f>
        <v>Branch B</v>
      </c>
      <c r="O998" s="13" t="str">
        <f>IF(Sheet1!M998="Credit card","Credit Payment","Other")</f>
        <v>Other</v>
      </c>
      <c r="P998" s="13" t="str">
        <f>IF(Sheet1!O998&gt;7,"Yes","No")</f>
        <v>No</v>
      </c>
    </row>
    <row r="999" spans="5:16">
      <c r="E999" s="13" t="str">
        <v>727</v>
      </c>
      <c r="F999" s="13" t="str">
        <v>1313</v>
      </c>
      <c r="G999" s="13" t="str">
        <v>02</v>
      </c>
      <c r="H999" s="13" t="str">
        <f>_xlfn.CONCAT(Sheet1!A999," --&gt; ",Sheet1!J999)</f>
        <v>727-02-1313 --&gt; 33.432</v>
      </c>
      <c r="I999" s="13" t="str">
        <f>_xlfn.CONCAT(Sheet1!C999,"_",TEXT(Sheet1!K999, "m/d/yyyy"))</f>
        <v>Yangon_2/9/2019</v>
      </c>
      <c r="J999" s="13" t="str">
        <f>IF(Sheet1!I999=Sheet1!N999*0.05,"Valid","Error")</f>
        <v>Valid</v>
      </c>
      <c r="K999" s="13" t="str">
        <f>IF(Sheet1!N999=Sheet1!G999*Sheet1!H999,"True","False")</f>
        <v>True</v>
      </c>
      <c r="L999" s="13" t="b">
        <v>1</v>
      </c>
      <c r="M999" s="9" t="b">
        <f>ISNUMBER(Sheet1!J999)</f>
        <v>1</v>
      </c>
      <c r="N999" s="13" t="str">
        <f>IF(Sheet1!B999="A","Branch A",IF(Sheet1!B999="B","Branch B","Other Branch"))</f>
        <v>Branch A</v>
      </c>
      <c r="O999" s="13" t="str">
        <f>IF(Sheet1!M999="Credit card","Credit Payment","Other")</f>
        <v>Other</v>
      </c>
      <c r="P999" s="13" t="str">
        <f>IF(Sheet1!O999&gt;7,"Yes","No")</f>
        <v>Yes</v>
      </c>
    </row>
    <row r="1000" spans="5:16">
      <c r="E1000" s="13" t="str">
        <v>347</v>
      </c>
      <c r="F1000" s="13" t="str">
        <v>2442</v>
      </c>
      <c r="G1000" s="13" t="str">
        <v>56</v>
      </c>
      <c r="H1000" s="13" t="str">
        <f>_xlfn.CONCAT(Sheet1!A1000," --&gt; ",Sheet1!J1000)</f>
        <v>347-56-2442 --&gt; 69.111</v>
      </c>
      <c r="I1000" s="13" t="str">
        <f>_xlfn.CONCAT(Sheet1!C1000,"_",TEXT(Sheet1!K1000, "m/d/yyyy"))</f>
        <v>Yangon_2/22/2019</v>
      </c>
      <c r="J1000" s="13" t="str">
        <f>IF(Sheet1!I1000=Sheet1!N1000*0.05,"Valid","Error")</f>
        <v>Valid</v>
      </c>
      <c r="K1000" s="13" t="str">
        <f>IF(Sheet1!N1000=Sheet1!G1000*Sheet1!H1000,"True","False")</f>
        <v>True</v>
      </c>
      <c r="L1000" s="13" t="b">
        <v>1</v>
      </c>
      <c r="M1000" s="9" t="b">
        <f>ISNUMBER(Sheet1!J1000)</f>
        <v>1</v>
      </c>
      <c r="N1000" s="13" t="str">
        <f>IF(Sheet1!B1000="A","Branch A",IF(Sheet1!B1000="B","Branch B","Other Branch"))</f>
        <v>Branch A</v>
      </c>
      <c r="O1000" s="13" t="str">
        <f>IF(Sheet1!M1000="Credit card","Credit Payment","Other")</f>
        <v>Other</v>
      </c>
      <c r="P1000" s="13" t="str">
        <f>IF(Sheet1!O1000&gt;7,"Yes","No")</f>
        <v>No</v>
      </c>
    </row>
    <row r="1001" spans="5:16">
      <c r="E1001" s="13" t="str">
        <v>849</v>
      </c>
      <c r="F1001" s="13" t="str">
        <v>3807</v>
      </c>
      <c r="G1001" s="13" t="str">
        <v>09</v>
      </c>
      <c r="H1001" s="13" t="str">
        <f>_xlfn.CONCAT(Sheet1!A1001," --&gt; ",Sheet1!J1001)</f>
        <v>849-09-3807 --&gt; 649.299</v>
      </c>
      <c r="I1001" s="13" t="str">
        <f>_xlfn.CONCAT(Sheet1!C1001,"_",TEXT(Sheet1!K1001, "m/d/yyyy"))</f>
        <v>Yangon_2/18/2019</v>
      </c>
      <c r="J1001" s="13" t="str">
        <f>IF(Sheet1!I1001=Sheet1!N1001*0.05,"Valid","Error")</f>
        <v>Valid</v>
      </c>
      <c r="K1001" s="13" t="str">
        <f>IF(Sheet1!N1001=Sheet1!G1001*Sheet1!H1001,"True","False")</f>
        <v>True</v>
      </c>
      <c r="L1001" s="13" t="b">
        <v>1</v>
      </c>
      <c r="M1001" s="9" t="b">
        <f>ISNUMBER(Sheet1!J1001)</f>
        <v>1</v>
      </c>
      <c r="N1001" s="13" t="str">
        <f>IF(Sheet1!B1001="A","Branch A",IF(Sheet1!B1001="B","Branch B","Other Branch"))</f>
        <v>Branch A</v>
      </c>
      <c r="O1001" s="13" t="str">
        <f>IF(Sheet1!M1001="Credit card","Credit Payment","Other")</f>
        <v>Other</v>
      </c>
      <c r="P1001" s="13" t="str">
        <f>IF(Sheet1!O1001&gt;7,"Yes","No")</f>
        <v>No</v>
      </c>
    </row>
  </sheetData>
  <pageMargins left="0.7" right="0.7" top="0.75" bottom="0.75" header="0.3" footer="0.3"/>
  <pageSetup paperSize="9" scale="38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20912019100620</dc:creator>
  <cp:lastModifiedBy>Nourhan Khalifa</cp:lastModifiedBy>
  <dcterms:created xsi:type="dcterms:W3CDTF">2025-01-19T12:00:30Z</dcterms:created>
  <dcterms:modified xsi:type="dcterms:W3CDTF">2025-10-14T23:11:11Z</dcterms:modified>
</cp:coreProperties>
</file>